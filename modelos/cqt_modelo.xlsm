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\OneDrive - IM3 Brasil\aux cad\modelos\"/>
    </mc:Choice>
  </mc:AlternateContent>
  <xr:revisionPtr revIDLastSave="0" documentId="13_ncr:1_{352ECEB7-3364-4923-9972-F8629CADAF53}" xr6:coauthVersionLast="47" xr6:coauthVersionMax="47" xr10:uidLastSave="{00000000-0000-0000-0000-000000000000}"/>
  <bookViews>
    <workbookView xWindow="7524" yWindow="12852" windowWidth="23256" windowHeight="12456" tabRatio="699" xr2:uid="{00000000-000D-0000-FFFF-FFFF00000000}"/>
  </bookViews>
  <sheets>
    <sheet name="CAPA-RESUMO" sheetId="1" r:id="rId1"/>
    <sheet name="ATUAL" sheetId="2" r:id="rId2"/>
    <sheet name="ATUAL+NC" sheetId="3" r:id="rId3"/>
    <sheet name="PROJETADO" sheetId="4" r:id="rId4"/>
    <sheet name="CQT ATUAL" sheetId="5" r:id="rId5"/>
    <sheet name="CQT ATUAL+NC" sheetId="6" r:id="rId6"/>
    <sheet name="CQT PROJETADO" sheetId="7" r:id="rId7"/>
    <sheet name="Planilha1" sheetId="8" state="hidden" r:id="rId8"/>
    <sheet name="BASE DE DADOS" sheetId="9" state="hidden" r:id="rId9"/>
  </sheets>
  <definedNames>
    <definedName name="_xlnm._FilterDatabase" localSheetId="8" hidden="1">'BASE DE DADOS'!$P$1:$R$142</definedName>
  </definedNames>
  <calcPr calcId="181029"/>
</workbook>
</file>

<file path=xl/calcChain.xml><?xml version="1.0" encoding="utf-8"?>
<calcChain xmlns="http://schemas.openxmlformats.org/spreadsheetml/2006/main">
  <c r="N19" i="1" l="1"/>
  <c r="L17" i="1"/>
  <c r="L13" i="1"/>
  <c r="N9" i="1"/>
  <c r="N8" i="1"/>
  <c r="N7" i="1"/>
  <c r="L9" i="1"/>
  <c r="L8" i="1"/>
  <c r="L7" i="1"/>
  <c r="L16" i="1" s="1"/>
  <c r="C3" i="4"/>
  <c r="C3" i="3"/>
  <c r="C10" i="3"/>
  <c r="F3" i="6" s="1"/>
  <c r="F3" i="5"/>
  <c r="F3" i="7"/>
  <c r="S4" i="4"/>
  <c r="T4" i="4"/>
  <c r="U4" i="4"/>
  <c r="V4" i="4"/>
  <c r="W4" i="4"/>
  <c r="S5" i="4"/>
  <c r="T5" i="4"/>
  <c r="U5" i="4"/>
  <c r="V5" i="4"/>
  <c r="W5" i="4"/>
  <c r="S6" i="4"/>
  <c r="T6" i="4"/>
  <c r="U6" i="4"/>
  <c r="V6" i="4"/>
  <c r="W6" i="4"/>
  <c r="S7" i="4"/>
  <c r="T7" i="4"/>
  <c r="U7" i="4"/>
  <c r="V7" i="4"/>
  <c r="W7" i="4"/>
  <c r="S8" i="4"/>
  <c r="T8" i="4"/>
  <c r="U8" i="4"/>
  <c r="V8" i="4"/>
  <c r="W8" i="4"/>
  <c r="S9" i="4"/>
  <c r="T9" i="4"/>
  <c r="U9" i="4"/>
  <c r="V9" i="4"/>
  <c r="W9" i="4"/>
  <c r="S10" i="4"/>
  <c r="T10" i="4"/>
  <c r="U10" i="4"/>
  <c r="V10" i="4"/>
  <c r="W10" i="4"/>
  <c r="S11" i="4"/>
  <c r="T11" i="4"/>
  <c r="U11" i="4"/>
  <c r="V11" i="4"/>
  <c r="W11" i="4"/>
  <c r="S12" i="4"/>
  <c r="T12" i="4"/>
  <c r="U12" i="4"/>
  <c r="V12" i="4"/>
  <c r="W12" i="4"/>
  <c r="S13" i="4"/>
  <c r="T13" i="4"/>
  <c r="U13" i="4"/>
  <c r="V13" i="4"/>
  <c r="W13" i="4"/>
  <c r="S14" i="4"/>
  <c r="T14" i="4"/>
  <c r="U14" i="4"/>
  <c r="V14" i="4"/>
  <c r="W14" i="4"/>
  <c r="S15" i="4"/>
  <c r="T15" i="4"/>
  <c r="U15" i="4"/>
  <c r="V15" i="4"/>
  <c r="W15" i="4"/>
  <c r="S16" i="4"/>
  <c r="T16" i="4"/>
  <c r="U16" i="4"/>
  <c r="V16" i="4"/>
  <c r="W16" i="4"/>
  <c r="S17" i="4"/>
  <c r="T17" i="4"/>
  <c r="U17" i="4"/>
  <c r="V17" i="4"/>
  <c r="W17" i="4"/>
  <c r="S18" i="4"/>
  <c r="T18" i="4"/>
  <c r="U18" i="4"/>
  <c r="V18" i="4"/>
  <c r="W18" i="4"/>
  <c r="S19" i="4"/>
  <c r="T19" i="4"/>
  <c r="U19" i="4"/>
  <c r="V19" i="4"/>
  <c r="W19" i="4"/>
  <c r="S20" i="4"/>
  <c r="T20" i="4"/>
  <c r="U20" i="4"/>
  <c r="V20" i="4"/>
  <c r="W20" i="4"/>
  <c r="S21" i="4"/>
  <c r="T21" i="4"/>
  <c r="U21" i="4"/>
  <c r="V21" i="4"/>
  <c r="W21" i="4"/>
  <c r="S22" i="4"/>
  <c r="T22" i="4"/>
  <c r="U22" i="4"/>
  <c r="V22" i="4"/>
  <c r="W22" i="4"/>
  <c r="S23" i="4"/>
  <c r="T23" i="4"/>
  <c r="U23" i="4"/>
  <c r="V23" i="4"/>
  <c r="W23" i="4"/>
  <c r="S24" i="4"/>
  <c r="T24" i="4"/>
  <c r="U24" i="4"/>
  <c r="V24" i="4"/>
  <c r="W24" i="4"/>
  <c r="S25" i="4"/>
  <c r="T25" i="4"/>
  <c r="U25" i="4"/>
  <c r="V25" i="4"/>
  <c r="W25" i="4"/>
  <c r="S26" i="4"/>
  <c r="T26" i="4"/>
  <c r="U26" i="4"/>
  <c r="V26" i="4"/>
  <c r="W26" i="4"/>
  <c r="S27" i="4"/>
  <c r="T27" i="4"/>
  <c r="U27" i="4"/>
  <c r="V27" i="4"/>
  <c r="W27" i="4"/>
  <c r="S28" i="4"/>
  <c r="T28" i="4"/>
  <c r="U28" i="4"/>
  <c r="V28" i="4"/>
  <c r="W28" i="4"/>
  <c r="T3" i="4"/>
  <c r="U3" i="4"/>
  <c r="V3" i="4"/>
  <c r="W3" i="4"/>
  <c r="S3" i="4"/>
  <c r="L4" i="4"/>
  <c r="M4" i="4"/>
  <c r="N4" i="4"/>
  <c r="O4" i="4"/>
  <c r="P4" i="4"/>
  <c r="L5" i="4"/>
  <c r="M5" i="4"/>
  <c r="N5" i="4"/>
  <c r="O5" i="4"/>
  <c r="P5" i="4"/>
  <c r="L6" i="4"/>
  <c r="M6" i="4"/>
  <c r="N6" i="4"/>
  <c r="O6" i="4"/>
  <c r="P6" i="4"/>
  <c r="L7" i="4"/>
  <c r="M7" i="4"/>
  <c r="N7" i="4"/>
  <c r="O7" i="4"/>
  <c r="P7" i="4"/>
  <c r="L8" i="4"/>
  <c r="M8" i="4"/>
  <c r="N8" i="4"/>
  <c r="O8" i="4"/>
  <c r="P8" i="4"/>
  <c r="L9" i="4"/>
  <c r="M9" i="4"/>
  <c r="N9" i="4"/>
  <c r="O9" i="4"/>
  <c r="P9" i="4"/>
  <c r="L10" i="4"/>
  <c r="M10" i="4"/>
  <c r="N10" i="4"/>
  <c r="O10" i="4"/>
  <c r="P10" i="4"/>
  <c r="L11" i="4"/>
  <c r="M11" i="4"/>
  <c r="N11" i="4"/>
  <c r="O11" i="4"/>
  <c r="P11" i="4"/>
  <c r="L12" i="4"/>
  <c r="M12" i="4"/>
  <c r="N12" i="4"/>
  <c r="O12" i="4"/>
  <c r="P12" i="4"/>
  <c r="L13" i="4"/>
  <c r="M13" i="4"/>
  <c r="N13" i="4"/>
  <c r="O13" i="4"/>
  <c r="P13" i="4"/>
  <c r="L14" i="4"/>
  <c r="M14" i="4"/>
  <c r="N14" i="4"/>
  <c r="O14" i="4"/>
  <c r="P14" i="4"/>
  <c r="L15" i="4"/>
  <c r="M15" i="4"/>
  <c r="N15" i="4"/>
  <c r="O15" i="4"/>
  <c r="P15" i="4"/>
  <c r="L16" i="4"/>
  <c r="M16" i="4"/>
  <c r="N16" i="4"/>
  <c r="O16" i="4"/>
  <c r="P16" i="4"/>
  <c r="L17" i="4"/>
  <c r="M17" i="4"/>
  <c r="N17" i="4"/>
  <c r="O17" i="4"/>
  <c r="P17" i="4"/>
  <c r="L18" i="4"/>
  <c r="M18" i="4"/>
  <c r="N18" i="4"/>
  <c r="O18" i="4"/>
  <c r="P18" i="4"/>
  <c r="L19" i="4"/>
  <c r="M19" i="4"/>
  <c r="N19" i="4"/>
  <c r="O19" i="4"/>
  <c r="P19" i="4"/>
  <c r="L20" i="4"/>
  <c r="M20" i="4"/>
  <c r="N20" i="4"/>
  <c r="O20" i="4"/>
  <c r="P20" i="4"/>
  <c r="L21" i="4"/>
  <c r="M21" i="4"/>
  <c r="N21" i="4"/>
  <c r="O21" i="4"/>
  <c r="P21" i="4"/>
  <c r="L22" i="4"/>
  <c r="M22" i="4"/>
  <c r="N22" i="4"/>
  <c r="O22" i="4"/>
  <c r="P22" i="4"/>
  <c r="L23" i="4"/>
  <c r="M23" i="4"/>
  <c r="N23" i="4"/>
  <c r="O23" i="4"/>
  <c r="P23" i="4"/>
  <c r="L24" i="4"/>
  <c r="M24" i="4"/>
  <c r="N24" i="4"/>
  <c r="O24" i="4"/>
  <c r="P24" i="4"/>
  <c r="L25" i="4"/>
  <c r="M25" i="4"/>
  <c r="N25" i="4"/>
  <c r="O25" i="4"/>
  <c r="P25" i="4"/>
  <c r="L26" i="4"/>
  <c r="M26" i="4"/>
  <c r="N26" i="4"/>
  <c r="O26" i="4"/>
  <c r="P26" i="4"/>
  <c r="L27" i="4"/>
  <c r="M27" i="4"/>
  <c r="N27" i="4"/>
  <c r="O27" i="4"/>
  <c r="P27" i="4"/>
  <c r="L28" i="4"/>
  <c r="M28" i="4"/>
  <c r="N28" i="4"/>
  <c r="O28" i="4"/>
  <c r="P28" i="4"/>
  <c r="M3" i="4"/>
  <c r="N3" i="4"/>
  <c r="O3" i="4"/>
  <c r="B8" i="4" s="1"/>
  <c r="P3" i="4"/>
  <c r="D8" i="4" s="1"/>
  <c r="L3" i="4"/>
  <c r="M20" i="1"/>
  <c r="M19" i="1"/>
  <c r="M18" i="1"/>
  <c r="I17" i="1"/>
  <c r="I19" i="1"/>
  <c r="H19" i="1"/>
  <c r="H18" i="1"/>
  <c r="G17" i="1"/>
  <c r="G21" i="1" s="1"/>
  <c r="G16" i="1"/>
  <c r="M4" i="1"/>
  <c r="H4" i="1"/>
  <c r="L4" i="3"/>
  <c r="M4" i="3"/>
  <c r="N4" i="3"/>
  <c r="O4" i="3"/>
  <c r="P4" i="3"/>
  <c r="D8" i="3" s="1"/>
  <c r="L5" i="3"/>
  <c r="M5" i="3"/>
  <c r="N5" i="3"/>
  <c r="O5" i="3"/>
  <c r="P5" i="3"/>
  <c r="L6" i="3"/>
  <c r="M6" i="3"/>
  <c r="N6" i="3"/>
  <c r="O6" i="3"/>
  <c r="P6" i="3"/>
  <c r="L7" i="3"/>
  <c r="M7" i="3"/>
  <c r="N7" i="3"/>
  <c r="O7" i="3"/>
  <c r="B8" i="3" s="1"/>
  <c r="G9" i="1" s="1"/>
  <c r="P7" i="3"/>
  <c r="L8" i="3"/>
  <c r="M8" i="3"/>
  <c r="N8" i="3"/>
  <c r="O8" i="3"/>
  <c r="P8" i="3"/>
  <c r="L9" i="3"/>
  <c r="M9" i="3"/>
  <c r="N9" i="3"/>
  <c r="O9" i="3"/>
  <c r="P9" i="3"/>
  <c r="L10" i="3"/>
  <c r="M10" i="3"/>
  <c r="N10" i="3"/>
  <c r="O10" i="3"/>
  <c r="P10" i="3"/>
  <c r="L11" i="3"/>
  <c r="M11" i="3"/>
  <c r="N11" i="3"/>
  <c r="O11" i="3"/>
  <c r="P11" i="3"/>
  <c r="L12" i="3"/>
  <c r="M12" i="3"/>
  <c r="N12" i="3"/>
  <c r="O12" i="3"/>
  <c r="P12" i="3"/>
  <c r="L13" i="3"/>
  <c r="M13" i="3"/>
  <c r="N13" i="3"/>
  <c r="O13" i="3"/>
  <c r="P13" i="3"/>
  <c r="L14" i="3"/>
  <c r="M14" i="3"/>
  <c r="N14" i="3"/>
  <c r="O14" i="3"/>
  <c r="P14" i="3"/>
  <c r="L15" i="3"/>
  <c r="M15" i="3"/>
  <c r="N15" i="3"/>
  <c r="O15" i="3"/>
  <c r="P15" i="3"/>
  <c r="L16" i="3"/>
  <c r="M16" i="3"/>
  <c r="N16" i="3"/>
  <c r="O16" i="3"/>
  <c r="P16" i="3"/>
  <c r="L17" i="3"/>
  <c r="M17" i="3"/>
  <c r="N17" i="3"/>
  <c r="O17" i="3"/>
  <c r="P17" i="3"/>
  <c r="L18" i="3"/>
  <c r="M18" i="3"/>
  <c r="N18" i="3"/>
  <c r="O18" i="3"/>
  <c r="P18" i="3"/>
  <c r="L19" i="3"/>
  <c r="M19" i="3"/>
  <c r="N19" i="3"/>
  <c r="O19" i="3"/>
  <c r="P19" i="3"/>
  <c r="L20" i="3"/>
  <c r="M20" i="3"/>
  <c r="N20" i="3"/>
  <c r="O20" i="3"/>
  <c r="P20" i="3"/>
  <c r="L21" i="3"/>
  <c r="M21" i="3"/>
  <c r="N21" i="3"/>
  <c r="O21" i="3"/>
  <c r="P21" i="3"/>
  <c r="L22" i="3"/>
  <c r="M22" i="3"/>
  <c r="N22" i="3"/>
  <c r="O22" i="3"/>
  <c r="P22" i="3"/>
  <c r="L23" i="3"/>
  <c r="M23" i="3"/>
  <c r="N23" i="3"/>
  <c r="O23" i="3"/>
  <c r="P23" i="3"/>
  <c r="L24" i="3"/>
  <c r="M24" i="3"/>
  <c r="N24" i="3"/>
  <c r="O24" i="3"/>
  <c r="P24" i="3"/>
  <c r="L25" i="3"/>
  <c r="M25" i="3"/>
  <c r="N25" i="3"/>
  <c r="O25" i="3"/>
  <c r="P25" i="3"/>
  <c r="L26" i="3"/>
  <c r="M26" i="3"/>
  <c r="N26" i="3"/>
  <c r="O26" i="3"/>
  <c r="P26" i="3"/>
  <c r="L27" i="3"/>
  <c r="M27" i="3"/>
  <c r="N27" i="3"/>
  <c r="O27" i="3"/>
  <c r="P27" i="3"/>
  <c r="L28" i="3"/>
  <c r="M28" i="3"/>
  <c r="N28" i="3"/>
  <c r="O28" i="3"/>
  <c r="P28" i="3"/>
  <c r="D17" i="1"/>
  <c r="B17" i="1"/>
  <c r="B9" i="1"/>
  <c r="G14" i="1"/>
  <c r="B8" i="2"/>
  <c r="B6" i="2"/>
  <c r="B7" i="1" s="1"/>
  <c r="C11" i="1"/>
  <c r="D47" i="8"/>
  <c r="J33" i="8"/>
  <c r="G33" i="8"/>
  <c r="H33" i="8" s="1"/>
  <c r="K33" i="8" s="1"/>
  <c r="L33" i="8" s="1"/>
  <c r="F33" i="8"/>
  <c r="J32" i="8"/>
  <c r="G32" i="8"/>
  <c r="H32" i="8" s="1"/>
  <c r="K32" i="8" s="1"/>
  <c r="L32" i="8" s="1"/>
  <c r="F32" i="8"/>
  <c r="J31" i="8"/>
  <c r="G31" i="8"/>
  <c r="H31" i="8" s="1"/>
  <c r="K31" i="8" s="1"/>
  <c r="L31" i="8" s="1"/>
  <c r="F31" i="8"/>
  <c r="L30" i="8"/>
  <c r="J30" i="8"/>
  <c r="G30" i="8"/>
  <c r="H30" i="8" s="1"/>
  <c r="K30" i="8" s="1"/>
  <c r="F30" i="8"/>
  <c r="J29" i="8"/>
  <c r="G29" i="8"/>
  <c r="H29" i="8" s="1"/>
  <c r="K29" i="8" s="1"/>
  <c r="L29" i="8" s="1"/>
  <c r="F29" i="8"/>
  <c r="J28" i="8"/>
  <c r="G28" i="8"/>
  <c r="H28" i="8" s="1"/>
  <c r="K28" i="8" s="1"/>
  <c r="L28" i="8" s="1"/>
  <c r="F28" i="8"/>
  <c r="K27" i="8"/>
  <c r="L27" i="8" s="1"/>
  <c r="J27" i="8"/>
  <c r="G27" i="8"/>
  <c r="H27" i="8" s="1"/>
  <c r="F27" i="8"/>
  <c r="J26" i="8"/>
  <c r="G26" i="8"/>
  <c r="H26" i="8" s="1"/>
  <c r="K26" i="8" s="1"/>
  <c r="L26" i="8" s="1"/>
  <c r="F26" i="8"/>
  <c r="J25" i="8"/>
  <c r="G25" i="8"/>
  <c r="H25" i="8" s="1"/>
  <c r="K25" i="8" s="1"/>
  <c r="L25" i="8" s="1"/>
  <c r="F25" i="8"/>
  <c r="J24" i="8"/>
  <c r="H24" i="8"/>
  <c r="K24" i="8" s="1"/>
  <c r="L24" i="8" s="1"/>
  <c r="G24" i="8"/>
  <c r="F24" i="8"/>
  <c r="J23" i="8"/>
  <c r="G23" i="8"/>
  <c r="H23" i="8" s="1"/>
  <c r="K23" i="8" s="1"/>
  <c r="L23" i="8" s="1"/>
  <c r="F23" i="8"/>
  <c r="J22" i="8"/>
  <c r="G22" i="8"/>
  <c r="H22" i="8" s="1"/>
  <c r="K22" i="8" s="1"/>
  <c r="L22" i="8" s="1"/>
  <c r="F22" i="8"/>
  <c r="J21" i="8"/>
  <c r="H21" i="8"/>
  <c r="K21" i="8" s="1"/>
  <c r="L21" i="8" s="1"/>
  <c r="G21" i="8"/>
  <c r="F21" i="8"/>
  <c r="J20" i="8"/>
  <c r="G20" i="8"/>
  <c r="H20" i="8" s="1"/>
  <c r="K20" i="8" s="1"/>
  <c r="L20" i="8" s="1"/>
  <c r="F20" i="8"/>
  <c r="J19" i="8"/>
  <c r="G19" i="8"/>
  <c r="H19" i="8" s="1"/>
  <c r="K19" i="8" s="1"/>
  <c r="L19" i="8" s="1"/>
  <c r="F19" i="8"/>
  <c r="J18" i="8"/>
  <c r="G18" i="8"/>
  <c r="H18" i="8" s="1"/>
  <c r="K18" i="8" s="1"/>
  <c r="L18" i="8" s="1"/>
  <c r="F18" i="8"/>
  <c r="L17" i="8"/>
  <c r="K17" i="8"/>
  <c r="J17" i="8"/>
  <c r="G17" i="8"/>
  <c r="H17" i="8" s="1"/>
  <c r="F17" i="8"/>
  <c r="J16" i="8"/>
  <c r="G16" i="8"/>
  <c r="H16" i="8" s="1"/>
  <c r="K16" i="8" s="1"/>
  <c r="F16" i="8"/>
  <c r="C16" i="8"/>
  <c r="J15" i="8"/>
  <c r="G15" i="8"/>
  <c r="H15" i="8" s="1"/>
  <c r="K15" i="8" s="1"/>
  <c r="F15" i="8"/>
  <c r="G14" i="8" s="1"/>
  <c r="K14" i="8"/>
  <c r="J14" i="8"/>
  <c r="H14" i="8"/>
  <c r="F14" i="8"/>
  <c r="G13" i="8" s="1"/>
  <c r="H13" i="8" s="1"/>
  <c r="K13" i="8" s="1"/>
  <c r="J13" i="8"/>
  <c r="F13" i="8"/>
  <c r="G12" i="8" s="1"/>
  <c r="H12" i="8" s="1"/>
  <c r="K12" i="8" s="1"/>
  <c r="J12" i="8"/>
  <c r="F12" i="8"/>
  <c r="J11" i="8"/>
  <c r="G11" i="8"/>
  <c r="H11" i="8" s="1"/>
  <c r="K11" i="8" s="1"/>
  <c r="L11" i="8" s="1"/>
  <c r="L12" i="8" s="1"/>
  <c r="L13" i="8" s="1"/>
  <c r="L14" i="8" s="1"/>
  <c r="F11" i="8"/>
  <c r="J33" i="7"/>
  <c r="G33" i="7"/>
  <c r="J32" i="7"/>
  <c r="G32" i="7"/>
  <c r="J31" i="7"/>
  <c r="G31" i="7"/>
  <c r="J30" i="7"/>
  <c r="G30" i="7"/>
  <c r="J29" i="7"/>
  <c r="G29" i="7"/>
  <c r="J28" i="7"/>
  <c r="G28" i="7"/>
  <c r="J27" i="7"/>
  <c r="G27" i="7"/>
  <c r="J26" i="7"/>
  <c r="G26" i="7"/>
  <c r="J25" i="7"/>
  <c r="G25" i="7"/>
  <c r="J24" i="7"/>
  <c r="G24" i="7"/>
  <c r="J23" i="7"/>
  <c r="G23" i="7"/>
  <c r="J22" i="7"/>
  <c r="G22" i="7"/>
  <c r="J21" i="7"/>
  <c r="G21" i="7"/>
  <c r="J20" i="7"/>
  <c r="G20" i="7"/>
  <c r="J19" i="7"/>
  <c r="G19" i="7"/>
  <c r="J18" i="7"/>
  <c r="G18" i="7"/>
  <c r="J17" i="7"/>
  <c r="G17" i="7"/>
  <c r="J16" i="7"/>
  <c r="G16" i="7"/>
  <c r="J15" i="7"/>
  <c r="G15" i="7"/>
  <c r="J14" i="7"/>
  <c r="G14" i="7"/>
  <c r="J13" i="7"/>
  <c r="J12" i="7"/>
  <c r="G12" i="7"/>
  <c r="J11" i="7"/>
  <c r="B1" i="7"/>
  <c r="J33" i="6"/>
  <c r="C33" i="6"/>
  <c r="B33" i="6"/>
  <c r="J32" i="6"/>
  <c r="C32" i="6"/>
  <c r="B32" i="6"/>
  <c r="J31" i="6"/>
  <c r="E31" i="6"/>
  <c r="C31" i="6"/>
  <c r="B31" i="6"/>
  <c r="J30" i="6"/>
  <c r="C30" i="6"/>
  <c r="B30" i="6"/>
  <c r="J29" i="6"/>
  <c r="C29" i="6"/>
  <c r="B29" i="6"/>
  <c r="J28" i="6"/>
  <c r="C28" i="6"/>
  <c r="B28" i="6"/>
  <c r="J27" i="6"/>
  <c r="C27" i="6"/>
  <c r="B27" i="6"/>
  <c r="J26" i="6"/>
  <c r="C26" i="6"/>
  <c r="B26" i="6"/>
  <c r="J25" i="6"/>
  <c r="C25" i="6"/>
  <c r="B25" i="6"/>
  <c r="J24" i="6"/>
  <c r="C24" i="6"/>
  <c r="B24" i="6"/>
  <c r="J23" i="6"/>
  <c r="C23" i="6"/>
  <c r="B23" i="6"/>
  <c r="J22" i="6"/>
  <c r="C22" i="6"/>
  <c r="B22" i="6"/>
  <c r="J21" i="6"/>
  <c r="C21" i="6"/>
  <c r="B21" i="6"/>
  <c r="J20" i="6"/>
  <c r="C20" i="6"/>
  <c r="B20" i="6"/>
  <c r="J19" i="6"/>
  <c r="C19" i="6"/>
  <c r="B19" i="6"/>
  <c r="J18" i="6"/>
  <c r="C18" i="6"/>
  <c r="B18" i="6"/>
  <c r="J17" i="6"/>
  <c r="C17" i="6"/>
  <c r="B17" i="6"/>
  <c r="J16" i="6"/>
  <c r="C16" i="6"/>
  <c r="B16" i="6"/>
  <c r="J15" i="6"/>
  <c r="C15" i="6"/>
  <c r="B15" i="6"/>
  <c r="J14" i="6"/>
  <c r="C14" i="6"/>
  <c r="B14" i="6"/>
  <c r="J13" i="6"/>
  <c r="J12" i="6"/>
  <c r="J11" i="6"/>
  <c r="F4" i="6"/>
  <c r="G13" i="1" s="1"/>
  <c r="D47" i="5"/>
  <c r="J33" i="5"/>
  <c r="G33" i="5"/>
  <c r="J32" i="5"/>
  <c r="G32" i="5"/>
  <c r="J31" i="5"/>
  <c r="G31" i="5"/>
  <c r="J30" i="5"/>
  <c r="G30" i="5"/>
  <c r="J29" i="5"/>
  <c r="G29" i="5"/>
  <c r="E29" i="5"/>
  <c r="J28" i="5"/>
  <c r="G28" i="5"/>
  <c r="J27" i="5"/>
  <c r="G27" i="5"/>
  <c r="J26" i="5"/>
  <c r="G26" i="5"/>
  <c r="J25" i="5"/>
  <c r="G25" i="5"/>
  <c r="J24" i="5"/>
  <c r="G24" i="5"/>
  <c r="J23" i="5"/>
  <c r="G23" i="5"/>
  <c r="J22" i="5"/>
  <c r="G22" i="5"/>
  <c r="J21" i="5"/>
  <c r="G21" i="5"/>
  <c r="J20" i="5"/>
  <c r="G20" i="5"/>
  <c r="J19" i="5"/>
  <c r="G19" i="5"/>
  <c r="J18" i="5"/>
  <c r="G18" i="5"/>
  <c r="J17" i="5"/>
  <c r="G17" i="5"/>
  <c r="J16" i="5"/>
  <c r="G16" i="5"/>
  <c r="J15" i="5"/>
  <c r="G15" i="5"/>
  <c r="J14" i="5"/>
  <c r="G14" i="5"/>
  <c r="J13" i="5"/>
  <c r="G13" i="5"/>
  <c r="J12" i="5"/>
  <c r="G12" i="5"/>
  <c r="J11" i="5"/>
  <c r="Y58" i="4"/>
  <c r="R57" i="4"/>
  <c r="Y57" i="4" s="1"/>
  <c r="R56" i="4"/>
  <c r="Y56" i="4" s="1"/>
  <c r="Y55" i="4"/>
  <c r="R55" i="4"/>
  <c r="Y54" i="4"/>
  <c r="R54" i="4"/>
  <c r="R53" i="4"/>
  <c r="Y53" i="4" s="1"/>
  <c r="R52" i="4"/>
  <c r="Y52" i="4" s="1"/>
  <c r="R51" i="4"/>
  <c r="Y51" i="4" s="1"/>
  <c r="R50" i="4"/>
  <c r="Y50" i="4" s="1"/>
  <c r="Y49" i="4"/>
  <c r="R49" i="4"/>
  <c r="R48" i="4"/>
  <c r="Y48" i="4" s="1"/>
  <c r="R47" i="4"/>
  <c r="Y47" i="4" s="1"/>
  <c r="R46" i="4"/>
  <c r="Y46" i="4" s="1"/>
  <c r="Y45" i="4"/>
  <c r="R45" i="4"/>
  <c r="Y44" i="4"/>
  <c r="R44" i="4"/>
  <c r="R43" i="4"/>
  <c r="Y43" i="4" s="1"/>
  <c r="R42" i="4"/>
  <c r="Y42" i="4" s="1"/>
  <c r="R41" i="4"/>
  <c r="Y41" i="4" s="1"/>
  <c r="R40" i="4"/>
  <c r="Y40" i="4" s="1"/>
  <c r="Y39" i="4"/>
  <c r="R39" i="4"/>
  <c r="R38" i="4"/>
  <c r="Y38" i="4" s="1"/>
  <c r="R37" i="4"/>
  <c r="Y37" i="4" s="1"/>
  <c r="R36" i="4"/>
  <c r="Y36" i="4" s="1"/>
  <c r="R35" i="4"/>
  <c r="Y35" i="4" s="1"/>
  <c r="Y34" i="4"/>
  <c r="R34" i="4"/>
  <c r="R33" i="4"/>
  <c r="Y33" i="4" s="1"/>
  <c r="R32" i="4"/>
  <c r="Y32" i="4" s="1"/>
  <c r="R31" i="4"/>
  <c r="Y31" i="4" s="1"/>
  <c r="Y30" i="4"/>
  <c r="R30" i="4"/>
  <c r="Y29" i="4"/>
  <c r="R29" i="4"/>
  <c r="R28" i="4"/>
  <c r="Y28" i="4" s="1"/>
  <c r="R27" i="4"/>
  <c r="Y27" i="4" s="1"/>
  <c r="R26" i="4"/>
  <c r="Y26" i="4" s="1"/>
  <c r="R25" i="4"/>
  <c r="Y25" i="4" s="1"/>
  <c r="E33" i="7" s="1"/>
  <c r="R24" i="4"/>
  <c r="Y24" i="4" s="1"/>
  <c r="E32" i="7" s="1"/>
  <c r="R23" i="4"/>
  <c r="Y23" i="4" s="1"/>
  <c r="E31" i="7" s="1"/>
  <c r="R22" i="4"/>
  <c r="Y22" i="4" s="1"/>
  <c r="E30" i="7" s="1"/>
  <c r="R21" i="4"/>
  <c r="Y21" i="4" s="1"/>
  <c r="E29" i="7" s="1"/>
  <c r="R20" i="4"/>
  <c r="Y20" i="4" s="1"/>
  <c r="E28" i="7" s="1"/>
  <c r="R19" i="4"/>
  <c r="Y19" i="4" s="1"/>
  <c r="E27" i="7" s="1"/>
  <c r="R18" i="4"/>
  <c r="Y18" i="4" s="1"/>
  <c r="E26" i="7" s="1"/>
  <c r="R17" i="4"/>
  <c r="Y17" i="4" s="1"/>
  <c r="E25" i="7" s="1"/>
  <c r="R16" i="4"/>
  <c r="Y16" i="4" s="1"/>
  <c r="E24" i="7" s="1"/>
  <c r="R15" i="4"/>
  <c r="Y15" i="4" s="1"/>
  <c r="E23" i="7" s="1"/>
  <c r="R14" i="4"/>
  <c r="Y14" i="4" s="1"/>
  <c r="E22" i="7" s="1"/>
  <c r="R13" i="4"/>
  <c r="Y13" i="4" s="1"/>
  <c r="E21" i="7" s="1"/>
  <c r="R12" i="4"/>
  <c r="Y12" i="4" s="1"/>
  <c r="E20" i="7" s="1"/>
  <c r="R11" i="4"/>
  <c r="Y11" i="4" s="1"/>
  <c r="E19" i="7" s="1"/>
  <c r="R10" i="4"/>
  <c r="Y10" i="4" s="1"/>
  <c r="E18" i="7" s="1"/>
  <c r="R9" i="4"/>
  <c r="Y9" i="4" s="1"/>
  <c r="E17" i="7" s="1"/>
  <c r="R8" i="4"/>
  <c r="Y8" i="4" s="1"/>
  <c r="E16" i="7" s="1"/>
  <c r="R7" i="4"/>
  <c r="Y7" i="4" s="1"/>
  <c r="E15" i="7" s="1"/>
  <c r="R6" i="4"/>
  <c r="Y6" i="4" s="1"/>
  <c r="E14" i="7" s="1"/>
  <c r="R5" i="4"/>
  <c r="Y5" i="4" s="1"/>
  <c r="E13" i="7" s="1"/>
  <c r="R4" i="4"/>
  <c r="Y4" i="4" s="1"/>
  <c r="E12" i="7" s="1"/>
  <c r="G3" i="4"/>
  <c r="Y58" i="3"/>
  <c r="W57" i="3"/>
  <c r="V57" i="3"/>
  <c r="U57" i="3"/>
  <c r="T57" i="3"/>
  <c r="S57" i="3"/>
  <c r="R57" i="3"/>
  <c r="Y57" i="3" s="1"/>
  <c r="P57" i="3"/>
  <c r="O57" i="3"/>
  <c r="N57" i="3"/>
  <c r="M57" i="3"/>
  <c r="L57" i="3"/>
  <c r="Y56" i="3"/>
  <c r="W56" i="3"/>
  <c r="V56" i="3"/>
  <c r="U56" i="3"/>
  <c r="T56" i="3"/>
  <c r="S56" i="3"/>
  <c r="R56" i="3" s="1"/>
  <c r="P56" i="3"/>
  <c r="O56" i="3"/>
  <c r="N56" i="3"/>
  <c r="M56" i="3"/>
  <c r="L56" i="3"/>
  <c r="W55" i="3"/>
  <c r="V55" i="3"/>
  <c r="U55" i="3"/>
  <c r="T55" i="3"/>
  <c r="S55" i="3"/>
  <c r="R55" i="3" s="1"/>
  <c r="Y55" i="3" s="1"/>
  <c r="P55" i="3"/>
  <c r="O55" i="3"/>
  <c r="N55" i="3"/>
  <c r="M55" i="3"/>
  <c r="L55" i="3"/>
  <c r="W54" i="3"/>
  <c r="V54" i="3"/>
  <c r="U54" i="3"/>
  <c r="T54" i="3"/>
  <c r="S54" i="3"/>
  <c r="P54" i="3"/>
  <c r="O54" i="3"/>
  <c r="N54" i="3"/>
  <c r="M54" i="3"/>
  <c r="L54" i="3"/>
  <c r="Y53" i="3"/>
  <c r="W53" i="3"/>
  <c r="V53" i="3"/>
  <c r="U53" i="3"/>
  <c r="T53" i="3"/>
  <c r="S53" i="3"/>
  <c r="R53" i="3"/>
  <c r="P53" i="3"/>
  <c r="O53" i="3"/>
  <c r="N53" i="3"/>
  <c r="M53" i="3"/>
  <c r="L53" i="3"/>
  <c r="W52" i="3"/>
  <c r="V52" i="3"/>
  <c r="U52" i="3"/>
  <c r="T52" i="3"/>
  <c r="S52" i="3"/>
  <c r="R52" i="3" s="1"/>
  <c r="Y52" i="3" s="1"/>
  <c r="P52" i="3"/>
  <c r="O52" i="3"/>
  <c r="N52" i="3"/>
  <c r="M52" i="3"/>
  <c r="L52" i="3"/>
  <c r="W51" i="3"/>
  <c r="V51" i="3"/>
  <c r="R51" i="3" s="1"/>
  <c r="Y51" i="3" s="1"/>
  <c r="U51" i="3"/>
  <c r="T51" i="3"/>
  <c r="S51" i="3"/>
  <c r="P51" i="3"/>
  <c r="O51" i="3"/>
  <c r="N51" i="3"/>
  <c r="M51" i="3"/>
  <c r="L51" i="3"/>
  <c r="W50" i="3"/>
  <c r="V50" i="3"/>
  <c r="U50" i="3"/>
  <c r="T50" i="3"/>
  <c r="S50" i="3"/>
  <c r="R50" i="3" s="1"/>
  <c r="Y50" i="3" s="1"/>
  <c r="P50" i="3"/>
  <c r="O50" i="3"/>
  <c r="N50" i="3"/>
  <c r="M50" i="3"/>
  <c r="L50" i="3"/>
  <c r="W49" i="3"/>
  <c r="V49" i="3"/>
  <c r="U49" i="3"/>
  <c r="T49" i="3"/>
  <c r="R49" i="3" s="1"/>
  <c r="Y49" i="3" s="1"/>
  <c r="S49" i="3"/>
  <c r="P49" i="3"/>
  <c r="O49" i="3"/>
  <c r="N49" i="3"/>
  <c r="M49" i="3"/>
  <c r="L49" i="3"/>
  <c r="W48" i="3"/>
  <c r="V48" i="3"/>
  <c r="U48" i="3"/>
  <c r="T48" i="3"/>
  <c r="S48" i="3"/>
  <c r="R48" i="3" s="1"/>
  <c r="Y48" i="3" s="1"/>
  <c r="P48" i="3"/>
  <c r="O48" i="3"/>
  <c r="N48" i="3"/>
  <c r="M48" i="3"/>
  <c r="L48" i="3"/>
  <c r="W47" i="3"/>
  <c r="V47" i="3"/>
  <c r="U47" i="3"/>
  <c r="T47" i="3"/>
  <c r="S47" i="3"/>
  <c r="R47" i="3"/>
  <c r="Y47" i="3" s="1"/>
  <c r="P47" i="3"/>
  <c r="O47" i="3"/>
  <c r="N47" i="3"/>
  <c r="M47" i="3"/>
  <c r="L47" i="3"/>
  <c r="W46" i="3"/>
  <c r="V46" i="3"/>
  <c r="U46" i="3"/>
  <c r="T46" i="3"/>
  <c r="S46" i="3"/>
  <c r="P46" i="3"/>
  <c r="O46" i="3"/>
  <c r="N46" i="3"/>
  <c r="M46" i="3"/>
  <c r="L46" i="3"/>
  <c r="W45" i="3"/>
  <c r="V45" i="3"/>
  <c r="U45" i="3"/>
  <c r="T45" i="3"/>
  <c r="S45" i="3"/>
  <c r="R45" i="3" s="1"/>
  <c r="Y45" i="3" s="1"/>
  <c r="P45" i="3"/>
  <c r="O45" i="3"/>
  <c r="N45" i="3"/>
  <c r="M45" i="3"/>
  <c r="L45" i="3"/>
  <c r="W44" i="3"/>
  <c r="V44" i="3"/>
  <c r="U44" i="3"/>
  <c r="T44" i="3"/>
  <c r="S44" i="3"/>
  <c r="R44" i="3" s="1"/>
  <c r="Y44" i="3" s="1"/>
  <c r="P44" i="3"/>
  <c r="O44" i="3"/>
  <c r="N44" i="3"/>
  <c r="M44" i="3"/>
  <c r="L44" i="3"/>
  <c r="Y43" i="3"/>
  <c r="W43" i="3"/>
  <c r="V43" i="3"/>
  <c r="U43" i="3"/>
  <c r="T43" i="3"/>
  <c r="S43" i="3"/>
  <c r="R43" i="3"/>
  <c r="P43" i="3"/>
  <c r="O43" i="3"/>
  <c r="N43" i="3"/>
  <c r="M43" i="3"/>
  <c r="L43" i="3"/>
  <c r="W42" i="3"/>
  <c r="V42" i="3"/>
  <c r="U42" i="3"/>
  <c r="T42" i="3"/>
  <c r="S42" i="3"/>
  <c r="R42" i="3" s="1"/>
  <c r="Y42" i="3" s="1"/>
  <c r="P42" i="3"/>
  <c r="O42" i="3"/>
  <c r="N42" i="3"/>
  <c r="M42" i="3"/>
  <c r="L42" i="3"/>
  <c r="W41" i="3"/>
  <c r="V41" i="3"/>
  <c r="U41" i="3"/>
  <c r="R41" i="3" s="1"/>
  <c r="Y41" i="3" s="1"/>
  <c r="T41" i="3"/>
  <c r="S41" i="3"/>
  <c r="P41" i="3"/>
  <c r="O41" i="3"/>
  <c r="N41" i="3"/>
  <c r="M41" i="3"/>
  <c r="L41" i="3"/>
  <c r="W40" i="3"/>
  <c r="V40" i="3"/>
  <c r="U40" i="3"/>
  <c r="T40" i="3"/>
  <c r="S40" i="3"/>
  <c r="R40" i="3" s="1"/>
  <c r="Y40" i="3" s="1"/>
  <c r="P40" i="3"/>
  <c r="O40" i="3"/>
  <c r="N40" i="3"/>
  <c r="M40" i="3"/>
  <c r="L40" i="3"/>
  <c r="W39" i="3"/>
  <c r="V39" i="3"/>
  <c r="U39" i="3"/>
  <c r="T39" i="3"/>
  <c r="S39" i="3"/>
  <c r="P39" i="3"/>
  <c r="O39" i="3"/>
  <c r="N39" i="3"/>
  <c r="M39" i="3"/>
  <c r="L39" i="3"/>
  <c r="W38" i="3"/>
  <c r="V38" i="3"/>
  <c r="U38" i="3"/>
  <c r="T38" i="3"/>
  <c r="S38" i="3"/>
  <c r="R38" i="3" s="1"/>
  <c r="Y38" i="3" s="1"/>
  <c r="P38" i="3"/>
  <c r="O38" i="3"/>
  <c r="N38" i="3"/>
  <c r="M38" i="3"/>
  <c r="L38" i="3"/>
  <c r="W37" i="3"/>
  <c r="V37" i="3"/>
  <c r="U37" i="3"/>
  <c r="T37" i="3"/>
  <c r="S37" i="3"/>
  <c r="R37" i="3"/>
  <c r="Y37" i="3" s="1"/>
  <c r="P37" i="3"/>
  <c r="O37" i="3"/>
  <c r="N37" i="3"/>
  <c r="M37" i="3"/>
  <c r="L37" i="3"/>
  <c r="W36" i="3"/>
  <c r="V36" i="3"/>
  <c r="U36" i="3"/>
  <c r="T36" i="3"/>
  <c r="S36" i="3"/>
  <c r="R36" i="3" s="1"/>
  <c r="Y36" i="3" s="1"/>
  <c r="P36" i="3"/>
  <c r="O36" i="3"/>
  <c r="N36" i="3"/>
  <c r="M36" i="3"/>
  <c r="L36" i="3"/>
  <c r="W35" i="3"/>
  <c r="V35" i="3"/>
  <c r="U35" i="3"/>
  <c r="T35" i="3"/>
  <c r="S35" i="3"/>
  <c r="R35" i="3"/>
  <c r="Y35" i="3" s="1"/>
  <c r="P35" i="3"/>
  <c r="O35" i="3"/>
  <c r="N35" i="3"/>
  <c r="M35" i="3"/>
  <c r="L35" i="3"/>
  <c r="W34" i="3"/>
  <c r="V34" i="3"/>
  <c r="U34" i="3"/>
  <c r="T34" i="3"/>
  <c r="S34" i="3"/>
  <c r="P34" i="3"/>
  <c r="O34" i="3"/>
  <c r="N34" i="3"/>
  <c r="M34" i="3"/>
  <c r="L34" i="3"/>
  <c r="Y33" i="3"/>
  <c r="W33" i="3"/>
  <c r="V33" i="3"/>
  <c r="U33" i="3"/>
  <c r="T33" i="3"/>
  <c r="S33" i="3"/>
  <c r="R33" i="3"/>
  <c r="P33" i="3"/>
  <c r="O33" i="3"/>
  <c r="N33" i="3"/>
  <c r="M33" i="3"/>
  <c r="L33" i="3"/>
  <c r="W32" i="3"/>
  <c r="V32" i="3"/>
  <c r="U32" i="3"/>
  <c r="T32" i="3"/>
  <c r="S32" i="3"/>
  <c r="P32" i="3"/>
  <c r="O32" i="3"/>
  <c r="N32" i="3"/>
  <c r="M32" i="3"/>
  <c r="L32" i="3"/>
  <c r="W31" i="3"/>
  <c r="V31" i="3"/>
  <c r="U31" i="3"/>
  <c r="T31" i="3"/>
  <c r="S31" i="3"/>
  <c r="R31" i="3"/>
  <c r="Y31" i="3" s="1"/>
  <c r="P31" i="3"/>
  <c r="O31" i="3"/>
  <c r="N31" i="3"/>
  <c r="M31" i="3"/>
  <c r="L31" i="3"/>
  <c r="W30" i="3"/>
  <c r="V30" i="3"/>
  <c r="U30" i="3"/>
  <c r="T30" i="3"/>
  <c r="S30" i="3"/>
  <c r="R30" i="3" s="1"/>
  <c r="Y30" i="3" s="1"/>
  <c r="P30" i="3"/>
  <c r="O30" i="3"/>
  <c r="N30" i="3"/>
  <c r="M30" i="3"/>
  <c r="L30" i="3"/>
  <c r="W29" i="3"/>
  <c r="V29" i="3"/>
  <c r="U29" i="3"/>
  <c r="T29" i="3"/>
  <c r="S29" i="3"/>
  <c r="P29" i="3"/>
  <c r="O29" i="3"/>
  <c r="N29" i="3"/>
  <c r="M29" i="3"/>
  <c r="L29" i="3"/>
  <c r="W28" i="3"/>
  <c r="V28" i="3"/>
  <c r="U28" i="3"/>
  <c r="T28" i="3"/>
  <c r="S28" i="3"/>
  <c r="R28" i="3"/>
  <c r="Y28" i="3" s="1"/>
  <c r="W27" i="3"/>
  <c r="V27" i="3"/>
  <c r="R27" i="3" s="1"/>
  <c r="Y27" i="3" s="1"/>
  <c r="U27" i="3"/>
  <c r="T27" i="3"/>
  <c r="S27" i="3"/>
  <c r="W26" i="3"/>
  <c r="V26" i="3"/>
  <c r="U26" i="3"/>
  <c r="T26" i="3"/>
  <c r="S26" i="3"/>
  <c r="W25" i="3"/>
  <c r="V25" i="3"/>
  <c r="U25" i="3"/>
  <c r="T25" i="3"/>
  <c r="S25" i="3"/>
  <c r="R25" i="3"/>
  <c r="Y25" i="3" s="1"/>
  <c r="E33" i="6" s="1"/>
  <c r="W24" i="3"/>
  <c r="V24" i="3"/>
  <c r="U24" i="3"/>
  <c r="T24" i="3"/>
  <c r="S24" i="3"/>
  <c r="R24" i="3" s="1"/>
  <c r="Y24" i="3" s="1"/>
  <c r="E32" i="6" s="1"/>
  <c r="Y23" i="3"/>
  <c r="W23" i="3"/>
  <c r="V23" i="3"/>
  <c r="U23" i="3"/>
  <c r="T23" i="3"/>
  <c r="S23" i="3"/>
  <c r="R23" i="3"/>
  <c r="W22" i="3"/>
  <c r="V22" i="3"/>
  <c r="U22" i="3"/>
  <c r="T22" i="3"/>
  <c r="S22" i="3"/>
  <c r="W21" i="3"/>
  <c r="V21" i="3"/>
  <c r="U21" i="3"/>
  <c r="R21" i="3" s="1"/>
  <c r="Y21" i="3" s="1"/>
  <c r="E29" i="6" s="1"/>
  <c r="T21" i="3"/>
  <c r="S21" i="3"/>
  <c r="W20" i="3"/>
  <c r="V20" i="3"/>
  <c r="U20" i="3"/>
  <c r="T20" i="3"/>
  <c r="S20" i="3"/>
  <c r="R20" i="3" s="1"/>
  <c r="Y20" i="3" s="1"/>
  <c r="E28" i="6" s="1"/>
  <c r="W19" i="3"/>
  <c r="V19" i="3"/>
  <c r="U19" i="3"/>
  <c r="T19" i="3"/>
  <c r="R19" i="3" s="1"/>
  <c r="Y19" i="3" s="1"/>
  <c r="E27" i="6" s="1"/>
  <c r="S19" i="3"/>
  <c r="W18" i="3"/>
  <c r="V18" i="3"/>
  <c r="U18" i="3"/>
  <c r="T18" i="3"/>
  <c r="S18" i="3"/>
  <c r="R18" i="3"/>
  <c r="Y18" i="3" s="1"/>
  <c r="E26" i="6" s="1"/>
  <c r="W17" i="3"/>
  <c r="V17" i="3"/>
  <c r="R17" i="3" s="1"/>
  <c r="Y17" i="3" s="1"/>
  <c r="E25" i="6" s="1"/>
  <c r="U17" i="3"/>
  <c r="T17" i="3"/>
  <c r="S17" i="3"/>
  <c r="W16" i="3"/>
  <c r="V16" i="3"/>
  <c r="U16" i="3"/>
  <c r="T16" i="3"/>
  <c r="S16" i="3"/>
  <c r="W15" i="3"/>
  <c r="V15" i="3"/>
  <c r="U15" i="3"/>
  <c r="T15" i="3"/>
  <c r="S15" i="3"/>
  <c r="R15" i="3"/>
  <c r="Y15" i="3" s="1"/>
  <c r="E23" i="6" s="1"/>
  <c r="W14" i="3"/>
  <c r="V14" i="3"/>
  <c r="U14" i="3"/>
  <c r="T14" i="3"/>
  <c r="S14" i="3"/>
  <c r="W13" i="3"/>
  <c r="V13" i="3"/>
  <c r="U13" i="3"/>
  <c r="T13" i="3"/>
  <c r="S13" i="3"/>
  <c r="R13" i="3"/>
  <c r="Y13" i="3" s="1"/>
  <c r="E21" i="6" s="1"/>
  <c r="W12" i="3"/>
  <c r="V12" i="3"/>
  <c r="U12" i="3"/>
  <c r="T12" i="3"/>
  <c r="S12" i="3"/>
  <c r="W11" i="3"/>
  <c r="V11" i="3"/>
  <c r="U11" i="3"/>
  <c r="R11" i="3" s="1"/>
  <c r="Y11" i="3" s="1"/>
  <c r="E19" i="6" s="1"/>
  <c r="T11" i="3"/>
  <c r="S11" i="3"/>
  <c r="W10" i="3"/>
  <c r="V10" i="3"/>
  <c r="U10" i="3"/>
  <c r="T10" i="3"/>
  <c r="S10" i="3"/>
  <c r="R10" i="3" s="1"/>
  <c r="Y10" i="3" s="1"/>
  <c r="E18" i="6" s="1"/>
  <c r="W9" i="3"/>
  <c r="V9" i="3"/>
  <c r="U9" i="3"/>
  <c r="T9" i="3"/>
  <c r="S9" i="3"/>
  <c r="R9" i="3" s="1"/>
  <c r="Y9" i="3" s="1"/>
  <c r="E17" i="6" s="1"/>
  <c r="W8" i="3"/>
  <c r="V8" i="3"/>
  <c r="U8" i="3"/>
  <c r="T8" i="3"/>
  <c r="S8" i="3"/>
  <c r="R8" i="3"/>
  <c r="Y8" i="3" s="1"/>
  <c r="E16" i="6" s="1"/>
  <c r="W7" i="3"/>
  <c r="V7" i="3"/>
  <c r="U7" i="3"/>
  <c r="T7" i="3"/>
  <c r="S7" i="3"/>
  <c r="W6" i="3"/>
  <c r="V6" i="3"/>
  <c r="U6" i="3"/>
  <c r="R6" i="3" s="1"/>
  <c r="Y6" i="3" s="1"/>
  <c r="E14" i="6" s="1"/>
  <c r="T6" i="3"/>
  <c r="S6" i="3"/>
  <c r="W5" i="3"/>
  <c r="V5" i="3"/>
  <c r="U5" i="3"/>
  <c r="T5" i="3"/>
  <c r="S5" i="3"/>
  <c r="W4" i="3"/>
  <c r="V4" i="3"/>
  <c r="U4" i="3"/>
  <c r="T4" i="3"/>
  <c r="G4" i="3" s="1"/>
  <c r="S4" i="3"/>
  <c r="W3" i="3"/>
  <c r="V3" i="3"/>
  <c r="G6" i="3" s="1"/>
  <c r="U3" i="3"/>
  <c r="T3" i="3"/>
  <c r="S3" i="3"/>
  <c r="R3" i="3"/>
  <c r="Y3" i="3" s="1"/>
  <c r="P3" i="3"/>
  <c r="O3" i="3"/>
  <c r="N3" i="3"/>
  <c r="M3" i="3"/>
  <c r="L3" i="3"/>
  <c r="Y58" i="2"/>
  <c r="R57" i="2"/>
  <c r="Y57" i="2" s="1"/>
  <c r="R56" i="2"/>
  <c r="Y56" i="2" s="1"/>
  <c r="R55" i="2"/>
  <c r="Y55" i="2" s="1"/>
  <c r="Y54" i="2"/>
  <c r="R54" i="2"/>
  <c r="R53" i="2"/>
  <c r="Y53" i="2" s="1"/>
  <c r="R52" i="2"/>
  <c r="Y52" i="2" s="1"/>
  <c r="R51" i="2"/>
  <c r="Y51" i="2" s="1"/>
  <c r="R50" i="2"/>
  <c r="Y50" i="2" s="1"/>
  <c r="Y49" i="2"/>
  <c r="R49" i="2"/>
  <c r="R48" i="2"/>
  <c r="Y48" i="2" s="1"/>
  <c r="R47" i="2"/>
  <c r="Y47" i="2" s="1"/>
  <c r="R46" i="2"/>
  <c r="Y46" i="2" s="1"/>
  <c r="R45" i="2"/>
  <c r="Y45" i="2" s="1"/>
  <c r="R44" i="2"/>
  <c r="Y44" i="2" s="1"/>
  <c r="R43" i="2"/>
  <c r="Y43" i="2" s="1"/>
  <c r="R42" i="2"/>
  <c r="Y42" i="2" s="1"/>
  <c r="R41" i="2"/>
  <c r="Y41" i="2" s="1"/>
  <c r="R40" i="2"/>
  <c r="Y40" i="2" s="1"/>
  <c r="R39" i="2"/>
  <c r="Y39" i="2" s="1"/>
  <c r="R38" i="2"/>
  <c r="Y38" i="2" s="1"/>
  <c r="R37" i="2"/>
  <c r="Y37" i="2" s="1"/>
  <c r="Y36" i="2"/>
  <c r="R36" i="2"/>
  <c r="R35" i="2"/>
  <c r="Y35" i="2" s="1"/>
  <c r="R34" i="2"/>
  <c r="Y34" i="2" s="1"/>
  <c r="R33" i="2"/>
  <c r="Y33" i="2" s="1"/>
  <c r="R32" i="2"/>
  <c r="Y32" i="2" s="1"/>
  <c r="R31" i="2"/>
  <c r="Y31" i="2" s="1"/>
  <c r="R30" i="2"/>
  <c r="Y30" i="2" s="1"/>
  <c r="R29" i="2"/>
  <c r="Y29" i="2" s="1"/>
  <c r="R28" i="2"/>
  <c r="Y28" i="2" s="1"/>
  <c r="R27" i="2"/>
  <c r="Y27" i="2" s="1"/>
  <c r="R26" i="2"/>
  <c r="Y26" i="2" s="1"/>
  <c r="R25" i="2"/>
  <c r="Y25" i="2" s="1"/>
  <c r="E33" i="5" s="1"/>
  <c r="Y24" i="2"/>
  <c r="E32" i="5" s="1"/>
  <c r="R24" i="2"/>
  <c r="R23" i="2"/>
  <c r="Y23" i="2" s="1"/>
  <c r="E31" i="5" s="1"/>
  <c r="R22" i="2"/>
  <c r="Y22" i="2" s="1"/>
  <c r="E30" i="5" s="1"/>
  <c r="Y21" i="2"/>
  <c r="R21" i="2"/>
  <c r="R20" i="2"/>
  <c r="Y20" i="2" s="1"/>
  <c r="E28" i="5" s="1"/>
  <c r="Y19" i="2"/>
  <c r="E27" i="5" s="1"/>
  <c r="R19" i="2"/>
  <c r="R18" i="2"/>
  <c r="Y18" i="2" s="1"/>
  <c r="E26" i="5" s="1"/>
  <c r="R17" i="2"/>
  <c r="Y17" i="2" s="1"/>
  <c r="E25" i="5" s="1"/>
  <c r="Y16" i="2"/>
  <c r="E24" i="5" s="1"/>
  <c r="R16" i="2"/>
  <c r="R15" i="2"/>
  <c r="Y15" i="2" s="1"/>
  <c r="E23" i="5" s="1"/>
  <c r="R14" i="2"/>
  <c r="Y14" i="2" s="1"/>
  <c r="E22" i="5" s="1"/>
  <c r="R13" i="2"/>
  <c r="Y13" i="2" s="1"/>
  <c r="E21" i="5" s="1"/>
  <c r="R12" i="2"/>
  <c r="Y12" i="2" s="1"/>
  <c r="E20" i="5" s="1"/>
  <c r="Y11" i="2"/>
  <c r="E19" i="5" s="1"/>
  <c r="R11" i="2"/>
  <c r="R10" i="2"/>
  <c r="Y10" i="2" s="1"/>
  <c r="E18" i="5" s="1"/>
  <c r="Y9" i="2"/>
  <c r="E17" i="5" s="1"/>
  <c r="R9" i="2"/>
  <c r="Y8" i="2"/>
  <c r="E16" i="5" s="1"/>
  <c r="R8" i="2"/>
  <c r="D8" i="2"/>
  <c r="D9" i="1" s="1"/>
  <c r="R7" i="2"/>
  <c r="Y7" i="2" s="1"/>
  <c r="E15" i="5" s="1"/>
  <c r="G7" i="2"/>
  <c r="R6" i="2"/>
  <c r="Y6" i="2" s="1"/>
  <c r="E14" i="5" s="1"/>
  <c r="G6" i="2"/>
  <c r="R5" i="2"/>
  <c r="Y5" i="2" s="1"/>
  <c r="E13" i="5" s="1"/>
  <c r="G5" i="2"/>
  <c r="B7" i="2" s="1"/>
  <c r="B8" i="1" s="1"/>
  <c r="C20" i="1" s="1"/>
  <c r="R4" i="2"/>
  <c r="Y4" i="2" s="1"/>
  <c r="E12" i="5" s="1"/>
  <c r="G4" i="2"/>
  <c r="C4" i="2"/>
  <c r="R3" i="2"/>
  <c r="Y3" i="2" s="1"/>
  <c r="G3" i="2"/>
  <c r="M13" i="1"/>
  <c r="H13" i="1"/>
  <c r="C13" i="1"/>
  <c r="B13" i="1"/>
  <c r="C4" i="1"/>
  <c r="L21" i="1" l="1"/>
  <c r="G5" i="4"/>
  <c r="G6" i="4"/>
  <c r="G7" i="4"/>
  <c r="G4" i="4"/>
  <c r="R3" i="4"/>
  <c r="Y3" i="4" s="1"/>
  <c r="D7" i="4"/>
  <c r="N20" i="1" s="1"/>
  <c r="B7" i="4"/>
  <c r="B6" i="4"/>
  <c r="C4" i="4"/>
  <c r="N17" i="1"/>
  <c r="B6" i="3"/>
  <c r="D7" i="2"/>
  <c r="D8" i="1" s="1"/>
  <c r="D20" i="1" s="1"/>
  <c r="C4" i="3"/>
  <c r="B16" i="1"/>
  <c r="B21" i="1" s="1"/>
  <c r="G7" i="1"/>
  <c r="I9" i="1"/>
  <c r="L16" i="8"/>
  <c r="L15" i="8"/>
  <c r="E11" i="7"/>
  <c r="Y59" i="4"/>
  <c r="G5" i="3"/>
  <c r="R5" i="3"/>
  <c r="Y5" i="3" s="1"/>
  <c r="E13" i="6" s="1"/>
  <c r="R54" i="3"/>
  <c r="Y54" i="3" s="1"/>
  <c r="R32" i="3"/>
  <c r="Y32" i="3" s="1"/>
  <c r="G16" i="6"/>
  <c r="G15" i="6"/>
  <c r="G20" i="6"/>
  <c r="G19" i="6"/>
  <c r="G24" i="6"/>
  <c r="G23" i="6"/>
  <c r="G28" i="6"/>
  <c r="G27" i="6"/>
  <c r="G32" i="6"/>
  <c r="G33" i="6"/>
  <c r="G31" i="6"/>
  <c r="E11" i="6"/>
  <c r="C5" i="2"/>
  <c r="D6" i="2" s="1"/>
  <c r="C5" i="1"/>
  <c r="R7" i="3"/>
  <c r="Y7" i="3" s="1"/>
  <c r="E15" i="6" s="1"/>
  <c r="R12" i="3"/>
  <c r="Y12" i="3" s="1"/>
  <c r="E20" i="6" s="1"/>
  <c r="R34" i="3"/>
  <c r="Y34" i="3" s="1"/>
  <c r="R39" i="3"/>
  <c r="Y39" i="3" s="1"/>
  <c r="R46" i="3"/>
  <c r="Y46" i="3" s="1"/>
  <c r="G3" i="3"/>
  <c r="R22" i="3"/>
  <c r="Y22" i="3" s="1"/>
  <c r="E30" i="6" s="1"/>
  <c r="E11" i="5"/>
  <c r="Y59" i="2"/>
  <c r="G7" i="3"/>
  <c r="R4" i="3"/>
  <c r="Y4" i="3" s="1"/>
  <c r="E12" i="6" s="1"/>
  <c r="R29" i="3"/>
  <c r="Y29" i="3" s="1"/>
  <c r="R14" i="3"/>
  <c r="Y14" i="3" s="1"/>
  <c r="E22" i="6" s="1"/>
  <c r="F5" i="8"/>
  <c r="G3" i="8" s="1"/>
  <c r="G12" i="6"/>
  <c r="G14" i="6"/>
  <c r="G13" i="6"/>
  <c r="G18" i="6"/>
  <c r="G17" i="6"/>
  <c r="G22" i="6"/>
  <c r="G21" i="6"/>
  <c r="G30" i="6"/>
  <c r="G29" i="6"/>
  <c r="R26" i="3"/>
  <c r="Y26" i="3" s="1"/>
  <c r="G26" i="6"/>
  <c r="G25" i="6"/>
  <c r="R16" i="3"/>
  <c r="Y16" i="3" s="1"/>
  <c r="E24" i="6" s="1"/>
  <c r="M5" i="1" l="1"/>
  <c r="C5" i="4"/>
  <c r="H5" i="1"/>
  <c r="C5" i="3"/>
  <c r="D7" i="3"/>
  <c r="B7" i="3"/>
  <c r="G8" i="1" s="1"/>
  <c r="X5" i="2"/>
  <c r="X53" i="2"/>
  <c r="X43" i="2"/>
  <c r="X38" i="2"/>
  <c r="X33" i="2"/>
  <c r="X23" i="2"/>
  <c r="X18" i="2"/>
  <c r="K9" i="2"/>
  <c r="D17" i="5" s="1"/>
  <c r="C6" i="1"/>
  <c r="X48" i="2"/>
  <c r="X28" i="2"/>
  <c r="X13" i="2"/>
  <c r="K5" i="2"/>
  <c r="D13" i="5" s="1"/>
  <c r="K53" i="2"/>
  <c r="K48" i="2"/>
  <c r="K43" i="2"/>
  <c r="K38" i="2"/>
  <c r="K33" i="2"/>
  <c r="K28" i="2"/>
  <c r="K23" i="2"/>
  <c r="D31" i="5" s="1"/>
  <c r="K18" i="2"/>
  <c r="D26" i="5" s="1"/>
  <c r="K13" i="2"/>
  <c r="D21" i="5" s="1"/>
  <c r="X8" i="2"/>
  <c r="X4" i="2"/>
  <c r="K57" i="2"/>
  <c r="K52" i="2"/>
  <c r="K47" i="2"/>
  <c r="K42" i="2"/>
  <c r="K37" i="2"/>
  <c r="K32" i="2"/>
  <c r="K27" i="2"/>
  <c r="K22" i="2"/>
  <c r="D30" i="5" s="1"/>
  <c r="K17" i="2"/>
  <c r="D25" i="5" s="1"/>
  <c r="K12" i="2"/>
  <c r="D20" i="5" s="1"/>
  <c r="K56" i="2"/>
  <c r="K51" i="2"/>
  <c r="K46" i="2"/>
  <c r="K41" i="2"/>
  <c r="K36" i="2"/>
  <c r="K31" i="2"/>
  <c r="K26" i="2"/>
  <c r="K21" i="2"/>
  <c r="D29" i="5" s="1"/>
  <c r="K16" i="2"/>
  <c r="D24" i="5" s="1"/>
  <c r="K11" i="2"/>
  <c r="D19" i="5" s="1"/>
  <c r="X3" i="2"/>
  <c r="K35" i="2"/>
  <c r="X26" i="2"/>
  <c r="K6" i="2"/>
  <c r="D14" i="5" s="1"/>
  <c r="X42" i="2"/>
  <c r="K19" i="2"/>
  <c r="D27" i="5" s="1"/>
  <c r="X34" i="2"/>
  <c r="D10" i="2"/>
  <c r="B10" i="2" s="1"/>
  <c r="X50" i="2"/>
  <c r="X10" i="2"/>
  <c r="X17" i="2"/>
  <c r="K34" i="2"/>
  <c r="K25" i="2"/>
  <c r="D33" i="5" s="1"/>
  <c r="X57" i="2"/>
  <c r="X49" i="2"/>
  <c r="X40" i="2"/>
  <c r="X32" i="2"/>
  <c r="X24" i="2"/>
  <c r="X16" i="2"/>
  <c r="X45" i="2"/>
  <c r="X20" i="2"/>
  <c r="X35" i="2"/>
  <c r="X56" i="2"/>
  <c r="K49" i="2"/>
  <c r="K40" i="2"/>
  <c r="X9" i="2"/>
  <c r="X39" i="2"/>
  <c r="X22" i="2"/>
  <c r="X6" i="2"/>
  <c r="X31" i="2"/>
  <c r="K24" i="2"/>
  <c r="D32" i="5" s="1"/>
  <c r="X15" i="2"/>
  <c r="K4" i="2"/>
  <c r="D12" i="5" s="1"/>
  <c r="X55" i="2"/>
  <c r="K39" i="2"/>
  <c r="X37" i="2"/>
  <c r="X12" i="2"/>
  <c r="K50" i="2"/>
  <c r="X47" i="2"/>
  <c r="K15" i="2"/>
  <c r="D23" i="5" s="1"/>
  <c r="X46" i="2"/>
  <c r="X7" i="2"/>
  <c r="X30" i="2"/>
  <c r="X54" i="2"/>
  <c r="K45" i="2"/>
  <c r="X27" i="2"/>
  <c r="K55" i="2"/>
  <c r="K8" i="2"/>
  <c r="D16" i="5" s="1"/>
  <c r="X21" i="2"/>
  <c r="K10" i="2"/>
  <c r="D18" i="5" s="1"/>
  <c r="K30" i="2"/>
  <c r="X14" i="2"/>
  <c r="K3" i="2"/>
  <c r="D11" i="5" s="1"/>
  <c r="K54" i="2"/>
  <c r="X36" i="2"/>
  <c r="K7" i="2"/>
  <c r="D15" i="5" s="1"/>
  <c r="X29" i="2"/>
  <c r="K14" i="2"/>
  <c r="D22" i="5" s="1"/>
  <c r="X41" i="2"/>
  <c r="K29" i="2"/>
  <c r="X52" i="2"/>
  <c r="X44" i="2"/>
  <c r="K20" i="2"/>
  <c r="D28" i="5" s="1"/>
  <c r="X51" i="2"/>
  <c r="K44" i="2"/>
  <c r="X19" i="2"/>
  <c r="X11" i="2"/>
  <c r="X25" i="2"/>
  <c r="H20" i="1"/>
  <c r="Y59" i="3"/>
  <c r="H6" i="1" l="1"/>
  <c r="X34" i="3"/>
  <c r="X40" i="3"/>
  <c r="X30" i="3"/>
  <c r="K18" i="3"/>
  <c r="D26" i="6" s="1"/>
  <c r="X50" i="3"/>
  <c r="K28" i="3"/>
  <c r="K48" i="3"/>
  <c r="D6" i="4"/>
  <c r="K24" i="4"/>
  <c r="D32" i="7" s="1"/>
  <c r="K4" i="4"/>
  <c r="D12" i="7" s="1"/>
  <c r="X26" i="4"/>
  <c r="K56" i="4"/>
  <c r="K11" i="4"/>
  <c r="D19" i="7" s="1"/>
  <c r="X4" i="4"/>
  <c r="K55" i="4"/>
  <c r="K27" i="4"/>
  <c r="K16" i="4"/>
  <c r="D24" i="7" s="1"/>
  <c r="K17" i="4"/>
  <c r="D25" i="7" s="1"/>
  <c r="X54" i="4"/>
  <c r="K49" i="4"/>
  <c r="K29" i="4"/>
  <c r="K14" i="4"/>
  <c r="D22" i="7" s="1"/>
  <c r="X5" i="4"/>
  <c r="X48" i="4"/>
  <c r="X33" i="4"/>
  <c r="X23" i="4"/>
  <c r="X13" i="4"/>
  <c r="K53" i="4"/>
  <c r="K43" i="4"/>
  <c r="K28" i="4"/>
  <c r="K18" i="4"/>
  <c r="D26" i="7" s="1"/>
  <c r="X8" i="4"/>
  <c r="X47" i="4"/>
  <c r="X37" i="4"/>
  <c r="X27" i="4"/>
  <c r="X17" i="4"/>
  <c r="X57" i="4"/>
  <c r="X56" i="4"/>
  <c r="X46" i="4"/>
  <c r="X36" i="4"/>
  <c r="X21" i="4"/>
  <c r="K57" i="4"/>
  <c r="K47" i="4"/>
  <c r="X20" i="4"/>
  <c r="X10" i="4"/>
  <c r="K46" i="4"/>
  <c r="K10" i="4"/>
  <c r="D18" i="7" s="1"/>
  <c r="K36" i="4"/>
  <c r="K35" i="4"/>
  <c r="X25" i="4"/>
  <c r="X35" i="4"/>
  <c r="K6" i="4"/>
  <c r="D14" i="7" s="1"/>
  <c r="X49" i="4"/>
  <c r="X44" i="4"/>
  <c r="X39" i="4"/>
  <c r="X34" i="4"/>
  <c r="X29" i="4"/>
  <c r="X24" i="4"/>
  <c r="X19" i="4"/>
  <c r="X14" i="4"/>
  <c r="K54" i="4"/>
  <c r="K44" i="4"/>
  <c r="K39" i="4"/>
  <c r="K34" i="4"/>
  <c r="K19" i="4"/>
  <c r="D27" i="7" s="1"/>
  <c r="X9" i="4"/>
  <c r="K5" i="4"/>
  <c r="D13" i="7" s="1"/>
  <c r="F13" i="7" s="1"/>
  <c r="X53" i="4"/>
  <c r="X43" i="4"/>
  <c r="X38" i="4"/>
  <c r="X28" i="4"/>
  <c r="X18" i="4"/>
  <c r="K9" i="4"/>
  <c r="D17" i="7" s="1"/>
  <c r="K48" i="4"/>
  <c r="K38" i="4"/>
  <c r="K33" i="4"/>
  <c r="K23" i="4"/>
  <c r="D31" i="7" s="1"/>
  <c r="K13" i="4"/>
  <c r="D21" i="7" s="1"/>
  <c r="X52" i="4"/>
  <c r="X42" i="4"/>
  <c r="X32" i="4"/>
  <c r="X22" i="4"/>
  <c r="X12" i="4"/>
  <c r="K8" i="4"/>
  <c r="D16" i="7" s="1"/>
  <c r="X7" i="4"/>
  <c r="X51" i="4"/>
  <c r="X41" i="4"/>
  <c r="X31" i="4"/>
  <c r="X16" i="4"/>
  <c r="X11" i="4"/>
  <c r="K30" i="4"/>
  <c r="K20" i="4"/>
  <c r="D28" i="7" s="1"/>
  <c r="X55" i="4"/>
  <c r="K37" i="4"/>
  <c r="X45" i="4"/>
  <c r="M6" i="1"/>
  <c r="N18" i="1" s="1"/>
  <c r="K45" i="4"/>
  <c r="X3" i="4"/>
  <c r="X50" i="4"/>
  <c r="K41" i="4"/>
  <c r="K3" i="4"/>
  <c r="D11" i="7" s="1"/>
  <c r="F11" i="7" s="1"/>
  <c r="K52" i="4"/>
  <c r="K25" i="4"/>
  <c r="D33" i="7" s="1"/>
  <c r="X15" i="4"/>
  <c r="K42" i="4"/>
  <c r="K51" i="4"/>
  <c r="K7" i="4"/>
  <c r="D15" i="7" s="1"/>
  <c r="K15" i="4"/>
  <c r="D23" i="7" s="1"/>
  <c r="K32" i="4"/>
  <c r="K50" i="4"/>
  <c r="X40" i="4"/>
  <c r="K31" i="4"/>
  <c r="K22" i="4"/>
  <c r="D30" i="7" s="1"/>
  <c r="X6" i="4"/>
  <c r="K40" i="4"/>
  <c r="X30" i="4"/>
  <c r="K21" i="4"/>
  <c r="D29" i="7" s="1"/>
  <c r="K12" i="4"/>
  <c r="D20" i="7" s="1"/>
  <c r="K26" i="4"/>
  <c r="M16" i="1"/>
  <c r="N16" i="1" s="1"/>
  <c r="D6" i="3"/>
  <c r="X53" i="3"/>
  <c r="X33" i="3"/>
  <c r="X20" i="3"/>
  <c r="X10" i="3"/>
  <c r="X6" i="3"/>
  <c r="X24" i="3"/>
  <c r="X57" i="3"/>
  <c r="K55" i="3"/>
  <c r="X47" i="3"/>
  <c r="K45" i="3"/>
  <c r="X37" i="3"/>
  <c r="K35" i="3"/>
  <c r="X27" i="3"/>
  <c r="K25" i="3"/>
  <c r="D33" i="6" s="1"/>
  <c r="X17" i="3"/>
  <c r="K15" i="3"/>
  <c r="D23" i="6" s="1"/>
  <c r="K8" i="3"/>
  <c r="D16" i="6" s="1"/>
  <c r="K4" i="3"/>
  <c r="D12" i="6" s="1"/>
  <c r="K52" i="3"/>
  <c r="X44" i="3"/>
  <c r="K42" i="3"/>
  <c r="K32" i="3"/>
  <c r="X54" i="3"/>
  <c r="X7" i="3"/>
  <c r="X51" i="3"/>
  <c r="K49" i="3"/>
  <c r="X41" i="3"/>
  <c r="K39" i="3"/>
  <c r="X31" i="3"/>
  <c r="K29" i="3"/>
  <c r="X21" i="3"/>
  <c r="K19" i="3"/>
  <c r="D27" i="6" s="1"/>
  <c r="X11" i="3"/>
  <c r="K5" i="3"/>
  <c r="D13" i="6" s="1"/>
  <c r="X3" i="3"/>
  <c r="X55" i="3"/>
  <c r="K53" i="3"/>
  <c r="X45" i="3"/>
  <c r="K43" i="3"/>
  <c r="X35" i="3"/>
  <c r="K33" i="3"/>
  <c r="X25" i="3"/>
  <c r="K23" i="3"/>
  <c r="D31" i="6" s="1"/>
  <c r="X15" i="3"/>
  <c r="K13" i="3"/>
  <c r="D21" i="6" s="1"/>
  <c r="X8" i="3"/>
  <c r="X4" i="3"/>
  <c r="K54" i="3"/>
  <c r="X36" i="3"/>
  <c r="X9" i="3"/>
  <c r="K40" i="3"/>
  <c r="X46" i="3"/>
  <c r="K47" i="3"/>
  <c r="X29" i="3"/>
  <c r="K3" i="3"/>
  <c r="D11" i="6" s="1"/>
  <c r="F11" i="6" s="1"/>
  <c r="K57" i="3"/>
  <c r="X39" i="3"/>
  <c r="X22" i="3"/>
  <c r="K50" i="3"/>
  <c r="X56" i="3"/>
  <c r="K16" i="3"/>
  <c r="D24" i="6" s="1"/>
  <c r="K6" i="3"/>
  <c r="D14" i="6" s="1"/>
  <c r="X49" i="3"/>
  <c r="X32" i="3"/>
  <c r="K14" i="3"/>
  <c r="D22" i="6" s="1"/>
  <c r="K24" i="3"/>
  <c r="D32" i="6" s="1"/>
  <c r="K9" i="3"/>
  <c r="D17" i="6" s="1"/>
  <c r="K26" i="3"/>
  <c r="X18" i="3"/>
  <c r="X5" i="3"/>
  <c r="K36" i="3"/>
  <c r="X16" i="3"/>
  <c r="K37" i="3"/>
  <c r="X42" i="3"/>
  <c r="X38" i="3"/>
  <c r="K22" i="3"/>
  <c r="D30" i="6" s="1"/>
  <c r="X12" i="3"/>
  <c r="X28" i="3"/>
  <c r="X52" i="3"/>
  <c r="K17" i="3"/>
  <c r="D25" i="6" s="1"/>
  <c r="X48" i="3"/>
  <c r="K46" i="3"/>
  <c r="K34" i="3"/>
  <c r="K12" i="3"/>
  <c r="D20" i="6" s="1"/>
  <c r="K27" i="3"/>
  <c r="K7" i="3"/>
  <c r="D15" i="6" s="1"/>
  <c r="K10" i="3"/>
  <c r="D18" i="6" s="1"/>
  <c r="K44" i="3"/>
  <c r="X26" i="3"/>
  <c r="K20" i="3"/>
  <c r="D28" i="6" s="1"/>
  <c r="K30" i="3"/>
  <c r="X14" i="3"/>
  <c r="K51" i="3"/>
  <c r="K41" i="3"/>
  <c r="X23" i="3"/>
  <c r="X13" i="3"/>
  <c r="K56" i="3"/>
  <c r="X19" i="3"/>
  <c r="X43" i="3"/>
  <c r="K31" i="3"/>
  <c r="K21" i="3"/>
  <c r="D29" i="6" s="1"/>
  <c r="K11" i="3"/>
  <c r="D19" i="6" s="1"/>
  <c r="K38" i="3"/>
  <c r="I8" i="1"/>
  <c r="I20" i="1" s="1"/>
  <c r="D10" i="3"/>
  <c r="B10" i="3" s="1"/>
  <c r="C16" i="1"/>
  <c r="D16" i="1" s="1"/>
  <c r="B22" i="1" s="1"/>
  <c r="B23" i="1" s="1"/>
  <c r="D7" i="1"/>
  <c r="D11" i="1" s="1"/>
  <c r="B11" i="1" s="1"/>
  <c r="I7" i="1"/>
  <c r="I11" i="1" s="1"/>
  <c r="G11" i="1" s="1"/>
  <c r="H32" i="6"/>
  <c r="K32" i="6" s="1"/>
  <c r="L32" i="6" s="1"/>
  <c r="F32" i="6"/>
  <c r="H15" i="5"/>
  <c r="K15" i="5" s="1"/>
  <c r="L15" i="5" s="1"/>
  <c r="F15" i="5"/>
  <c r="H12" i="5"/>
  <c r="K12" i="5" s="1"/>
  <c r="F12" i="5"/>
  <c r="H18" i="5"/>
  <c r="K18" i="5" s="1"/>
  <c r="L18" i="5" s="1"/>
  <c r="F18" i="5"/>
  <c r="H20" i="5"/>
  <c r="K20" i="5" s="1"/>
  <c r="L20" i="5" s="1"/>
  <c r="F20" i="5"/>
  <c r="H25" i="5"/>
  <c r="K25" i="5" s="1"/>
  <c r="L25" i="5" s="1"/>
  <c r="F25" i="5"/>
  <c r="H13" i="5"/>
  <c r="K13" i="5" s="1"/>
  <c r="F13" i="5"/>
  <c r="D10" i="4"/>
  <c r="B10" i="4" s="1"/>
  <c r="N11" i="1"/>
  <c r="L11" i="1" s="1"/>
  <c r="H32" i="5"/>
  <c r="K32" i="5" s="1"/>
  <c r="L32" i="5" s="1"/>
  <c r="F32" i="5"/>
  <c r="H12" i="6"/>
  <c r="K12" i="6" s="1"/>
  <c r="F12" i="6"/>
  <c r="H31" i="5"/>
  <c r="K31" i="5" s="1"/>
  <c r="L31" i="5" s="1"/>
  <c r="F31" i="5"/>
  <c r="H27" i="5"/>
  <c r="K27" i="5" s="1"/>
  <c r="L27" i="5" s="1"/>
  <c r="F27" i="5"/>
  <c r="H16" i="6"/>
  <c r="K16" i="6" s="1"/>
  <c r="L16" i="6" s="1"/>
  <c r="F16" i="6"/>
  <c r="H30" i="6"/>
  <c r="K30" i="6" s="1"/>
  <c r="L30" i="6" s="1"/>
  <c r="F30" i="6"/>
  <c r="H23" i="6"/>
  <c r="K23" i="6" s="1"/>
  <c r="L23" i="6" s="1"/>
  <c r="F23" i="6"/>
  <c r="H26" i="6"/>
  <c r="K26" i="6" s="1"/>
  <c r="L26" i="6" s="1"/>
  <c r="F26" i="6"/>
  <c r="H14" i="5"/>
  <c r="K14" i="5" s="1"/>
  <c r="L14" i="5" s="1"/>
  <c r="F14" i="5"/>
  <c r="H17" i="5"/>
  <c r="K17" i="5" s="1"/>
  <c r="L17" i="5" s="1"/>
  <c r="F17" i="5"/>
  <c r="H33" i="5"/>
  <c r="K33" i="5" s="1"/>
  <c r="L33" i="5" s="1"/>
  <c r="F33" i="5"/>
  <c r="F16" i="5"/>
  <c r="H16" i="5"/>
  <c r="K16" i="5" s="1"/>
  <c r="L16" i="5" s="1"/>
  <c r="H28" i="5"/>
  <c r="K28" i="5" s="1"/>
  <c r="L28" i="5" s="1"/>
  <c r="F28" i="5"/>
  <c r="X59" i="2"/>
  <c r="F11" i="5"/>
  <c r="H23" i="5"/>
  <c r="K23" i="5" s="1"/>
  <c r="L23" i="5" s="1"/>
  <c r="F23" i="5"/>
  <c r="H19" i="5"/>
  <c r="K19" i="5" s="1"/>
  <c r="L19" i="5" s="1"/>
  <c r="F19" i="5"/>
  <c r="H24" i="5"/>
  <c r="K24" i="5" s="1"/>
  <c r="L24" i="5" s="1"/>
  <c r="F24" i="5"/>
  <c r="H22" i="5"/>
  <c r="K22" i="5" s="1"/>
  <c r="L22" i="5" s="1"/>
  <c r="F22" i="5"/>
  <c r="H29" i="5"/>
  <c r="K29" i="5" s="1"/>
  <c r="L29" i="5" s="1"/>
  <c r="F29" i="5"/>
  <c r="H21" i="5"/>
  <c r="K21" i="5" s="1"/>
  <c r="L21" i="5" s="1"/>
  <c r="F21" i="5"/>
  <c r="H30" i="5"/>
  <c r="K30" i="5" s="1"/>
  <c r="L30" i="5" s="1"/>
  <c r="F30" i="5"/>
  <c r="H26" i="5"/>
  <c r="K26" i="5" s="1"/>
  <c r="L26" i="5" s="1"/>
  <c r="F26" i="5"/>
  <c r="L22" i="1" l="1"/>
  <c r="L23" i="1" s="1"/>
  <c r="I18" i="1"/>
  <c r="H16" i="1"/>
  <c r="I16" i="1" s="1"/>
  <c r="G22" i="1" s="1"/>
  <c r="G23" i="1" s="1"/>
  <c r="X59" i="3"/>
  <c r="H24" i="6"/>
  <c r="K24" i="6" s="1"/>
  <c r="L24" i="6" s="1"/>
  <c r="F24" i="6"/>
  <c r="H17" i="6"/>
  <c r="K17" i="6" s="1"/>
  <c r="L17" i="6" s="1"/>
  <c r="F17" i="6"/>
  <c r="H15" i="6"/>
  <c r="K15" i="6" s="1"/>
  <c r="L15" i="6" s="1"/>
  <c r="F15" i="6"/>
  <c r="H18" i="6"/>
  <c r="K18" i="6" s="1"/>
  <c r="L18" i="6" s="1"/>
  <c r="F18" i="6"/>
  <c r="X59" i="4"/>
  <c r="H19" i="7"/>
  <c r="K19" i="7" s="1"/>
  <c r="L19" i="7" s="1"/>
  <c r="F19" i="7"/>
  <c r="H25" i="7"/>
  <c r="K25" i="7" s="1"/>
  <c r="L25" i="7" s="1"/>
  <c r="F25" i="7"/>
  <c r="F22" i="7"/>
  <c r="H22" i="7"/>
  <c r="K22" i="7" s="1"/>
  <c r="L22" i="7" s="1"/>
  <c r="F18" i="7"/>
  <c r="H18" i="7"/>
  <c r="K18" i="7" s="1"/>
  <c r="L18" i="7" s="1"/>
  <c r="F14" i="7"/>
  <c r="G13" i="7" s="1"/>
  <c r="H13" i="7" s="1"/>
  <c r="K13" i="7" s="1"/>
  <c r="H14" i="7"/>
  <c r="K14" i="7" s="1"/>
  <c r="H27" i="7"/>
  <c r="K27" i="7" s="1"/>
  <c r="L27" i="7" s="1"/>
  <c r="F27" i="7"/>
  <c r="H17" i="7"/>
  <c r="K17" i="7" s="1"/>
  <c r="L17" i="7" s="1"/>
  <c r="F17" i="7"/>
  <c r="F31" i="7"/>
  <c r="H31" i="7"/>
  <c r="K31" i="7" s="1"/>
  <c r="L31" i="7" s="1"/>
  <c r="F16" i="7"/>
  <c r="H16" i="7"/>
  <c r="K16" i="7" s="1"/>
  <c r="L16" i="7" s="1"/>
  <c r="F15" i="7"/>
  <c r="H15" i="7"/>
  <c r="K15" i="7" s="1"/>
  <c r="L15" i="7" s="1"/>
  <c r="F23" i="7"/>
  <c r="H23" i="7"/>
  <c r="K23" i="7" s="1"/>
  <c r="L23" i="7" s="1"/>
  <c r="H30" i="7"/>
  <c r="K30" i="7" s="1"/>
  <c r="L30" i="7" s="1"/>
  <c r="F30" i="7"/>
  <c r="F29" i="7"/>
  <c r="H29" i="7"/>
  <c r="K29" i="7" s="1"/>
  <c r="L29" i="7" s="1"/>
  <c r="H20" i="7"/>
  <c r="K20" i="7" s="1"/>
  <c r="L20" i="7" s="1"/>
  <c r="F20" i="7"/>
  <c r="H32" i="7"/>
  <c r="K32" i="7" s="1"/>
  <c r="L32" i="7" s="1"/>
  <c r="F32" i="7"/>
  <c r="H12" i="7"/>
  <c r="K12" i="7" s="1"/>
  <c r="F12" i="7"/>
  <c r="G11" i="7" s="1"/>
  <c r="H11" i="7" s="1"/>
  <c r="K11" i="7" s="1"/>
  <c r="L11" i="7" s="1"/>
  <c r="H24" i="7"/>
  <c r="K24" i="7" s="1"/>
  <c r="L24" i="7" s="1"/>
  <c r="F24" i="7"/>
  <c r="H26" i="7"/>
  <c r="K26" i="7" s="1"/>
  <c r="L26" i="7" s="1"/>
  <c r="F26" i="7"/>
  <c r="H21" i="7"/>
  <c r="K21" i="7" s="1"/>
  <c r="L21" i="7" s="1"/>
  <c r="F21" i="7"/>
  <c r="F5" i="7" s="1"/>
  <c r="G3" i="7" s="1"/>
  <c r="H28" i="7"/>
  <c r="K28" i="7" s="1"/>
  <c r="L28" i="7" s="1"/>
  <c r="F28" i="7"/>
  <c r="H33" i="7"/>
  <c r="K33" i="7" s="1"/>
  <c r="L33" i="7" s="1"/>
  <c r="F33" i="7"/>
  <c r="H33" i="6"/>
  <c r="K33" i="6" s="1"/>
  <c r="L33" i="6" s="1"/>
  <c r="F33" i="6"/>
  <c r="H27" i="6"/>
  <c r="K27" i="6" s="1"/>
  <c r="L27" i="6" s="1"/>
  <c r="F27" i="6"/>
  <c r="H13" i="6"/>
  <c r="K13" i="6" s="1"/>
  <c r="F13" i="6"/>
  <c r="H31" i="6"/>
  <c r="K31" i="6" s="1"/>
  <c r="L31" i="6" s="1"/>
  <c r="F31" i="6"/>
  <c r="H21" i="6"/>
  <c r="K21" i="6" s="1"/>
  <c r="L21" i="6" s="1"/>
  <c r="F21" i="6"/>
  <c r="H14" i="6"/>
  <c r="K14" i="6" s="1"/>
  <c r="L14" i="6" s="1"/>
  <c r="F14" i="6"/>
  <c r="H22" i="6"/>
  <c r="K22" i="6" s="1"/>
  <c r="L22" i="6" s="1"/>
  <c r="F22" i="6"/>
  <c r="H25" i="6"/>
  <c r="K25" i="6" s="1"/>
  <c r="L25" i="6" s="1"/>
  <c r="F25" i="6"/>
  <c r="H20" i="6"/>
  <c r="K20" i="6" s="1"/>
  <c r="L20" i="6" s="1"/>
  <c r="F20" i="6"/>
  <c r="H28" i="6"/>
  <c r="K28" i="6" s="1"/>
  <c r="L28" i="6" s="1"/>
  <c r="F28" i="6"/>
  <c r="H29" i="6"/>
  <c r="K29" i="6" s="1"/>
  <c r="L29" i="6" s="1"/>
  <c r="F29" i="6"/>
  <c r="H19" i="6"/>
  <c r="K19" i="6" s="1"/>
  <c r="L19" i="6" s="1"/>
  <c r="F19" i="6"/>
  <c r="G11" i="5"/>
  <c r="H11" i="5" s="1"/>
  <c r="K11" i="5" s="1"/>
  <c r="L11" i="5" s="1"/>
  <c r="G11" i="6"/>
  <c r="H11" i="6" s="1"/>
  <c r="K11" i="6" s="1"/>
  <c r="L11" i="6" s="1"/>
  <c r="F5" i="5"/>
  <c r="G3" i="5" s="1"/>
  <c r="F5" i="6" l="1"/>
  <c r="G3" i="6" s="1"/>
  <c r="L13" i="5"/>
  <c r="L12" i="5"/>
  <c r="L13" i="7"/>
  <c r="L14" i="7" s="1"/>
  <c r="L12" i="7"/>
  <c r="L13" i="6"/>
  <c r="L12" i="6"/>
</calcChain>
</file>

<file path=xl/sharedStrings.xml><?xml version="1.0" encoding="utf-8"?>
<sst xmlns="http://schemas.openxmlformats.org/spreadsheetml/2006/main" count="736" uniqueCount="327">
  <si>
    <t>ATUAL</t>
  </si>
  <si>
    <t>ATUAL+NC</t>
  </si>
  <si>
    <t>DEMANDA DIVERSIFICADA &amp; RESUMO DO TRAFO</t>
  </si>
  <si>
    <t>Classe de Consumidores</t>
  </si>
  <si>
    <t>CLASSE C</t>
  </si>
  <si>
    <t>Total de Consumidores</t>
  </si>
  <si>
    <t>Demanda Unitária (kVA)</t>
  </si>
  <si>
    <t>Demanda</t>
  </si>
  <si>
    <t>Demanda IP</t>
  </si>
  <si>
    <t>Demanda Esp</t>
  </si>
  <si>
    <t>Carregamento</t>
  </si>
  <si>
    <t>Trafo (kVA)</t>
  </si>
  <si>
    <t>Demanda Total</t>
  </si>
  <si>
    <t>TRAFO EXIST.:</t>
  </si>
  <si>
    <t>CONS.</t>
  </si>
  <si>
    <t>QTDE</t>
  </si>
  <si>
    <t>DMDI</t>
  </si>
  <si>
    <t>TOTAL</t>
  </si>
  <si>
    <t>RESIDENCIAL</t>
  </si>
  <si>
    <t>N. RESIDENCIAL</t>
  </si>
  <si>
    <t>-</t>
  </si>
  <si>
    <t>REQ</t>
  </si>
  <si>
    <t>RESID.</t>
  </si>
  <si>
    <t>N. RESID.</t>
  </si>
  <si>
    <t>ILUM. PUBLICA</t>
  </si>
  <si>
    <t>TOTAL CLIENTES</t>
  </si>
  <si>
    <t>MÁX. PREV.</t>
  </si>
  <si>
    <t>CARREGAMENTO</t>
  </si>
  <si>
    <t>TRECHO</t>
  </si>
  <si>
    <t>MONO</t>
  </si>
  <si>
    <t>BI</t>
  </si>
  <si>
    <t>TRI</t>
  </si>
  <si>
    <t>TRI ESPECIAL</t>
  </si>
  <si>
    <t>IP70W</t>
  </si>
  <si>
    <t>IP80W</t>
  </si>
  <si>
    <t>IP125W</t>
  </si>
  <si>
    <t>IP250W</t>
  </si>
  <si>
    <t>IP400W</t>
  </si>
  <si>
    <t>LUMINÁRIAS &amp; DEMANDA IP</t>
  </si>
  <si>
    <t>QUANT</t>
  </si>
  <si>
    <t>CARGA</t>
  </si>
  <si>
    <t>TRAFO</t>
  </si>
  <si>
    <t>B</t>
  </si>
  <si>
    <t>C</t>
  </si>
  <si>
    <t>D</t>
  </si>
  <si>
    <t>E</t>
  </si>
  <si>
    <t>F</t>
  </si>
  <si>
    <t>G</t>
  </si>
  <si>
    <t>H</t>
  </si>
  <si>
    <t>I</t>
  </si>
  <si>
    <t>Tabela 16: Demanda Diversificada em kVA</t>
  </si>
  <si>
    <t>J</t>
  </si>
  <si>
    <t>Nº Consumidores</t>
  </si>
  <si>
    <t>CLASSE A</t>
  </si>
  <si>
    <t>CLASSE B</t>
  </si>
  <si>
    <t>CLASSE D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</si>
  <si>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</si>
  <si>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</si>
  <si>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</si>
  <si>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</si>
  <si>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</si>
  <si>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</si>
  <si>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</si>
  <si>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</si>
  <si>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</si>
  <si>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</si>
  <si>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</si>
  <si>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</si>
  <si>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</si>
  <si>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</si>
  <si>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</si>
  <si>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125W</t>
  </si>
  <si>
    <t>K</t>
  </si>
  <si>
    <t>PROJETO</t>
  </si>
  <si>
    <t>A055681851</t>
  </si>
  <si>
    <t>CARREGAMENTO TRANSFORMADOR</t>
  </si>
  <si>
    <t>POTÊNCIA DO TRANSFORMADOR - kVA</t>
  </si>
  <si>
    <t>PONTO ELÉTRICO DO TRANSFORMADOR</t>
  </si>
  <si>
    <t>DEMANDA TOTAL DO CIRCUITO DE BT - kVA</t>
  </si>
  <si>
    <t>TRECHOS</t>
  </si>
  <si>
    <t>CARGAS</t>
  </si>
  <si>
    <t>CONDUTOR</t>
  </si>
  <si>
    <t>QUEDA DE TENSÃO</t>
  </si>
  <si>
    <t>TRECHO MONTANTE</t>
  </si>
  <si>
    <t>COMPRIMENTO</t>
  </si>
  <si>
    <t>DISTRIBUÍDA NO TRECHO</t>
  </si>
  <si>
    <t>ACUMULADA NO FINAL DO TRECHO</t>
  </si>
  <si>
    <t>TOTAL (C/2+D)*B</t>
  </si>
  <si>
    <t>UNITÁRIO</t>
  </si>
  <si>
    <t>NO TRECHO</t>
  </si>
  <si>
    <t>A</t>
  </si>
  <si>
    <t>B - 100</t>
  </si>
  <si>
    <t>C - kVA</t>
  </si>
  <si>
    <t>D - kVA</t>
  </si>
  <si>
    <t>E - kVA x B</t>
  </si>
  <si>
    <t>F - mm²</t>
  </si>
  <si>
    <t>G - %</t>
  </si>
  <si>
    <t>H - %</t>
  </si>
  <si>
    <t>I - %</t>
  </si>
  <si>
    <t>ILUMINAÇÃO PÚBLICA</t>
  </si>
  <si>
    <t>TOTAL DO TRECHO</t>
  </si>
  <si>
    <t>3x50+1x50 - Al - F.P 1</t>
  </si>
  <si>
    <t>3x35+1x35 - Al - F.P 1</t>
  </si>
  <si>
    <t>CLIENTES</t>
  </si>
  <si>
    <t>3x150+1x80 - Al - F.P 1</t>
  </si>
  <si>
    <t xml:space="preserve"> RC0323604281 </t>
  </si>
  <si>
    <t>A55323</t>
  </si>
  <si>
    <t>3x95+1x54,6 - Al - F.P 0,8</t>
  </si>
  <si>
    <t>3x35+1x35 - Al - F.P 0,8</t>
  </si>
  <si>
    <t>3x50+1x50 - Al - F.P 0,8</t>
  </si>
  <si>
    <t>3x50+1x54,6 - Al - F.P 0,8</t>
  </si>
  <si>
    <t>COEFICIENTES DE QUEDA DE TENSÃO - BAIXA TENSÃO - (%/kVA x 100m) - 220/127 V</t>
  </si>
  <si>
    <t>NÚMERO DE ANOS</t>
  </si>
  <si>
    <t>FATORES DE MULTIPLICAÇÃO DE DEMANDA</t>
  </si>
  <si>
    <t>SUBESTAÇÃO</t>
  </si>
  <si>
    <t>TAXA DE CRESCIMENTO</t>
  </si>
  <si>
    <t>FATOR DE MULTIPLICAÇÃO DE DEMANDA</t>
  </si>
  <si>
    <t>CABO</t>
  </si>
  <si>
    <t>COEFICIENTES</t>
  </si>
  <si>
    <t>TAXA DE CRESCIMENTO ANUAL</t>
  </si>
  <si>
    <t>ABADIA</t>
  </si>
  <si>
    <t>ALCÂNTARA</t>
  </si>
  <si>
    <t>ALMEIDA PEREIRA</t>
  </si>
  <si>
    <t>3x95+1x54,6 - Al - F.P 1</t>
  </si>
  <si>
    <t>ANGRA</t>
  </si>
  <si>
    <t>3x50+1x54,6 - Al - F.P 1</t>
  </si>
  <si>
    <t>ARARUAMA</t>
  </si>
  <si>
    <t>AREAL</t>
  </si>
  <si>
    <t>3x35+1x54,6 - Al - F.P 1</t>
  </si>
  <si>
    <t>ARRAIAL DO CABO</t>
  </si>
  <si>
    <t>ARSENAL</t>
  </si>
  <si>
    <t>3x35+1x50 - Al - F.P 1</t>
  </si>
  <si>
    <t>AUGUSTO VIEIRA</t>
  </si>
  <si>
    <t>3x70+1x70 - Al - F.P 1</t>
  </si>
  <si>
    <t>BACAXÁ</t>
  </si>
  <si>
    <t>3x95+1x70 - Al - F.P 1</t>
  </si>
  <si>
    <t>BAIXA GRANDE</t>
  </si>
  <si>
    <t>3x95+1x50 - Al - F.P 1</t>
  </si>
  <si>
    <t>BARCELOS</t>
  </si>
  <si>
    <t>3x35+35 (nú) - Al - F.P 1</t>
  </si>
  <si>
    <t>BARRA</t>
  </si>
  <si>
    <t>3x50+50 (nú) - Al - F.P 1</t>
  </si>
  <si>
    <t>BARRA ALEGRE</t>
  </si>
  <si>
    <t>3x70+70 (nú) - Al - F.P 1</t>
  </si>
  <si>
    <t>BARRACÃO DOS MENDES (ENERGISA)</t>
  </si>
  <si>
    <t>3x120+70 (nú) - Al - F.P 1</t>
  </si>
  <si>
    <t>BINGEN</t>
  </si>
  <si>
    <t>3x150+70 - Al - F.P 1</t>
  </si>
  <si>
    <t>BOM JARDIM</t>
  </si>
  <si>
    <t>2x16+25 - Al - F.P 1</t>
  </si>
  <si>
    <t>BOM JESUS</t>
  </si>
  <si>
    <t>Subterrâneo 16 - Al - F.P 1</t>
  </si>
  <si>
    <t>BUENA</t>
  </si>
  <si>
    <t>Subterrâneo 25 - Al - F.P 1</t>
  </si>
  <si>
    <t>BÚZIOS</t>
  </si>
  <si>
    <t>Subterrâneo 50 - Al - F.P 1</t>
  </si>
  <si>
    <t>CABIÚNAS</t>
  </si>
  <si>
    <t>Subterrâneo 95 - Al - F.P 1</t>
  </si>
  <si>
    <t>CABO FRIO</t>
  </si>
  <si>
    <t>Subterrâneo 150 - Al - F.P 1</t>
  </si>
  <si>
    <t>CACHOEIRAS DE MACACU</t>
  </si>
  <si>
    <t>Subterrâneo 240 - Al - F.P 1</t>
  </si>
  <si>
    <t>CAETÁ</t>
  </si>
  <si>
    <t>Subterrâneo 400 - Al - F.P 1</t>
  </si>
  <si>
    <t>CAMBUCI</t>
  </si>
  <si>
    <t>3# 4 - Al - F.P 1</t>
  </si>
  <si>
    <t>CAMPOS ELÍSEOS</t>
  </si>
  <si>
    <t>3# 2 - Al - F.P 1</t>
  </si>
  <si>
    <t>CARAPEBUS</t>
  </si>
  <si>
    <t>3# 1/0 - Al - F.P 1</t>
  </si>
  <si>
    <t>CARDOSO MOREIRA</t>
  </si>
  <si>
    <t>3# 2/0 - Al - F.P 1</t>
  </si>
  <si>
    <t>CEDAEAMA</t>
  </si>
  <si>
    <t>3# 4/0 - Al - F.P 1</t>
  </si>
  <si>
    <t>CONCEIÇÃO DE MACABU</t>
  </si>
  <si>
    <t>2# 4(4) - Al - F.P 1</t>
  </si>
  <si>
    <t>CRUZAMENTO</t>
  </si>
  <si>
    <t>2# 2(4) - Al - F.P 1</t>
  </si>
  <si>
    <t>DISTR. DE CAMPOS</t>
  </si>
  <si>
    <t>2# 2(2) - Al - F.P 1</t>
  </si>
  <si>
    <t>ENTR. ARARUAMA</t>
  </si>
  <si>
    <t>2# 1/0(2) - Al - F.P 1</t>
  </si>
  <si>
    <t>FAGUNDES</t>
  </si>
  <si>
    <t>2# 2/0(2) - Al - F.P 1</t>
  </si>
  <si>
    <t>FAROL</t>
  </si>
  <si>
    <t>1# 4(4) - Al - F.P 1</t>
  </si>
  <si>
    <t>FRANCA AMARAL</t>
  </si>
  <si>
    <t>1# 2(2) - Al - F.P 1</t>
  </si>
  <si>
    <t>GALO BRANCO</t>
  </si>
  <si>
    <t>1# 1/0 (2) - Al - F.P 1</t>
  </si>
  <si>
    <t>GOITACAZES</t>
  </si>
  <si>
    <t>1# 2/0 (2) - Al - F.P 1</t>
  </si>
  <si>
    <t>GRADIM (FURNAS)</t>
  </si>
  <si>
    <t>3# 25 - Cu - F.P 1</t>
  </si>
  <si>
    <t>GUARUS</t>
  </si>
  <si>
    <t>3# 35 - Cu - F.P 1</t>
  </si>
  <si>
    <t>GUAXINDIBA</t>
  </si>
  <si>
    <t>2# 16(25) - Cu - F.P 1</t>
  </si>
  <si>
    <t>ICARAÍ</t>
  </si>
  <si>
    <t>2# 25(25) - Cu - F.P 1</t>
  </si>
  <si>
    <t>IGUABA</t>
  </si>
  <si>
    <t>2# 35(16) - Cu - F.P 1</t>
  </si>
  <si>
    <t>IMBOASSICA</t>
  </si>
  <si>
    <t>2# 35(35) - Cu - F.P 1</t>
  </si>
  <si>
    <t>INGÁ</t>
  </si>
  <si>
    <t>1# 25(25) - Cu - F.P 1</t>
  </si>
  <si>
    <t>INOÃ</t>
  </si>
  <si>
    <t>1# 35(16) - Cu - F.P 1</t>
  </si>
  <si>
    <t>ITAIPAVA</t>
  </si>
  <si>
    <t>1# 35(35) - Cu - F.P 1</t>
  </si>
  <si>
    <t>ITALVA</t>
  </si>
  <si>
    <t>3x150+1x80 - Al - F.P 0,8</t>
  </si>
  <si>
    <t>ITAMARATI</t>
  </si>
  <si>
    <t>ITAMBI</t>
  </si>
  <si>
    <t>ITAOCARA</t>
  </si>
  <si>
    <t>ITAORNA (ENEL)</t>
  </si>
  <si>
    <t>3x35+1x54,6 - Al - F.P 0,8</t>
  </si>
  <si>
    <t>ITAORNA (FURNAS)</t>
  </si>
  <si>
    <t>ITAPERUNA</t>
  </si>
  <si>
    <t>3x35+1x50 - Al - F.P 0,8</t>
  </si>
  <si>
    <t>ITATIAIA</t>
  </si>
  <si>
    <t>3x70+1x70 - Al - F.P 0,8</t>
  </si>
  <si>
    <t xml:space="preserve">JACUACANGA </t>
  </si>
  <si>
    <t>3x95+1x70 - Al - F.P 0,8</t>
  </si>
  <si>
    <t>LIBERDADE</t>
  </si>
  <si>
    <t>3x95+1x50 - Al - F.P 0,8</t>
  </si>
  <si>
    <t>MACABU</t>
  </si>
  <si>
    <t>3x35+35 (nú) - Al - F.P 0,8</t>
  </si>
  <si>
    <t>MACAÉ</t>
  </si>
  <si>
    <t>3x50+50 (nú) - Al - F.P 0,8</t>
  </si>
  <si>
    <t>MAMBUCABA</t>
  </si>
  <si>
    <t>3x70+70 (nú) - Al - F.P 0,8</t>
  </si>
  <si>
    <t>MARIA PAULA</t>
  </si>
  <si>
    <t>3x120+70 (nú) - Al - F.P 0,8</t>
  </si>
  <si>
    <t>MARICÁ</t>
  </si>
  <si>
    <t>3x150+70 - Al - F.P 0,8</t>
  </si>
  <si>
    <t>MARTINS LAGE</t>
  </si>
  <si>
    <t>2x16+25 - Al - F.P 0,8</t>
  </si>
  <si>
    <t>MIRACEMA</t>
  </si>
  <si>
    <t>Subterrâneo 16 - Al - F.P 0,8</t>
  </si>
  <si>
    <t>MOMBAÇA</t>
  </si>
  <si>
    <t>Subterrâneo 25 - Al - F.P 0,8</t>
  </si>
  <si>
    <t xml:space="preserve">MURIQUI </t>
  </si>
  <si>
    <t>Subterrâneo 50 - Al - F.P 0,8</t>
  </si>
  <si>
    <t>N. S. D' AJUDA</t>
  </si>
  <si>
    <t>Subterrâneo 95 - Al - F.P 0,8</t>
  </si>
  <si>
    <t>NATIVIDADE</t>
  </si>
  <si>
    <t>Subterrâneo 150 - Al - F.P 0,8</t>
  </si>
  <si>
    <t>NEVES</t>
  </si>
  <si>
    <t>Subterrâneo 240 - Al - F.P 0,8</t>
  </si>
  <si>
    <t>NOVA PARADA ANGÉLICA</t>
  </si>
  <si>
    <t>Subterrâneo 400 - Al - F.P 0,8</t>
  </si>
  <si>
    <t>OUTEIRO</t>
  </si>
  <si>
    <t>3# 4 - Al - F.P 0,8</t>
  </si>
  <si>
    <t>PALATINATO</t>
  </si>
  <si>
    <t>3# 2 - Al - F.P 0,8</t>
  </si>
  <si>
    <t>PALMITAL</t>
  </si>
  <si>
    <t>3# 1/0 - Al - F.P 0,8</t>
  </si>
  <si>
    <t>PAPUCAIA</t>
  </si>
  <si>
    <t>3# 2/0 - Al - F.P 0,8</t>
  </si>
  <si>
    <t>PARADA ANGÉLICA</t>
  </si>
  <si>
    <t>3# 4/0 - Al - F.P 0,8</t>
  </si>
  <si>
    <t>PARADA MODELO</t>
  </si>
  <si>
    <t>2# 4(4) - Al - F.P 0,8</t>
  </si>
  <si>
    <t>PARATI</t>
  </si>
  <si>
    <t>2# 2(4) - Al - F.P 0,8</t>
  </si>
  <si>
    <t>PATRIMÔNIO</t>
  </si>
  <si>
    <t>2# 2(2) - Al - F.P 0,8</t>
  </si>
  <si>
    <t>PIRATININGA</t>
  </si>
  <si>
    <t>2# 1/0(2) - Al - F.P 0,8</t>
  </si>
  <si>
    <t>PÓLO INDUSTRIAL DE RESENDE</t>
  </si>
  <si>
    <t>2# 2/0(2) - Al - F.P 0,8</t>
  </si>
  <si>
    <t>PONTE NOVA</t>
  </si>
  <si>
    <t>1# 4(4) - Al - F.P 0,8</t>
  </si>
  <si>
    <t>PONTINHA</t>
  </si>
  <si>
    <t>1# 2(2) - Al - F.P 0,8</t>
  </si>
  <si>
    <t>PORTÃO DO ROSA</t>
  </si>
  <si>
    <t>1# 1/0 (2) - Al - F.P 0,8</t>
  </si>
  <si>
    <t>PORTO DO AÇU</t>
  </si>
  <si>
    <t>1# 2/0 (2) - Al - F.P 0,8</t>
  </si>
  <si>
    <t>PORTO DO CARRO</t>
  </si>
  <si>
    <t>3# 25 - Cu - F.P 0,8</t>
  </si>
  <si>
    <t>PORTO REAL</t>
  </si>
  <si>
    <t>3# 35 - Cu - F.P 0,8</t>
  </si>
  <si>
    <t>QUISSAMÃ</t>
  </si>
  <si>
    <t>2# 16(25) - Cu - F.P 0,8</t>
  </si>
  <si>
    <t>RETIRO SAUDOSO</t>
  </si>
  <si>
    <t>2# 25(25) - Cu - F.P 0,8</t>
  </si>
  <si>
    <t>RIO BONITO</t>
  </si>
  <si>
    <t>2# 35(16) - Cu - F.P 0,8</t>
  </si>
  <si>
    <t>RIO DA CIDADE</t>
  </si>
  <si>
    <t>2# 35(35) - Cu - F.P 0,8</t>
  </si>
  <si>
    <t>RIO DAS OSTRAS</t>
  </si>
  <si>
    <t>1# 25(25) - Cu - F.P 0,8</t>
  </si>
  <si>
    <t>ROCHA LEÃO</t>
  </si>
  <si>
    <t>1# 35(16) - Cu - F.P 0,8</t>
  </si>
  <si>
    <t>S. ANTÔNIO DE PÁDUA</t>
  </si>
  <si>
    <t>1# 35(35) - Cu - F.P 0,8</t>
  </si>
  <si>
    <t>SANTA BÁRBARA</t>
  </si>
  <si>
    <t>SANTA CLARA</t>
  </si>
  <si>
    <t>SÃO FIDÉLIS</t>
  </si>
  <si>
    <t>SÃO LOURENÇO</t>
  </si>
  <si>
    <t>SÃO PEDRO D' ALDEIA</t>
  </si>
  <si>
    <t>SÃO ROQUE</t>
  </si>
  <si>
    <t>SATURNINO BRAGA</t>
  </si>
  <si>
    <t>SECRETÁRIO</t>
  </si>
  <si>
    <t>SERRINHA</t>
  </si>
  <si>
    <t>SETE PONTES</t>
  </si>
  <si>
    <t>SEVERINA</t>
  </si>
  <si>
    <t>SILVA JARDIM</t>
  </si>
  <si>
    <t>STA. CRUZ SERRA</t>
  </si>
  <si>
    <t>TAMOIOS</t>
  </si>
  <si>
    <t>TANGUÁ</t>
  </si>
  <si>
    <t>TAPERA</t>
  </si>
  <si>
    <t>TARITUBA</t>
  </si>
  <si>
    <t>TERESÓPOLIS</t>
  </si>
  <si>
    <t>TOCOS</t>
  </si>
  <si>
    <t>TRAJANO DE MORAES</t>
  </si>
  <si>
    <t>TROMBETAS</t>
  </si>
  <si>
    <t>URURAÍ</t>
  </si>
  <si>
    <t>VAL DE PALMAS</t>
  </si>
  <si>
    <t>VALÃO SECO</t>
  </si>
  <si>
    <t>VENDA DAS PEDRAS</t>
  </si>
  <si>
    <t>VILA NOVA</t>
  </si>
  <si>
    <t>VILA VERDE</t>
  </si>
  <si>
    <t>ZONA SUL</t>
  </si>
  <si>
    <t>ATUAL MELHORADO/PROJETADO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</si>
</sst>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d/mmm"/>
    <numFmt numFmtId="167" formatCode="0.0"/>
    <numFmt numFmtId="168" formatCode="General\ &quot;kVA&quot;"/>
  </numFmts>
  <fonts count="25" x14ac:knownFonts="1">
    <font>
      <sz val="11"/>
      <color rgb="FF000000"/>
      <name val="Calibri"/>
      <family val="2"/>
      <charset val="1"/>
    </font>
    <font>
      <sz val="11"/>
      <color theme="1"/>
      <name val="Aptos Narrow"/>
      <family val="2"/>
      <scheme val="minor"/>
    </font>
    <font>
      <sz val="9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b/>
      <u/>
      <sz val="14"/>
      <color rgb="FF00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000000"/>
      <name val="Aptos Narrow"/>
      <family val="2"/>
      <scheme val="minor"/>
    </font>
    <font>
      <b/>
      <sz val="10"/>
      <color theme="0"/>
      <name val="Tahoma"/>
      <family val="2"/>
    </font>
    <font>
      <sz val="10"/>
      <color theme="1"/>
      <name val="Tahoma"/>
      <family val="2"/>
    </font>
    <font>
      <sz val="11"/>
      <color rgb="FF000000"/>
      <name val="Calibri"/>
      <family val="2"/>
    </font>
    <font>
      <sz val="11"/>
      <color rgb="FF0000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FFFF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color theme="0"/>
      <name val="Segoe UI"/>
      <family val="2"/>
    </font>
    <font>
      <b/>
      <sz val="11"/>
      <color rgb="FFFFFFFF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sz val="11"/>
      <color theme="0"/>
      <name val="Calibri"/>
      <family val="2"/>
      <charset val="1"/>
    </font>
    <font>
      <u/>
      <sz val="11"/>
      <color rgb="FF000000"/>
      <name val="Aptos Narrow"/>
      <family val="2"/>
      <scheme val="minor"/>
    </font>
    <font>
      <sz val="10"/>
      <color theme="0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2F2F2"/>
      </patternFill>
    </fill>
    <fill>
      <patternFill patternType="solid">
        <fgColor rgb="FF002060"/>
        <bgColor rgb="FF002060"/>
      </patternFill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FFFFFF"/>
        <bgColor rgb="FFFFFFFF"/>
      </patternFill>
    </fill>
    <fill>
      <patternFill patternType="solid">
        <fgColor rgb="FFF9FBFD"/>
        <bgColor rgb="FFF9FBFD"/>
      </patternFill>
    </fill>
    <fill>
      <patternFill patternType="solid">
        <fgColor rgb="FFFFFFFF"/>
        <bgColor rgb="FFFFFFFF"/>
      </patternFill>
    </fill>
    <fill>
      <patternFill patternType="solid">
        <fgColor rgb="FFF9FBFD"/>
        <bgColor rgb="FFF9FBFD"/>
      </patternFill>
    </fill>
    <fill>
      <patternFill patternType="solid">
        <fgColor rgb="FF1F497D"/>
        <bgColor rgb="FF1F497D"/>
      </patternFill>
    </fill>
    <fill>
      <patternFill patternType="solid">
        <fgColor rgb="FFDCE6F1"/>
        <bgColor rgb="FFDCE6F1"/>
      </patternFill>
    </fill>
    <fill>
      <patternFill patternType="solid">
        <fgColor rgb="FFF2F5F8"/>
        <bgColor rgb="FFF2F5F8"/>
      </patternFill>
    </fill>
    <fill>
      <patternFill patternType="solid">
        <fgColor rgb="FFFFFFFF"/>
        <bgColor rgb="FFFFFFFF"/>
      </patternFill>
    </fill>
    <fill>
      <patternFill patternType="solid">
        <fgColor rgb="FF1F497D"/>
        <bgColor rgb="FF1F497D"/>
      </patternFill>
    </fill>
    <fill>
      <patternFill patternType="solid">
        <fgColor rgb="FFE26B0A"/>
        <bgColor rgb="FFE26B0A"/>
      </patternFill>
    </fill>
    <fill>
      <patternFill patternType="solid">
        <fgColor rgb="FF366092"/>
        <bgColor rgb="FF366092"/>
      </patternFill>
    </fill>
    <fill>
      <patternFill patternType="solid">
        <fgColor rgb="FF333333"/>
        <bgColor rgb="FF333333"/>
      </patternFill>
    </fill>
    <fill>
      <patternFill patternType="solid">
        <fgColor rgb="FFDCE6F1"/>
        <bgColor rgb="FFDCE6F1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double">
        <color rgb="FF00000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00000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00000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/>
      <right/>
      <top style="thin">
        <color rgb="FFC0C0C0"/>
      </top>
      <bottom style="double">
        <color rgb="FF000000"/>
      </bottom>
      <diagonal/>
    </border>
  </borders>
  <cellStyleXfs count="4">
    <xf numFmtId="0" fontId="0" fillId="0" borderId="0"/>
    <xf numFmtId="9" fontId="6" fillId="0" borderId="0"/>
    <xf numFmtId="0" fontId="2" fillId="0" borderId="0"/>
    <xf numFmtId="0" fontId="13" fillId="0" borderId="0"/>
  </cellStyleXfs>
  <cellXfs count="14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3" borderId="0" xfId="0" applyFill="1"/>
    <xf numFmtId="0" fontId="0" fillId="3" borderId="1" xfId="0" applyFill="1" applyBorder="1" applyAlignment="1" applyProtection="1">
      <alignment horizontal="center"/>
      <protection locked="0"/>
    </xf>
    <xf numFmtId="10" fontId="6" fillId="3" borderId="1" xfId="1" applyNumberFormat="1" applyFill="1" applyBorder="1" applyAlignment="1">
      <alignment horizontal="center"/>
    </xf>
    <xf numFmtId="0" fontId="0" fillId="3" borderId="1" xfId="0" applyFill="1" applyBorder="1" applyAlignment="1" applyProtection="1">
      <alignment horizontal="center" vertical="center"/>
      <protection locked="0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/>
    </xf>
    <xf numFmtId="9" fontId="6" fillId="3" borderId="1" xfId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9" fontId="4" fillId="2" borderId="1" xfId="0" applyNumberFormat="1" applyFont="1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 applyAlignment="1">
      <alignment horizontal="center" vertical="center"/>
    </xf>
    <xf numFmtId="165" fontId="0" fillId="3" borderId="0" xfId="0" applyNumberFormat="1" applyFill="1"/>
    <xf numFmtId="164" fontId="0" fillId="3" borderId="0" xfId="0" applyNumberFormat="1" applyFill="1"/>
    <xf numFmtId="2" fontId="0" fillId="3" borderId="0" xfId="0" applyNumberFormat="1" applyFill="1"/>
    <xf numFmtId="0" fontId="4" fillId="2" borderId="1" xfId="0" applyFont="1" applyFill="1" applyBorder="1" applyAlignment="1">
      <alignment horizontal="center" wrapText="1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4" fillId="2" borderId="1" xfId="0" quotePrefix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 vertical="center"/>
    </xf>
    <xf numFmtId="0" fontId="9" fillId="0" borderId="0" xfId="3" applyFont="1"/>
    <xf numFmtId="0" fontId="10" fillId="5" borderId="10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4" fillId="0" borderId="0" xfId="3" applyFont="1"/>
    <xf numFmtId="0" fontId="0" fillId="8" borderId="18" xfId="0" applyFill="1" applyBorder="1" applyAlignment="1">
      <alignment horizontal="center" vertical="center"/>
    </xf>
    <xf numFmtId="166" fontId="0" fillId="8" borderId="18" xfId="0" applyNumberFormat="1" applyFill="1" applyBorder="1" applyAlignment="1" applyProtection="1">
      <alignment horizontal="center" vertical="center"/>
      <protection locked="0"/>
    </xf>
    <xf numFmtId="0" fontId="8" fillId="8" borderId="18" xfId="0" applyFont="1" applyFill="1" applyBorder="1" applyAlignment="1" applyProtection="1">
      <alignment horizontal="center" vertical="center"/>
      <protection locked="0"/>
    </xf>
    <xf numFmtId="2" fontId="8" fillId="8" borderId="18" xfId="0" applyNumberFormat="1" applyFont="1" applyFill="1" applyBorder="1" applyAlignment="1" applyProtection="1">
      <alignment horizontal="center" vertical="center"/>
      <protection locked="0"/>
    </xf>
    <xf numFmtId="2" fontId="0" fillId="8" borderId="18" xfId="0" applyNumberFormat="1" applyFill="1" applyBorder="1" applyAlignment="1">
      <alignment horizontal="center" vertical="center"/>
    </xf>
    <xf numFmtId="2" fontId="0" fillId="8" borderId="18" xfId="0" applyNumberFormat="1" applyFill="1" applyBorder="1" applyAlignment="1" applyProtection="1">
      <alignment horizontal="center" vertical="center"/>
      <protection locked="0"/>
    </xf>
    <xf numFmtId="0" fontId="0" fillId="8" borderId="18" xfId="0" applyFill="1" applyBorder="1" applyAlignment="1" applyProtection="1">
      <alignment horizontal="center" vertical="center"/>
      <protection locked="0"/>
    </xf>
    <xf numFmtId="4" fontId="0" fillId="8" borderId="18" xfId="0" applyNumberFormat="1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166" fontId="0" fillId="9" borderId="18" xfId="0" applyNumberFormat="1" applyFill="1" applyBorder="1" applyAlignment="1" applyProtection="1">
      <alignment horizontal="center" vertical="center"/>
      <protection locked="0"/>
    </xf>
    <xf numFmtId="0" fontId="0" fillId="9" borderId="18" xfId="0" applyFill="1" applyBorder="1" applyAlignment="1" applyProtection="1">
      <alignment horizontal="center" vertical="center"/>
      <protection locked="0"/>
    </xf>
    <xf numFmtId="2" fontId="0" fillId="9" borderId="18" xfId="0" applyNumberFormat="1" applyFill="1" applyBorder="1" applyAlignment="1" applyProtection="1">
      <alignment horizontal="center" vertical="center"/>
      <protection locked="0"/>
    </xf>
    <xf numFmtId="2" fontId="0" fillId="9" borderId="18" xfId="0" applyNumberFormat="1" applyFill="1" applyBorder="1" applyAlignment="1">
      <alignment horizontal="center" vertical="center"/>
    </xf>
    <xf numFmtId="4" fontId="0" fillId="9" borderId="18" xfId="0" applyNumberFormat="1" applyFill="1" applyBorder="1" applyAlignment="1">
      <alignment horizontal="center" vertical="center"/>
    </xf>
    <xf numFmtId="0" fontId="8" fillId="9" borderId="18" xfId="0" applyFont="1" applyFill="1" applyBorder="1" applyAlignment="1" applyProtection="1">
      <alignment horizontal="center" vertical="center"/>
      <protection locked="0"/>
    </xf>
    <xf numFmtId="2" fontId="8" fillId="9" borderId="18" xfId="0" applyNumberFormat="1" applyFont="1" applyFill="1" applyBorder="1" applyAlignment="1" applyProtection="1">
      <alignment horizontal="center" vertical="center"/>
      <protection locked="0"/>
    </xf>
    <xf numFmtId="0" fontId="11" fillId="10" borderId="19" xfId="3" applyFont="1" applyFill="1" applyBorder="1" applyAlignment="1">
      <alignment horizontal="center" vertical="center"/>
    </xf>
    <xf numFmtId="2" fontId="11" fillId="10" borderId="19" xfId="3" applyNumberFormat="1" applyFont="1" applyFill="1" applyBorder="1" applyAlignment="1">
      <alignment horizontal="center" vertical="center"/>
    </xf>
    <xf numFmtId="0" fontId="1" fillId="10" borderId="19" xfId="3" applyFont="1" applyFill="1" applyBorder="1" applyAlignment="1">
      <alignment horizontal="center" vertical="center"/>
    </xf>
    <xf numFmtId="0" fontId="0" fillId="10" borderId="19" xfId="0" applyFill="1" applyBorder="1"/>
    <xf numFmtId="0" fontId="14" fillId="10" borderId="19" xfId="3" applyFont="1" applyFill="1" applyBorder="1"/>
    <xf numFmtId="0" fontId="11" fillId="11" borderId="19" xfId="3" applyFont="1" applyFill="1" applyBorder="1" applyAlignment="1">
      <alignment horizontal="center" vertical="center"/>
    </xf>
    <xf numFmtId="2" fontId="11" fillId="11" borderId="19" xfId="3" applyNumberFormat="1" applyFont="1" applyFill="1" applyBorder="1" applyAlignment="1">
      <alignment horizontal="center" vertical="center"/>
    </xf>
    <xf numFmtId="0" fontId="1" fillId="11" borderId="19" xfId="3" applyFont="1" applyFill="1" applyBorder="1" applyAlignment="1">
      <alignment horizontal="center" vertical="center"/>
    </xf>
    <xf numFmtId="0" fontId="0" fillId="11" borderId="19" xfId="0" applyFill="1" applyBorder="1"/>
    <xf numFmtId="0" fontId="14" fillId="11" borderId="19" xfId="3" applyFont="1" applyFill="1" applyBorder="1"/>
    <xf numFmtId="0" fontId="13" fillId="10" borderId="19" xfId="3" applyFill="1" applyBorder="1" applyAlignment="1">
      <alignment horizontal="center" vertical="center"/>
    </xf>
    <xf numFmtId="0" fontId="13" fillId="11" borderId="19" xfId="3" applyFill="1" applyBorder="1" applyAlignment="1">
      <alignment horizontal="center" vertical="center"/>
    </xf>
    <xf numFmtId="0" fontId="16" fillId="13" borderId="20" xfId="3" applyFont="1" applyFill="1" applyBorder="1" applyAlignment="1">
      <alignment horizontal="center" vertical="center"/>
    </xf>
    <xf numFmtId="0" fontId="16" fillId="13" borderId="20" xfId="0" applyFont="1" applyFill="1" applyBorder="1" applyAlignment="1">
      <alignment horizontal="center" vertical="center"/>
    </xf>
    <xf numFmtId="3" fontId="17" fillId="7" borderId="20" xfId="3" applyNumberFormat="1" applyFont="1" applyFill="1" applyBorder="1" applyAlignment="1">
      <alignment horizontal="center" vertical="center"/>
    </xf>
    <xf numFmtId="165" fontId="17" fillId="7" borderId="20" xfId="3" applyNumberFormat="1" applyFont="1" applyFill="1" applyBorder="1" applyAlignment="1">
      <alignment horizontal="center" vertical="center"/>
    </xf>
    <xf numFmtId="0" fontId="16" fillId="0" borderId="20" xfId="0" applyFont="1" applyBorder="1" applyAlignment="1">
      <alignment horizontal="left" vertical="center"/>
    </xf>
    <xf numFmtId="4" fontId="13" fillId="0" borderId="20" xfId="3" applyNumberFormat="1" applyBorder="1" applyAlignment="1">
      <alignment horizontal="right" vertical="center"/>
    </xf>
    <xf numFmtId="4" fontId="12" fillId="0" borderId="20" xfId="3" applyNumberFormat="1" applyFont="1" applyBorder="1" applyAlignment="1">
      <alignment horizontal="right" vertical="center"/>
    </xf>
    <xf numFmtId="0" fontId="16" fillId="0" borderId="21" xfId="0" applyFont="1" applyBorder="1" applyAlignment="1">
      <alignment horizontal="left" vertical="center"/>
    </xf>
    <xf numFmtId="10" fontId="16" fillId="0" borderId="21" xfId="1" applyNumberFormat="1" applyFont="1" applyBorder="1" applyAlignment="1">
      <alignment horizontal="center" vertical="center"/>
    </xf>
    <xf numFmtId="3" fontId="16" fillId="0" borderId="21" xfId="3" applyNumberFormat="1" applyFont="1" applyBorder="1" applyAlignment="1">
      <alignment horizontal="center" vertical="center"/>
    </xf>
    <xf numFmtId="4" fontId="16" fillId="0" borderId="21" xfId="3" applyNumberFormat="1" applyFont="1" applyBorder="1" applyAlignment="1">
      <alignment horizontal="right" vertical="center"/>
    </xf>
    <xf numFmtId="3" fontId="17" fillId="14" borderId="20" xfId="0" applyNumberFormat="1" applyFont="1" applyFill="1" applyBorder="1" applyAlignment="1">
      <alignment horizontal="center" vertical="center"/>
    </xf>
    <xf numFmtId="167" fontId="17" fillId="14" borderId="20" xfId="0" applyNumberFormat="1" applyFont="1" applyFill="1" applyBorder="1" applyAlignment="1">
      <alignment horizontal="center" vertical="center"/>
    </xf>
    <xf numFmtId="3" fontId="17" fillId="15" borderId="20" xfId="0" applyNumberFormat="1" applyFont="1" applyFill="1" applyBorder="1" applyAlignment="1">
      <alignment horizontal="center" vertical="center"/>
    </xf>
    <xf numFmtId="167" fontId="17" fillId="15" borderId="20" xfId="0" applyNumberFormat="1" applyFont="1" applyFill="1" applyBorder="1" applyAlignment="1">
      <alignment horizontal="center" vertical="center"/>
    </xf>
    <xf numFmtId="0" fontId="18" fillId="5" borderId="20" xfId="3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center" vertical="center"/>
    </xf>
    <xf numFmtId="0" fontId="21" fillId="0" borderId="24" xfId="0" applyFont="1" applyBorder="1" applyAlignment="1">
      <alignment horizontal="left" vertical="center"/>
    </xf>
    <xf numFmtId="4" fontId="21" fillId="0" borderId="24" xfId="3" applyNumberFormat="1" applyFont="1" applyBorder="1" applyAlignment="1">
      <alignment horizontal="right" vertical="center"/>
    </xf>
    <xf numFmtId="0" fontId="20" fillId="20" borderId="24" xfId="3" applyFont="1" applyFill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10" fontId="20" fillId="0" borderId="25" xfId="1" applyNumberFormat="1" applyFont="1" applyBorder="1" applyAlignment="1">
      <alignment horizontal="center" vertical="center"/>
    </xf>
    <xf numFmtId="3" fontId="20" fillId="0" borderId="25" xfId="3" applyNumberFormat="1" applyFont="1" applyBorder="1" applyAlignment="1">
      <alignment horizontal="center" vertical="center"/>
    </xf>
    <xf numFmtId="4" fontId="20" fillId="0" borderId="25" xfId="3" applyNumberFormat="1" applyFont="1" applyBorder="1" applyAlignment="1">
      <alignment horizontal="right" vertical="center"/>
    </xf>
    <xf numFmtId="0" fontId="19" fillId="20" borderId="24" xfId="0" applyFont="1" applyFill="1" applyBorder="1" applyAlignment="1">
      <alignment horizontal="left" vertical="center"/>
    </xf>
    <xf numFmtId="0" fontId="19" fillId="20" borderId="24" xfId="0" applyFont="1" applyFill="1" applyBorder="1" applyAlignment="1">
      <alignment horizontal="center" vertical="center"/>
    </xf>
    <xf numFmtId="2" fontId="21" fillId="0" borderId="24" xfId="0" applyNumberFormat="1" applyFont="1" applyBorder="1" applyAlignment="1">
      <alignment horizontal="center" vertical="center"/>
    </xf>
    <xf numFmtId="4" fontId="21" fillId="0" borderId="24" xfId="0" applyNumberFormat="1" applyFont="1" applyBorder="1" applyAlignment="1">
      <alignment horizontal="right" vertical="center"/>
    </xf>
    <xf numFmtId="0" fontId="23" fillId="0" borderId="0" xfId="3" applyFont="1"/>
    <xf numFmtId="3" fontId="21" fillId="0" borderId="24" xfId="0" applyNumberFormat="1" applyFont="1" applyBorder="1" applyAlignment="1">
      <alignment horizontal="left" vertical="center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3" borderId="1" xfId="0" applyNumberFormat="1" applyFill="1" applyBorder="1" applyAlignment="1" applyProtection="1">
      <alignment horizontal="center"/>
      <protection locked="0"/>
    </xf>
    <xf numFmtId="0" fontId="15" fillId="18" borderId="16" xfId="3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19" fillId="16" borderId="16" xfId="3" applyFont="1" applyFill="1" applyBorder="1" applyAlignment="1">
      <alignment horizontal="center" vertical="center"/>
    </xf>
    <xf numFmtId="0" fontId="24" fillId="5" borderId="24" xfId="3" applyFont="1" applyFill="1" applyBorder="1" applyAlignment="1">
      <alignment horizontal="left" vertical="center"/>
    </xf>
    <xf numFmtId="0" fontId="22" fillId="0" borderId="26" xfId="0" applyFont="1" applyBorder="1"/>
    <xf numFmtId="0" fontId="21" fillId="0" borderId="24" xfId="3" applyFont="1" applyBorder="1" applyAlignment="1">
      <alignment horizontal="center" vertical="center"/>
    </xf>
    <xf numFmtId="0" fontId="0" fillId="0" borderId="26" xfId="0" applyBorder="1"/>
    <xf numFmtId="0" fontId="21" fillId="6" borderId="24" xfId="3" applyFont="1" applyFill="1" applyBorder="1" applyAlignment="1">
      <alignment horizontal="center" vertical="center"/>
    </xf>
    <xf numFmtId="0" fontId="19" fillId="17" borderId="16" xfId="3" applyFont="1" applyFill="1" applyBorder="1" applyAlignment="1">
      <alignment horizontal="center" vertical="center"/>
    </xf>
    <xf numFmtId="168" fontId="21" fillId="0" borderId="24" xfId="0" applyNumberFormat="1" applyFont="1" applyBorder="1" applyAlignment="1">
      <alignment horizontal="center" vertical="center"/>
    </xf>
    <xf numFmtId="0" fontId="0" fillId="0" borderId="27" xfId="0" applyBorder="1"/>
    <xf numFmtId="3" fontId="21" fillId="0" borderId="24" xfId="3" applyNumberFormat="1" applyFont="1" applyBorder="1" applyAlignment="1">
      <alignment horizontal="center" vertical="center"/>
    </xf>
    <xf numFmtId="0" fontId="21" fillId="0" borderId="24" xfId="0" applyFont="1" applyBorder="1" applyAlignment="1">
      <alignment horizontal="left" vertical="center"/>
    </xf>
    <xf numFmtId="0" fontId="0" fillId="0" borderId="29" xfId="0" applyBorder="1"/>
    <xf numFmtId="3" fontId="21" fillId="0" borderId="24" xfId="0" applyNumberFormat="1" applyFont="1" applyBorder="1" applyAlignment="1">
      <alignment horizontal="center" vertical="center"/>
    </xf>
    <xf numFmtId="0" fontId="19" fillId="19" borderId="16" xfId="3" applyFont="1" applyFill="1" applyBorder="1" applyAlignment="1">
      <alignment horizontal="center" vertical="center"/>
    </xf>
    <xf numFmtId="3" fontId="21" fillId="7" borderId="24" xfId="3" applyNumberFormat="1" applyFont="1" applyFill="1" applyBorder="1" applyAlignment="1">
      <alignment horizontal="center" vertical="center"/>
    </xf>
    <xf numFmtId="2" fontId="21" fillId="7" borderId="24" xfId="3" applyNumberFormat="1" applyFont="1" applyFill="1" applyBorder="1" applyAlignment="1">
      <alignment horizontal="center" vertical="center"/>
    </xf>
    <xf numFmtId="10" fontId="20" fillId="0" borderId="30" xfId="0" applyNumberFormat="1" applyFont="1" applyBorder="1" applyAlignment="1">
      <alignment horizontal="center" vertical="center"/>
    </xf>
    <xf numFmtId="0" fontId="0" fillId="0" borderId="28" xfId="0" applyBorder="1"/>
    <xf numFmtId="0" fontId="21" fillId="0" borderId="24" xfId="0" applyFont="1" applyBorder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9" fillId="0" borderId="0" xfId="3" applyFont="1"/>
    <xf numFmtId="0" fontId="18" fillId="5" borderId="20" xfId="3" applyFont="1" applyFill="1" applyBorder="1" applyAlignment="1">
      <alignment horizontal="left" vertical="center"/>
    </xf>
    <xf numFmtId="0" fontId="0" fillId="0" borderId="22" xfId="0" applyBorder="1"/>
    <xf numFmtId="0" fontId="10" fillId="5" borderId="15" xfId="3" applyFont="1" applyFill="1" applyBorder="1" applyAlignment="1">
      <alignment horizontal="center" vertical="center"/>
    </xf>
    <xf numFmtId="0" fontId="0" fillId="0" borderId="9" xfId="0" applyBorder="1"/>
    <xf numFmtId="0" fontId="13" fillId="0" borderId="20" xfId="3" applyBorder="1" applyAlignment="1">
      <alignment horizontal="center"/>
    </xf>
    <xf numFmtId="0" fontId="15" fillId="12" borderId="16" xfId="3" applyFont="1" applyFill="1" applyBorder="1" applyAlignment="1">
      <alignment horizontal="center" vertical="center"/>
    </xf>
    <xf numFmtId="0" fontId="11" fillId="6" borderId="20" xfId="3" applyFont="1" applyFill="1" applyBorder="1" applyAlignment="1">
      <alignment horizontal="center" vertical="center"/>
    </xf>
    <xf numFmtId="0" fontId="10" fillId="5" borderId="13" xfId="3" applyFont="1" applyFill="1" applyBorder="1" applyAlignment="1">
      <alignment horizontal="center" vertical="center"/>
    </xf>
    <xf numFmtId="0" fontId="0" fillId="0" borderId="8" xfId="0" applyBorder="1"/>
    <xf numFmtId="0" fontId="10" fillId="5" borderId="14" xfId="3" applyFont="1" applyFill="1" applyBorder="1" applyAlignment="1">
      <alignment horizontal="center" vertical="center"/>
    </xf>
    <xf numFmtId="0" fontId="0" fillId="0" borderId="12" xfId="0" applyBorder="1"/>
    <xf numFmtId="0" fontId="0" fillId="0" borderId="5" xfId="0" applyBorder="1"/>
    <xf numFmtId="3" fontId="13" fillId="0" borderId="20" xfId="3" applyNumberFormat="1" applyBorder="1" applyAlignment="1">
      <alignment horizontal="center"/>
    </xf>
    <xf numFmtId="2" fontId="11" fillId="7" borderId="20" xfId="3" applyNumberFormat="1" applyFont="1" applyFill="1" applyBorder="1" applyAlignment="1">
      <alignment horizontal="center" vertical="center"/>
    </xf>
    <xf numFmtId="0" fontId="16" fillId="13" borderId="20" xfId="3" applyFont="1" applyFill="1" applyBorder="1" applyAlignment="1">
      <alignment horizontal="center" vertical="center"/>
    </xf>
    <xf numFmtId="0" fontId="0" fillId="0" borderId="23" xfId="0" applyBorder="1"/>
    <xf numFmtId="3" fontId="11" fillId="7" borderId="20" xfId="3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4" xfId="0" applyBorder="1"/>
    <xf numFmtId="0" fontId="4" fillId="2" borderId="1" xfId="0" applyFont="1" applyFill="1" applyBorder="1" applyAlignment="1">
      <alignment horizontal="center" wrapText="1"/>
    </xf>
    <xf numFmtId="0" fontId="0" fillId="0" borderId="2" xfId="0" applyBorder="1"/>
    <xf numFmtId="0" fontId="4" fillId="2" borderId="1" xfId="0" applyFont="1" applyFill="1" applyBorder="1" applyAlignment="1">
      <alignment horizontal="center"/>
    </xf>
    <xf numFmtId="0" fontId="0" fillId="0" borderId="3" xfId="0" applyBorder="1"/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0" fillId="0" borderId="17" xfId="0" applyBorder="1"/>
  </cellXfs>
  <cellStyles count="4">
    <cellStyle name="Normal" xfId="0" builtinId="0"/>
    <cellStyle name="Normal 2" xfId="3" xr:uid="{00000000-0005-0000-0000-000003000000}"/>
    <cellStyle name="Normale 2" xfId="2" xr:uid="{00000000-0005-0000-0000-000002000000}"/>
    <cellStyle name="Porcentagem" xfId="1" builtinId="5"/>
  </cellStyles>
  <dxfs count="39"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color theme="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Perfil de Queda de Tensão Acumulada (%)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Queda de Tensão (%)</c:v>
          </c:tx>
          <c:spPr>
            <a:ln w="250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'CQT ATUAL'!$A$11:$A$33</c:f>
              <c:strCache>
                <c:ptCount val="2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L</c:v>
                </c:pt>
                <c:pt idx="11">
                  <c:v>M</c:v>
                </c:pt>
                <c:pt idx="12">
                  <c:v>N</c:v>
                </c:pt>
                <c:pt idx="13">
                  <c:v>O</c:v>
                </c:pt>
                <c:pt idx="14">
                  <c:v>P</c:v>
                </c:pt>
                <c:pt idx="15">
                  <c:v>Q</c:v>
                </c:pt>
                <c:pt idx="16">
                  <c:v>R</c:v>
                </c:pt>
                <c:pt idx="17">
                  <c:v>S</c:v>
                </c:pt>
                <c:pt idx="18">
                  <c:v>T</c:v>
                </c:pt>
                <c:pt idx="19">
                  <c:v>U</c:v>
                </c:pt>
                <c:pt idx="20">
                  <c:v>V</c:v>
                </c:pt>
                <c:pt idx="21">
                  <c:v>X</c:v>
                </c:pt>
                <c:pt idx="22">
                  <c:v>Z</c:v>
                </c:pt>
              </c:strCache>
            </c:strRef>
          </c:cat>
          <c:val>
            <c:numRef>
              <c:f>'CQT ATUAL'!$L$11:$L$33</c:f>
              <c:numCache>
                <c:formatCode>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C5A-4CA7-8895-2746EF03B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Trecho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Queda de Tensão (%)</a:t>
                </a:r>
              </a:p>
            </c:rich>
          </c:tx>
          <c:overlay val="1"/>
        </c:title>
        <c:numFmt formatCode="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Perfil de Queda de Tensão Acumulada (%)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Queda de Tensão (%)</c:v>
          </c:tx>
          <c:spPr>
            <a:ln w="250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Planilha1!$A$11:$A$33</c:f>
              <c:strCache>
                <c:ptCount val="2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L</c:v>
                </c:pt>
                <c:pt idx="11">
                  <c:v>M</c:v>
                </c:pt>
                <c:pt idx="12">
                  <c:v>N</c:v>
                </c:pt>
                <c:pt idx="13">
                  <c:v>O</c:v>
                </c:pt>
                <c:pt idx="14">
                  <c:v>P</c:v>
                </c:pt>
                <c:pt idx="15">
                  <c:v>Q</c:v>
                </c:pt>
                <c:pt idx="16">
                  <c:v>R</c:v>
                </c:pt>
                <c:pt idx="17">
                  <c:v>S</c:v>
                </c:pt>
                <c:pt idx="18">
                  <c:v>T</c:v>
                </c:pt>
                <c:pt idx="19">
                  <c:v>U</c:v>
                </c:pt>
                <c:pt idx="20">
                  <c:v>V</c:v>
                </c:pt>
                <c:pt idx="21">
                  <c:v>X</c:v>
                </c:pt>
                <c:pt idx="22">
                  <c:v>Z</c:v>
                </c:pt>
              </c:strCache>
            </c:strRef>
          </c:cat>
          <c:val>
            <c:numRef>
              <c:f>Planilha1!$L$11:$L$33</c:f>
              <c:numCache>
                <c:formatCode>#,##0.00</c:formatCode>
                <c:ptCount val="23"/>
                <c:pt idx="0">
                  <c:v>0.20414599999999999</c:v>
                </c:pt>
                <c:pt idx="1">
                  <c:v>2.1946827999999998</c:v>
                </c:pt>
                <c:pt idx="2">
                  <c:v>3.0348819999999996</c:v>
                </c:pt>
                <c:pt idx="3">
                  <c:v>3.8501383999999996</c:v>
                </c:pt>
                <c:pt idx="4">
                  <c:v>4.1953768</c:v>
                </c:pt>
                <c:pt idx="5">
                  <c:v>4.6715463999999995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211-4F9E-8054-4C761E17C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Trecho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Queda de Tensão (%)</a:t>
                </a:r>
              </a:p>
            </c:rich>
          </c:tx>
          <c:overlay val="1"/>
        </c:title>
        <c:numFmt formatCode="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2</xdr:col>
          <xdr:colOff>297180</xdr:colOff>
          <xdr:row>26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Limpar Dados de Entrada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10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10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285840</xdr:colOff>
      <xdr:row>0</xdr:row>
      <xdr:rowOff>0</xdr:rowOff>
    </xdr:from>
    <xdr:to>
      <xdr:col>71</xdr:col>
      <xdr:colOff>31680</xdr:colOff>
      <xdr:row>9</xdr:row>
      <xdr:rowOff>85090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23400" y="0"/>
          <a:ext cx="9423360" cy="22248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56</xdr:col>
      <xdr:colOff>344160</xdr:colOff>
      <xdr:row>35</xdr:row>
      <xdr:rowOff>47520</xdr:rowOff>
    </xdr:from>
    <xdr:to>
      <xdr:col>66</xdr:col>
      <xdr:colOff>121090</xdr:colOff>
      <xdr:row>48</xdr:row>
      <xdr:rowOff>48830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81720" y="5229000"/>
          <a:ext cx="6234840" cy="24714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46</xdr:col>
      <xdr:colOff>19080</xdr:colOff>
      <xdr:row>28</xdr:row>
      <xdr:rowOff>34920</xdr:rowOff>
    </xdr:from>
    <xdr:to>
      <xdr:col>56</xdr:col>
      <xdr:colOff>369490</xdr:colOff>
      <xdr:row>40</xdr:row>
      <xdr:rowOff>131761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005080" y="3882960"/>
          <a:ext cx="6808320" cy="23828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45</xdr:col>
      <xdr:colOff>0</xdr:colOff>
      <xdr:row>0</xdr:row>
      <xdr:rowOff>0</xdr:rowOff>
    </xdr:from>
    <xdr:to>
      <xdr:col>56</xdr:col>
      <xdr:colOff>311170</xdr:colOff>
      <xdr:row>17</xdr:row>
      <xdr:rowOff>50400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340880" y="0"/>
          <a:ext cx="7414200" cy="37080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56</xdr:col>
      <xdr:colOff>447840</xdr:colOff>
      <xdr:row>7</xdr:row>
      <xdr:rowOff>117720</xdr:rowOff>
    </xdr:from>
    <xdr:to>
      <xdr:col>68</xdr:col>
      <xdr:colOff>124430</xdr:colOff>
      <xdr:row>24</xdr:row>
      <xdr:rowOff>1956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885400" y="1870200"/>
          <a:ext cx="7412400" cy="3115800"/>
        </a:xfrm>
        <a:prstGeom prst="rect">
          <a:avLst/>
        </a:prstGeom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7">
    <tabColor rgb="FF002060"/>
  </sheetPr>
  <dimension ref="A1:N24"/>
  <sheetViews>
    <sheetView showGridLines="0" tabSelected="1" workbookViewId="0">
      <selection activeCell="G14" sqref="G14:I14"/>
    </sheetView>
  </sheetViews>
  <sheetFormatPr defaultRowHeight="14.4" x14ac:dyDescent="0.3"/>
  <cols>
    <col min="1" max="1" width="15" bestFit="1" customWidth="1"/>
    <col min="2" max="3" width="14" bestFit="1" customWidth="1"/>
    <col min="4" max="4" width="14" customWidth="1"/>
    <col min="5" max="5" width="4" customWidth="1"/>
    <col min="6" max="6" width="15" bestFit="1" customWidth="1"/>
    <col min="7" max="8" width="14" bestFit="1" customWidth="1"/>
    <col min="9" max="9" width="14" customWidth="1"/>
    <col min="10" max="10" width="4" customWidth="1"/>
    <col min="11" max="11" width="15" bestFit="1" customWidth="1"/>
    <col min="12" max="13" width="14" bestFit="1" customWidth="1"/>
    <col min="14" max="14" width="15" customWidth="1"/>
  </cols>
  <sheetData>
    <row r="1" spans="1:14" ht="15" customHeight="1" thickBot="1" x14ac:dyDescent="0.35"/>
    <row r="2" spans="1:14" ht="17.399999999999999" customHeight="1" thickBot="1" x14ac:dyDescent="0.35">
      <c r="A2" s="95" t="s">
        <v>0</v>
      </c>
      <c r="B2" s="93"/>
      <c r="C2" s="93"/>
      <c r="D2" s="94"/>
      <c r="F2" s="101" t="s">
        <v>1</v>
      </c>
      <c r="G2" s="93"/>
      <c r="H2" s="93"/>
      <c r="I2" s="94"/>
      <c r="K2" s="92" t="s">
        <v>326</v>
      </c>
      <c r="L2" s="93"/>
      <c r="M2" s="93"/>
      <c r="N2" s="94"/>
    </row>
    <row r="3" spans="1:14" ht="17.399999999999999" customHeight="1" thickBot="1" x14ac:dyDescent="0.35">
      <c r="A3" s="108" t="s">
        <v>2</v>
      </c>
      <c r="B3" s="93"/>
      <c r="C3" s="93"/>
      <c r="D3" s="94"/>
      <c r="F3" s="108" t="s">
        <v>2</v>
      </c>
      <c r="G3" s="93"/>
      <c r="H3" s="93"/>
      <c r="I3" s="94"/>
      <c r="K3" s="108" t="s">
        <v>2</v>
      </c>
      <c r="L3" s="93"/>
      <c r="M3" s="93"/>
      <c r="N3" s="94"/>
    </row>
    <row r="4" spans="1:14" ht="15" customHeight="1" x14ac:dyDescent="0.3">
      <c r="A4" s="96" t="s">
        <v>3</v>
      </c>
      <c r="B4" s="97"/>
      <c r="C4" s="100" t="str">
        <f>ATUAL!C3</f>
        <v>CLASSE C</v>
      </c>
      <c r="D4" s="99"/>
      <c r="F4" s="96" t="s">
        <v>3</v>
      </c>
      <c r="G4" s="97"/>
      <c r="H4" s="100" t="str">
        <f>C4</f>
        <v>CLASSE C</v>
      </c>
      <c r="I4" s="99"/>
      <c r="K4" s="96" t="s">
        <v>3</v>
      </c>
      <c r="L4" s="97"/>
      <c r="M4" s="100" t="str">
        <f>H4</f>
        <v>CLASSE C</v>
      </c>
      <c r="N4" s="99"/>
    </row>
    <row r="5" spans="1:14" ht="15" customHeight="1" x14ac:dyDescent="0.3">
      <c r="A5" s="96" t="s">
        <v>5</v>
      </c>
      <c r="B5" s="97"/>
      <c r="C5" s="109">
        <f>ATUAL!C4</f>
        <v>0</v>
      </c>
      <c r="D5" s="99"/>
      <c r="F5" s="96" t="s">
        <v>5</v>
      </c>
      <c r="G5" s="97"/>
      <c r="H5" s="109">
        <f>'ATUAL+NC'!C4</f>
        <v>0</v>
      </c>
      <c r="I5" s="99"/>
      <c r="K5" s="96" t="s">
        <v>5</v>
      </c>
      <c r="L5" s="97"/>
      <c r="M5" s="109">
        <f>PROJETADO!C4</f>
        <v>0</v>
      </c>
      <c r="N5" s="99"/>
    </row>
    <row r="6" spans="1:14" ht="15" customHeight="1" x14ac:dyDescent="0.3">
      <c r="A6" s="96" t="s">
        <v>6</v>
      </c>
      <c r="B6" s="97"/>
      <c r="C6" s="110">
        <f>ATUAL!C5</f>
        <v>0</v>
      </c>
      <c r="D6" s="99"/>
      <c r="F6" s="96" t="s">
        <v>6</v>
      </c>
      <c r="G6" s="97"/>
      <c r="H6" s="110">
        <f>'ATUAL+NC'!C5</f>
        <v>0</v>
      </c>
      <c r="I6" s="99"/>
      <c r="K6" s="96" t="s">
        <v>6</v>
      </c>
      <c r="L6" s="97"/>
      <c r="M6" s="110">
        <f>PROJETADO!C5</f>
        <v>0</v>
      </c>
      <c r="N6" s="99"/>
    </row>
    <row r="7" spans="1:14" ht="15" customHeight="1" x14ac:dyDescent="0.3">
      <c r="A7" s="77" t="s">
        <v>7</v>
      </c>
      <c r="B7" s="98">
        <f>ATUAL!B6</f>
        <v>0</v>
      </c>
      <c r="C7" s="99"/>
      <c r="D7" s="78">
        <f>B7*C6</f>
        <v>0</v>
      </c>
      <c r="F7" s="77" t="s">
        <v>7</v>
      </c>
      <c r="G7" s="98">
        <f>'ATUAL+NC'!B6</f>
        <v>0</v>
      </c>
      <c r="H7" s="99"/>
      <c r="I7" s="78">
        <f>G7*H6</f>
        <v>0</v>
      </c>
      <c r="K7" s="77" t="s">
        <v>7</v>
      </c>
      <c r="L7" s="98">
        <f>PROJETADO!B6</f>
        <v>0</v>
      </c>
      <c r="M7" s="99"/>
      <c r="N7" s="78">
        <f>L7*M6</f>
        <v>0</v>
      </c>
    </row>
    <row r="8" spans="1:14" ht="15" customHeight="1" x14ac:dyDescent="0.3">
      <c r="A8" s="77" t="s">
        <v>8</v>
      </c>
      <c r="B8" s="104">
        <f>ATUAL!B7</f>
        <v>0</v>
      </c>
      <c r="C8" s="99"/>
      <c r="D8" s="78">
        <f>ATUAL!D7</f>
        <v>0</v>
      </c>
      <c r="F8" s="77" t="s">
        <v>8</v>
      </c>
      <c r="G8" s="104">
        <f>'ATUAL+NC'!B7</f>
        <v>0</v>
      </c>
      <c r="H8" s="99"/>
      <c r="I8" s="78">
        <f>'ATUAL+NC'!D7</f>
        <v>0</v>
      </c>
      <c r="K8" s="77" t="s">
        <v>8</v>
      </c>
      <c r="L8" s="104">
        <f>PROJETADO!B7</f>
        <v>0</v>
      </c>
      <c r="M8" s="99"/>
      <c r="N8" s="78">
        <f>PROJETADO!D7</f>
        <v>0</v>
      </c>
    </row>
    <row r="9" spans="1:14" ht="15" customHeight="1" x14ac:dyDescent="0.3">
      <c r="A9" s="77" t="s">
        <v>9</v>
      </c>
      <c r="B9" s="98">
        <f>ATUAL!B8</f>
        <v>0</v>
      </c>
      <c r="C9" s="99"/>
      <c r="D9" s="78">
        <f>ATUAL!D8</f>
        <v>0</v>
      </c>
      <c r="F9" s="77" t="s">
        <v>9</v>
      </c>
      <c r="G9" s="98">
        <f>'ATUAL+NC'!B8</f>
        <v>0</v>
      </c>
      <c r="H9" s="99"/>
      <c r="I9" s="78">
        <f>'ATUAL+NC'!D8</f>
        <v>0</v>
      </c>
      <c r="K9" s="77" t="s">
        <v>9</v>
      </c>
      <c r="L9" s="98">
        <f>PROJETADO!B8</f>
        <v>0</v>
      </c>
      <c r="M9" s="99"/>
      <c r="N9" s="78">
        <f>PROJETADO!D8</f>
        <v>0</v>
      </c>
    </row>
    <row r="10" spans="1:14" ht="15" customHeight="1" x14ac:dyDescent="0.3">
      <c r="A10" s="25"/>
      <c r="B10" s="79" t="s">
        <v>10</v>
      </c>
      <c r="C10" s="79" t="s">
        <v>11</v>
      </c>
      <c r="D10" s="64"/>
      <c r="F10" s="25"/>
      <c r="G10" s="79" t="s">
        <v>10</v>
      </c>
      <c r="H10" s="79" t="s">
        <v>11</v>
      </c>
      <c r="I10" s="64"/>
      <c r="K10" s="25"/>
      <c r="L10" s="79" t="s">
        <v>10</v>
      </c>
      <c r="M10" s="79" t="s">
        <v>11</v>
      </c>
      <c r="N10" s="64"/>
    </row>
    <row r="11" spans="1:14" ht="15.6" customHeight="1" thickBot="1" x14ac:dyDescent="0.35">
      <c r="A11" s="80" t="s">
        <v>12</v>
      </c>
      <c r="B11" s="81">
        <f>D11/C11</f>
        <v>0</v>
      </c>
      <c r="C11" s="82">
        <f>ATUAL!C10</f>
        <v>150</v>
      </c>
      <c r="D11" s="83">
        <f>SUM(D7:D10)</f>
        <v>0</v>
      </c>
      <c r="F11" s="80" t="s">
        <v>12</v>
      </c>
      <c r="G11" s="81">
        <f>I11/H11</f>
        <v>0</v>
      </c>
      <c r="H11" s="82">
        <v>150</v>
      </c>
      <c r="I11" s="83">
        <f>SUM(I7:I10)</f>
        <v>0</v>
      </c>
      <c r="K11" s="80" t="s">
        <v>12</v>
      </c>
      <c r="L11" s="81">
        <f>N11/M11</f>
        <v>0</v>
      </c>
      <c r="M11" s="82">
        <v>150</v>
      </c>
      <c r="N11" s="83">
        <f>SUM(N7:N10)</f>
        <v>0</v>
      </c>
    </row>
    <row r="12" spans="1:14" ht="15" customHeight="1" thickTop="1" x14ac:dyDescent="0.3">
      <c r="A12" s="77"/>
      <c r="B12" s="75"/>
      <c r="C12" s="75"/>
      <c r="D12" s="75"/>
      <c r="F12" s="77"/>
      <c r="G12" s="75"/>
      <c r="H12" s="75"/>
      <c r="I12" s="75"/>
      <c r="K12" s="77"/>
      <c r="L12" s="75"/>
      <c r="M12" s="75"/>
      <c r="N12" s="75"/>
    </row>
    <row r="13" spans="1:14" ht="15" x14ac:dyDescent="0.3">
      <c r="A13" s="77"/>
      <c r="B13" s="75">
        <f>'CQT ATUAL'!F4</f>
        <v>0</v>
      </c>
      <c r="C13" s="76" t="str">
        <f>A2</f>
        <v>ATUAL</v>
      </c>
      <c r="D13" s="75"/>
      <c r="F13" s="77"/>
      <c r="G13" s="75">
        <f>'CQT ATUAL+NC'!F4</f>
        <v>0</v>
      </c>
      <c r="H13" s="76" t="str">
        <f>F2</f>
        <v>ATUAL+NC</v>
      </c>
      <c r="I13" s="75"/>
      <c r="K13" s="77"/>
      <c r="L13" s="75">
        <f>'CQT PROJETADO'!F4</f>
        <v>0</v>
      </c>
      <c r="M13" s="89" t="str">
        <f>K2</f>
        <v>ATUAL MELHORADO/PROJETADO</v>
      </c>
      <c r="N13" s="75"/>
    </row>
    <row r="14" spans="1:14" ht="15" x14ac:dyDescent="0.3">
      <c r="A14" s="77" t="s">
        <v>13</v>
      </c>
      <c r="B14" s="113"/>
      <c r="C14" s="103"/>
      <c r="D14" s="99"/>
      <c r="F14" s="77" t="s">
        <v>13</v>
      </c>
      <c r="G14" s="113">
        <f>B14</f>
        <v>0</v>
      </c>
      <c r="H14" s="103"/>
      <c r="I14" s="99"/>
      <c r="K14" s="77" t="s">
        <v>13</v>
      </c>
      <c r="L14" s="113"/>
      <c r="M14" s="103"/>
      <c r="N14" s="99"/>
    </row>
    <row r="15" spans="1:14" ht="16.8" x14ac:dyDescent="0.3">
      <c r="A15" s="84" t="s">
        <v>14</v>
      </c>
      <c r="B15" s="85" t="s">
        <v>15</v>
      </c>
      <c r="C15" s="85" t="s">
        <v>16</v>
      </c>
      <c r="D15" s="85" t="s">
        <v>17</v>
      </c>
      <c r="F15" s="84" t="s">
        <v>14</v>
      </c>
      <c r="G15" s="85" t="s">
        <v>15</v>
      </c>
      <c r="H15" s="85" t="s">
        <v>16</v>
      </c>
      <c r="I15" s="85" t="s">
        <v>17</v>
      </c>
      <c r="K15" s="84" t="s">
        <v>14</v>
      </c>
      <c r="L15" s="85" t="s">
        <v>15</v>
      </c>
      <c r="M15" s="85" t="s">
        <v>16</v>
      </c>
      <c r="N15" s="85" t="s">
        <v>17</v>
      </c>
    </row>
    <row r="16" spans="1:14" ht="15" x14ac:dyDescent="0.3">
      <c r="A16" s="77" t="s">
        <v>18</v>
      </c>
      <c r="B16" s="76">
        <f>B7</f>
        <v>0</v>
      </c>
      <c r="C16" s="86">
        <f>C6</f>
        <v>0</v>
      </c>
      <c r="D16" s="87">
        <f>C16*B16</f>
        <v>0</v>
      </c>
      <c r="F16" s="77" t="s">
        <v>18</v>
      </c>
      <c r="G16" s="76">
        <f>G7</f>
        <v>0</v>
      </c>
      <c r="H16" s="86">
        <f>H6</f>
        <v>0</v>
      </c>
      <c r="I16" s="87">
        <f>H16*G16</f>
        <v>0</v>
      </c>
      <c r="K16" s="77" t="s">
        <v>18</v>
      </c>
      <c r="L16" s="76">
        <f>L7</f>
        <v>0</v>
      </c>
      <c r="M16" s="86">
        <f>M6</f>
        <v>0</v>
      </c>
      <c r="N16" s="87">
        <f>M16*L16</f>
        <v>0</v>
      </c>
    </row>
    <row r="17" spans="1:14" ht="15" x14ac:dyDescent="0.3">
      <c r="A17" s="77" t="s">
        <v>19</v>
      </c>
      <c r="B17" s="76">
        <f>B9</f>
        <v>0</v>
      </c>
      <c r="C17" s="86"/>
      <c r="D17" s="87">
        <f>D9</f>
        <v>0</v>
      </c>
      <c r="F17" s="77" t="s">
        <v>19</v>
      </c>
      <c r="G17" s="76">
        <f>G9</f>
        <v>0</v>
      </c>
      <c r="H17" s="75" t="s">
        <v>20</v>
      </c>
      <c r="I17" s="87">
        <f>I9</f>
        <v>0</v>
      </c>
      <c r="K17" s="77" t="s">
        <v>19</v>
      </c>
      <c r="L17" s="76">
        <f>L9</f>
        <v>0</v>
      </c>
      <c r="M17" s="75" t="s">
        <v>20</v>
      </c>
      <c r="N17" s="87">
        <f>N9</f>
        <v>0</v>
      </c>
    </row>
    <row r="18" spans="1:14" ht="15" x14ac:dyDescent="0.3">
      <c r="A18" s="105" t="s">
        <v>21</v>
      </c>
      <c r="B18" s="75" t="s">
        <v>22</v>
      </c>
      <c r="C18" s="75"/>
      <c r="D18" s="75"/>
      <c r="F18" s="105" t="s">
        <v>21</v>
      </c>
      <c r="G18" s="75" t="s">
        <v>22</v>
      </c>
      <c r="H18" s="75">
        <f>G7-B7</f>
        <v>0</v>
      </c>
      <c r="I18" s="75">
        <f>H18*H6</f>
        <v>0</v>
      </c>
      <c r="K18" s="105" t="s">
        <v>21</v>
      </c>
      <c r="L18" s="75" t="s">
        <v>22</v>
      </c>
      <c r="M18" s="75">
        <f>H18</f>
        <v>0</v>
      </c>
      <c r="N18" s="75">
        <f>M18*M6</f>
        <v>0</v>
      </c>
    </row>
    <row r="19" spans="1:14" ht="15" x14ac:dyDescent="0.3">
      <c r="A19" s="106"/>
      <c r="B19" s="75" t="s">
        <v>23</v>
      </c>
      <c r="C19" s="75"/>
      <c r="D19" s="75"/>
      <c r="F19" s="106"/>
      <c r="G19" s="75" t="s">
        <v>23</v>
      </c>
      <c r="H19" s="75">
        <f>G9-B9</f>
        <v>0</v>
      </c>
      <c r="I19" s="86">
        <f>I9-D9</f>
        <v>0</v>
      </c>
      <c r="K19" s="106"/>
      <c r="L19" s="75" t="s">
        <v>23</v>
      </c>
      <c r="M19" s="75">
        <f>H19</f>
        <v>0</v>
      </c>
      <c r="N19" s="86">
        <f>I19</f>
        <v>0</v>
      </c>
    </row>
    <row r="20" spans="1:14" ht="15" x14ac:dyDescent="0.3">
      <c r="A20" s="77"/>
      <c r="B20" s="75" t="s">
        <v>24</v>
      </c>
      <c r="C20" s="76">
        <f>B8</f>
        <v>0</v>
      </c>
      <c r="D20" s="87">
        <f>D8</f>
        <v>0</v>
      </c>
      <c r="F20" s="77"/>
      <c r="G20" s="75" t="s">
        <v>24</v>
      </c>
      <c r="H20" s="76">
        <f>SUM('ATUAL+NC'!G3:G7)</f>
        <v>0</v>
      </c>
      <c r="I20" s="87">
        <f>I8</f>
        <v>0</v>
      </c>
      <c r="K20" s="77"/>
      <c r="L20" s="75" t="s">
        <v>24</v>
      </c>
      <c r="M20" s="76">
        <f>H20</f>
        <v>0</v>
      </c>
      <c r="N20" s="87">
        <f>N8</f>
        <v>0</v>
      </c>
    </row>
    <row r="21" spans="1:14" ht="15" x14ac:dyDescent="0.3">
      <c r="A21" s="77" t="s">
        <v>25</v>
      </c>
      <c r="B21" s="107">
        <f>SUM(B16:B17,C18:C19)</f>
        <v>0</v>
      </c>
      <c r="C21" s="103"/>
      <c r="D21" s="99"/>
      <c r="F21" s="77" t="s">
        <v>25</v>
      </c>
      <c r="G21" s="107">
        <f>SUM(G16:G17,H18:H19)</f>
        <v>0</v>
      </c>
      <c r="H21" s="103"/>
      <c r="I21" s="99"/>
      <c r="K21" s="77" t="s">
        <v>25</v>
      </c>
      <c r="L21" s="107">
        <f>SUM(L16:L17,M18:M19)</f>
        <v>0</v>
      </c>
      <c r="M21" s="103"/>
      <c r="N21" s="99"/>
    </row>
    <row r="22" spans="1:14" ht="15" x14ac:dyDescent="0.3">
      <c r="A22" s="77" t="s">
        <v>26</v>
      </c>
      <c r="B22" s="102">
        <f>SUM(D16,D18,D17,D19,D20)</f>
        <v>0</v>
      </c>
      <c r="C22" s="103"/>
      <c r="D22" s="99"/>
      <c r="F22" s="77" t="s">
        <v>26</v>
      </c>
      <c r="G22" s="102">
        <f>SUM(I16,I18,I17,I19,I20)</f>
        <v>0</v>
      </c>
      <c r="H22" s="103"/>
      <c r="I22" s="99"/>
      <c r="K22" s="77" t="s">
        <v>26</v>
      </c>
      <c r="L22" s="102">
        <f>SUM(N16,N18,N17,N19,N20)</f>
        <v>0</v>
      </c>
      <c r="M22" s="103"/>
      <c r="N22" s="99"/>
    </row>
    <row r="23" spans="1:14" ht="15" x14ac:dyDescent="0.3">
      <c r="A23" s="80" t="s">
        <v>27</v>
      </c>
      <c r="B23" s="111">
        <f>B22/C11</f>
        <v>0</v>
      </c>
      <c r="C23" s="112"/>
      <c r="D23" s="112"/>
      <c r="F23" s="80" t="s">
        <v>27</v>
      </c>
      <c r="G23" s="111">
        <f>G22/H11</f>
        <v>0</v>
      </c>
      <c r="H23" s="112"/>
      <c r="I23" s="112"/>
      <c r="K23" s="80" t="s">
        <v>27</v>
      </c>
      <c r="L23" s="111">
        <f>L22/M11</f>
        <v>0</v>
      </c>
      <c r="M23" s="112"/>
      <c r="N23" s="112"/>
    </row>
    <row r="24" spans="1:14" x14ac:dyDescent="0.3">
      <c r="A24" s="74"/>
      <c r="B24" s="74"/>
      <c r="C24" s="74"/>
      <c r="D24" s="74"/>
    </row>
  </sheetData>
  <mergeCells count="48">
    <mergeCell ref="F4:G4"/>
    <mergeCell ref="C6:D6"/>
    <mergeCell ref="B14:D14"/>
    <mergeCell ref="B7:C7"/>
    <mergeCell ref="H4:I4"/>
    <mergeCell ref="C4:D4"/>
    <mergeCell ref="A4:B4"/>
    <mergeCell ref="B23:D23"/>
    <mergeCell ref="L14:N14"/>
    <mergeCell ref="C5:D5"/>
    <mergeCell ref="L23:N23"/>
    <mergeCell ref="K5:L5"/>
    <mergeCell ref="F6:G6"/>
    <mergeCell ref="M5:N5"/>
    <mergeCell ref="G8:H8"/>
    <mergeCell ref="A6:B6"/>
    <mergeCell ref="F18:F19"/>
    <mergeCell ref="G14:I14"/>
    <mergeCell ref="H6:I6"/>
    <mergeCell ref="G7:H7"/>
    <mergeCell ref="G23:I23"/>
    <mergeCell ref="B22:D22"/>
    <mergeCell ref="L22:N22"/>
    <mergeCell ref="L8:M8"/>
    <mergeCell ref="A18:A19"/>
    <mergeCell ref="B8:C8"/>
    <mergeCell ref="L21:N21"/>
    <mergeCell ref="G22:I22"/>
    <mergeCell ref="B21:D21"/>
    <mergeCell ref="L9:M9"/>
    <mergeCell ref="K18:K19"/>
    <mergeCell ref="G21:I21"/>
    <mergeCell ref="K2:N2"/>
    <mergeCell ref="A2:D2"/>
    <mergeCell ref="K4:L4"/>
    <mergeCell ref="G9:H9"/>
    <mergeCell ref="M4:N4"/>
    <mergeCell ref="F2:I2"/>
    <mergeCell ref="B9:C9"/>
    <mergeCell ref="L7:M7"/>
    <mergeCell ref="A3:D3"/>
    <mergeCell ref="H5:I5"/>
    <mergeCell ref="K3:N3"/>
    <mergeCell ref="F5:G5"/>
    <mergeCell ref="M6:N6"/>
    <mergeCell ref="F3:I3"/>
    <mergeCell ref="A5:B5"/>
    <mergeCell ref="K6:L6"/>
  </mergeCells>
  <conditionalFormatting sqref="B11">
    <cfRule type="cellIs" dxfId="38" priority="19" operator="lessThanOrEqual">
      <formula>1</formula>
    </cfRule>
    <cfRule type="cellIs" dxfId="37" priority="20" operator="between">
      <formula>1.0001</formula>
      <formula>1.2</formula>
    </cfRule>
    <cfRule type="cellIs" dxfId="36" priority="21" operator="greaterThan">
      <formula>1.2</formula>
    </cfRule>
  </conditionalFormatting>
  <conditionalFormatting sqref="B23">
    <cfRule type="cellIs" dxfId="35" priority="24" operator="lessThanOrEqual">
      <formula>1</formula>
    </cfRule>
    <cfRule type="cellIs" dxfId="34" priority="24" operator="between">
      <formula>1.0001</formula>
      <formula>1.2</formula>
    </cfRule>
    <cfRule type="cellIs" dxfId="33" priority="24" operator="greaterThan">
      <formula>1.2</formula>
    </cfRule>
  </conditionalFormatting>
  <conditionalFormatting sqref="G11">
    <cfRule type="cellIs" dxfId="32" priority="22" operator="lessThanOrEqual">
      <formula>1</formula>
    </cfRule>
    <cfRule type="cellIs" dxfId="31" priority="22" operator="between">
      <formula>1.0001</formula>
      <formula>1.2</formula>
    </cfRule>
    <cfRule type="cellIs" dxfId="30" priority="22" operator="greaterThan">
      <formula>1.2</formula>
    </cfRule>
  </conditionalFormatting>
  <conditionalFormatting sqref="G23">
    <cfRule type="cellIs" dxfId="29" priority="25" operator="lessThanOrEqual">
      <formula>1</formula>
    </cfRule>
    <cfRule type="cellIs" dxfId="28" priority="25" operator="between">
      <formula>1.0001</formula>
      <formula>1.2</formula>
    </cfRule>
    <cfRule type="cellIs" dxfId="27" priority="25" operator="greaterThan">
      <formula>1.2</formula>
    </cfRule>
  </conditionalFormatting>
  <conditionalFormatting sqref="L11">
    <cfRule type="cellIs" dxfId="26" priority="23" operator="lessThanOrEqual">
      <formula>1</formula>
    </cfRule>
    <cfRule type="cellIs" dxfId="25" priority="23" operator="between">
      <formula>1.0001</formula>
      <formula>1.2</formula>
    </cfRule>
    <cfRule type="cellIs" dxfId="24" priority="23" operator="greaterThan">
      <formula>1.2</formula>
    </cfRule>
  </conditionalFormatting>
  <conditionalFormatting sqref="L23">
    <cfRule type="cellIs" dxfId="23" priority="26" operator="lessThanOrEqual">
      <formula>1</formula>
    </cfRule>
    <cfRule type="cellIs" dxfId="22" priority="26" operator="between">
      <formula>1.0001</formula>
      <formula>1.2</formula>
    </cfRule>
    <cfRule type="cellIs" dxfId="21" priority="26" operator="greaterThan">
      <formula>1.2</formula>
    </cfRule>
  </conditionalFormatting>
  <dataValidations count="2">
    <dataValidation type="list" showInputMessage="1" showErrorMessage="1" errorTitle="Classe Inválida" error="Selecione uma das classes válidas (CLASSE A, B, C ou D)." promptTitle="Classe de Consumo" prompt="Selecione a classe de consumo deste transformador." sqref="C4 H4 M4" xr:uid="{00000000-0002-0000-0000-000000000000}">
      <formula1>"CLASSE A,CLASSE B,CLASSE C,CLASSE D"</formula1>
    </dataValidation>
    <dataValidation type="list" sqref="C4 H4 M4" xr:uid="{00000000-0002-0000-0000-000001000000}">
      <formula1>"CLASSE A,CLASSE B,CLASSE C,CLASSE D"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LimparDados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2</xdr:col>
                    <xdr:colOff>297180</xdr:colOff>
                    <xdr:row>26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rgb="FF1F497D"/>
  </sheetPr>
  <dimension ref="A1:Y1000"/>
  <sheetViews>
    <sheetView showGridLines="0" zoomScaleNormal="100" workbookViewId="0">
      <pane xSplit="10" ySplit="2" topLeftCell="K3" activePane="bottomRight" state="frozen"/>
      <selection pane="topRight"/>
      <selection pane="bottomLeft"/>
      <selection pane="bottomRight" activeCell="D11" sqref="D11"/>
    </sheetView>
  </sheetViews>
  <sheetFormatPr defaultColWidth="14.44140625" defaultRowHeight="15" customHeight="1" x14ac:dyDescent="0.3"/>
  <cols>
    <col min="1" max="1" width="16.5546875" style="25" bestFit="1" customWidth="1"/>
    <col min="2" max="2" width="13.88671875" style="25" bestFit="1" customWidth="1"/>
    <col min="3" max="3" width="11.33203125" style="25" bestFit="1" customWidth="1"/>
    <col min="4" max="4" width="9.5546875" style="25" bestFit="1" customWidth="1"/>
    <col min="5" max="5" width="9.77734375" style="25" bestFit="1" customWidth="1"/>
    <col min="6" max="6" width="7.88671875" style="25" bestFit="1" customWidth="1"/>
    <col min="7" max="7" width="4.21875" style="25" customWidth="1"/>
    <col min="8" max="8" width="5.44140625" style="25" bestFit="1" customWidth="1"/>
    <col min="9" max="9" width="3" style="25" customWidth="1"/>
    <col min="10" max="10" width="8.6640625" style="25" customWidth="1"/>
    <col min="11" max="11" width="7.109375" style="25" bestFit="1" customWidth="1"/>
    <col min="12" max="12" width="7" style="25" bestFit="1" customWidth="1"/>
    <col min="13" max="13" width="3.21875" style="25" bestFit="1" customWidth="1"/>
    <col min="14" max="14" width="4.33203125" style="25" bestFit="1" customWidth="1"/>
    <col min="15" max="15" width="7.77734375" style="25" bestFit="1" customWidth="1"/>
    <col min="16" max="16" width="7.6640625" style="25" bestFit="1" customWidth="1"/>
    <col min="17" max="17" width="1.88671875" style="25" customWidth="1"/>
    <col min="18" max="18" width="7.109375" style="25" bestFit="1" customWidth="1"/>
    <col min="19" max="20" width="7.44140625" style="25" bestFit="1" customWidth="1"/>
    <col min="21" max="23" width="8.6640625" style="25" bestFit="1" customWidth="1"/>
    <col min="24" max="25" width="2" style="29" bestFit="1" customWidth="1"/>
    <col min="26" max="26" width="8.6640625" style="25" customWidth="1"/>
    <col min="27" max="34" width="14.44140625" style="25" customWidth="1"/>
    <col min="35" max="16384" width="14.44140625" style="25"/>
  </cols>
  <sheetData>
    <row r="1" spans="1:25" ht="15.75" customHeight="1" thickBot="1" x14ac:dyDescent="0.35">
      <c r="J1" s="123" t="s">
        <v>28</v>
      </c>
      <c r="K1" s="118" t="s">
        <v>17</v>
      </c>
      <c r="L1" s="118" t="s">
        <v>29</v>
      </c>
      <c r="M1" s="118" t="s">
        <v>30</v>
      </c>
      <c r="N1" s="118" t="s">
        <v>31</v>
      </c>
      <c r="O1" s="125" t="s">
        <v>32</v>
      </c>
      <c r="P1" s="127"/>
      <c r="R1" s="123" t="s">
        <v>17</v>
      </c>
      <c r="S1" s="118" t="s">
        <v>33</v>
      </c>
      <c r="T1" s="118" t="s">
        <v>34</v>
      </c>
      <c r="U1" s="118" t="s">
        <v>35</v>
      </c>
      <c r="V1" s="118" t="s">
        <v>36</v>
      </c>
      <c r="W1" s="125" t="s">
        <v>37</v>
      </c>
    </row>
    <row r="2" spans="1:25" ht="15.75" customHeight="1" thickBot="1" x14ac:dyDescent="0.35">
      <c r="A2" s="121" t="s">
        <v>2</v>
      </c>
      <c r="B2" s="93"/>
      <c r="C2" s="93"/>
      <c r="D2" s="94"/>
      <c r="F2" s="130" t="s">
        <v>38</v>
      </c>
      <c r="G2" s="131"/>
      <c r="H2" s="117"/>
      <c r="J2" s="124"/>
      <c r="K2" s="119"/>
      <c r="L2" s="119"/>
      <c r="M2" s="119"/>
      <c r="N2" s="119"/>
      <c r="O2" s="26" t="s">
        <v>39</v>
      </c>
      <c r="P2" s="27" t="s">
        <v>40</v>
      </c>
      <c r="R2" s="124"/>
      <c r="S2" s="119"/>
      <c r="T2" s="119"/>
      <c r="U2" s="119"/>
      <c r="V2" s="119"/>
      <c r="W2" s="126"/>
    </row>
    <row r="3" spans="1:25" ht="15.75" customHeight="1" thickBot="1" x14ac:dyDescent="0.35">
      <c r="A3" s="116" t="s">
        <v>3</v>
      </c>
      <c r="B3" s="117"/>
      <c r="C3" s="122" t="s">
        <v>4</v>
      </c>
      <c r="D3" s="117"/>
      <c r="F3" s="73" t="s">
        <v>33</v>
      </c>
      <c r="G3" s="60">
        <f>SUM(S3:S57)</f>
        <v>0</v>
      </c>
      <c r="H3" s="61">
        <v>7.0000000000000007E-2</v>
      </c>
      <c r="J3" s="46" t="s">
        <v>41</v>
      </c>
      <c r="K3" s="47">
        <f t="shared" ref="K3:K34" si="0">SUM(L3:N3)*$C$5+P3</f>
        <v>0</v>
      </c>
      <c r="L3" s="48"/>
      <c r="M3" s="48"/>
      <c r="N3" s="48"/>
      <c r="O3" s="48"/>
      <c r="P3" s="48"/>
      <c r="Q3" s="49"/>
      <c r="R3" s="47">
        <f t="shared" ref="R3:R34" si="1">S3*$H$3+T3*$H$4+U3*$H$5+V3*$H$6+W3*$H$7</f>
        <v>0</v>
      </c>
      <c r="S3" s="48"/>
      <c r="T3" s="48"/>
      <c r="U3" s="48"/>
      <c r="V3" s="48"/>
      <c r="W3" s="48"/>
      <c r="X3" s="50">
        <f t="shared" ref="X3:X34" si="2">SUM(L3:N3)*$C$5</f>
        <v>0</v>
      </c>
      <c r="Y3" s="50">
        <f t="shared" ref="Y3:Y34" si="3">R3</f>
        <v>0</v>
      </c>
    </row>
    <row r="4" spans="1:25" ht="15.75" customHeight="1" thickBot="1" x14ac:dyDescent="0.35">
      <c r="A4" s="116" t="s">
        <v>5</v>
      </c>
      <c r="B4" s="117"/>
      <c r="C4" s="132">
        <f>SUM(L3:O58)</f>
        <v>0</v>
      </c>
      <c r="D4" s="117"/>
      <c r="F4" s="73" t="s">
        <v>34</v>
      </c>
      <c r="G4" s="60">
        <f>SUM(T3:T57)</f>
        <v>0</v>
      </c>
      <c r="H4" s="61">
        <v>0.08</v>
      </c>
      <c r="J4" s="51" t="s">
        <v>42</v>
      </c>
      <c r="K4" s="52">
        <f t="shared" si="0"/>
        <v>0</v>
      </c>
      <c r="L4" s="53"/>
      <c r="M4" s="53"/>
      <c r="N4" s="53"/>
      <c r="O4" s="53"/>
      <c r="P4" s="53"/>
      <c r="Q4" s="54"/>
      <c r="R4" s="52">
        <f t="shared" si="1"/>
        <v>0</v>
      </c>
      <c r="S4" s="53"/>
      <c r="T4" s="53"/>
      <c r="U4" s="53"/>
      <c r="V4" s="53"/>
      <c r="W4" s="53"/>
      <c r="X4" s="55">
        <f t="shared" si="2"/>
        <v>0</v>
      </c>
      <c r="Y4" s="55">
        <f t="shared" si="3"/>
        <v>0</v>
      </c>
    </row>
    <row r="5" spans="1:25" ht="15.75" customHeight="1" x14ac:dyDescent="0.3">
      <c r="A5" s="116" t="s">
        <v>6</v>
      </c>
      <c r="B5" s="117"/>
      <c r="C5" s="129">
        <f>IFERROR(INDEX(B14:E21, MATCH(C4, A14:A21, 1), MATCH(C3, B13:E13, 0)), 0)</f>
        <v>0</v>
      </c>
      <c r="D5" s="117"/>
      <c r="F5" s="73" t="s">
        <v>35</v>
      </c>
      <c r="G5" s="60">
        <f>SUM(U3:U57)</f>
        <v>0</v>
      </c>
      <c r="H5" s="61">
        <v>0.125</v>
      </c>
      <c r="J5" s="46" t="s">
        <v>43</v>
      </c>
      <c r="K5" s="47">
        <f t="shared" si="0"/>
        <v>0</v>
      </c>
      <c r="L5" s="48"/>
      <c r="M5" s="48"/>
      <c r="N5" s="48"/>
      <c r="O5" s="48"/>
      <c r="P5" s="48"/>
      <c r="Q5" s="49"/>
      <c r="R5" s="47">
        <f t="shared" si="1"/>
        <v>0</v>
      </c>
      <c r="S5" s="48"/>
      <c r="T5" s="48"/>
      <c r="U5" s="48"/>
      <c r="V5" s="48"/>
      <c r="W5" s="48"/>
      <c r="X5" s="50">
        <f t="shared" si="2"/>
        <v>0</v>
      </c>
      <c r="Y5" s="50">
        <f t="shared" si="3"/>
        <v>0</v>
      </c>
    </row>
    <row r="6" spans="1:25" ht="14.4" customHeight="1" x14ac:dyDescent="0.3">
      <c r="A6" s="62" t="s">
        <v>7</v>
      </c>
      <c r="B6" s="120">
        <f>SUM(L3:N27)</f>
        <v>0</v>
      </c>
      <c r="C6" s="117"/>
      <c r="D6" s="63">
        <f>C5*B6</f>
        <v>0</v>
      </c>
      <c r="F6" s="73" t="s">
        <v>36</v>
      </c>
      <c r="G6" s="60">
        <f>SUM(V3:V57)</f>
        <v>0</v>
      </c>
      <c r="H6" s="61">
        <v>0.25</v>
      </c>
      <c r="J6" s="51" t="s">
        <v>44</v>
      </c>
      <c r="K6" s="52">
        <f t="shared" si="0"/>
        <v>0</v>
      </c>
      <c r="L6" s="53"/>
      <c r="M6" s="53"/>
      <c r="N6" s="53"/>
      <c r="O6" s="53"/>
      <c r="P6" s="53"/>
      <c r="Q6" s="54"/>
      <c r="R6" s="52">
        <f t="shared" si="1"/>
        <v>0</v>
      </c>
      <c r="S6" s="53"/>
      <c r="T6" s="53"/>
      <c r="U6" s="53"/>
      <c r="V6" s="53"/>
      <c r="W6" s="53"/>
      <c r="X6" s="55">
        <f t="shared" si="2"/>
        <v>0</v>
      </c>
      <c r="Y6" s="55">
        <f t="shared" si="3"/>
        <v>0</v>
      </c>
    </row>
    <row r="7" spans="1:25" ht="15.75" customHeight="1" x14ac:dyDescent="0.3">
      <c r="A7" s="62" t="s">
        <v>8</v>
      </c>
      <c r="B7" s="128">
        <f>SUM(G3:G7)</f>
        <v>0</v>
      </c>
      <c r="C7" s="117"/>
      <c r="D7" s="63">
        <f>G3*H3+G4*H4+G5*H5+G6*H6+G7*H7</f>
        <v>0</v>
      </c>
      <c r="F7" s="73" t="s">
        <v>37</v>
      </c>
      <c r="G7" s="60">
        <f>SUM(W3:W57)</f>
        <v>0</v>
      </c>
      <c r="H7" s="61">
        <v>0.4</v>
      </c>
      <c r="J7" s="46" t="s">
        <v>45</v>
      </c>
      <c r="K7" s="47">
        <f t="shared" si="0"/>
        <v>0</v>
      </c>
      <c r="L7" s="48"/>
      <c r="M7" s="48"/>
      <c r="N7" s="48"/>
      <c r="O7" s="48"/>
      <c r="P7" s="48"/>
      <c r="Q7" s="49"/>
      <c r="R7" s="47">
        <f t="shared" si="1"/>
        <v>0</v>
      </c>
      <c r="S7" s="48"/>
      <c r="T7" s="48"/>
      <c r="U7" s="48"/>
      <c r="V7" s="48"/>
      <c r="W7" s="48"/>
      <c r="X7" s="50">
        <f t="shared" si="2"/>
        <v>0</v>
      </c>
      <c r="Y7" s="50">
        <f t="shared" si="3"/>
        <v>0</v>
      </c>
    </row>
    <row r="8" spans="1:25" ht="14.4" customHeight="1" x14ac:dyDescent="0.3">
      <c r="A8" s="62" t="s">
        <v>9</v>
      </c>
      <c r="B8" s="120">
        <f>SUM(O3:O27)</f>
        <v>0</v>
      </c>
      <c r="C8" s="117"/>
      <c r="D8" s="64">
        <f>SUM(P3:P58)</f>
        <v>0</v>
      </c>
      <c r="J8" s="51" t="s">
        <v>46</v>
      </c>
      <c r="K8" s="52">
        <f t="shared" si="0"/>
        <v>0</v>
      </c>
      <c r="L8" s="53"/>
      <c r="M8" s="53"/>
      <c r="N8" s="53"/>
      <c r="O8" s="53"/>
      <c r="P8" s="53"/>
      <c r="Q8" s="54"/>
      <c r="R8" s="52">
        <f t="shared" si="1"/>
        <v>0</v>
      </c>
      <c r="S8" s="53"/>
      <c r="T8" s="53"/>
      <c r="U8" s="53"/>
      <c r="V8" s="53"/>
      <c r="W8" s="53"/>
      <c r="X8" s="55">
        <f t="shared" si="2"/>
        <v>0</v>
      </c>
      <c r="Y8" s="55">
        <f t="shared" si="3"/>
        <v>0</v>
      </c>
    </row>
    <row r="9" spans="1:25" ht="14.4" customHeight="1" x14ac:dyDescent="0.3">
      <c r="B9" s="58" t="s">
        <v>10</v>
      </c>
      <c r="C9" s="58" t="s">
        <v>11</v>
      </c>
      <c r="D9" s="64"/>
      <c r="J9" s="46" t="s">
        <v>47</v>
      </c>
      <c r="K9" s="47">
        <f t="shared" si="0"/>
        <v>0</v>
      </c>
      <c r="L9" s="48"/>
      <c r="M9" s="48"/>
      <c r="N9" s="48"/>
      <c r="O9" s="48"/>
      <c r="P9" s="48"/>
      <c r="Q9" s="49"/>
      <c r="R9" s="47">
        <f t="shared" si="1"/>
        <v>0</v>
      </c>
      <c r="S9" s="48"/>
      <c r="T9" s="48"/>
      <c r="U9" s="48"/>
      <c r="V9" s="48"/>
      <c r="W9" s="48"/>
      <c r="X9" s="50">
        <f t="shared" si="2"/>
        <v>0</v>
      </c>
      <c r="Y9" s="50">
        <f t="shared" si="3"/>
        <v>0</v>
      </c>
    </row>
    <row r="10" spans="1:25" ht="14.4" customHeight="1" thickBot="1" x14ac:dyDescent="0.35">
      <c r="A10" s="65" t="s">
        <v>12</v>
      </c>
      <c r="B10" s="66">
        <f>D10/C10</f>
        <v>0</v>
      </c>
      <c r="C10" s="67">
        <v>150</v>
      </c>
      <c r="D10" s="68">
        <f>SUM(D6:D9)</f>
        <v>0</v>
      </c>
      <c r="J10" s="51" t="s">
        <v>48</v>
      </c>
      <c r="K10" s="52">
        <f t="shared" si="0"/>
        <v>0</v>
      </c>
      <c r="L10" s="53"/>
      <c r="M10" s="53"/>
      <c r="N10" s="53"/>
      <c r="O10" s="53"/>
      <c r="P10" s="53"/>
      <c r="Q10" s="54"/>
      <c r="R10" s="52">
        <f t="shared" si="1"/>
        <v>0</v>
      </c>
      <c r="S10" s="53"/>
      <c r="T10" s="53"/>
      <c r="U10" s="53"/>
      <c r="V10" s="53"/>
      <c r="W10" s="53"/>
      <c r="X10" s="55">
        <f t="shared" si="2"/>
        <v>0</v>
      </c>
      <c r="Y10" s="55">
        <f t="shared" si="3"/>
        <v>0</v>
      </c>
    </row>
    <row r="11" spans="1:25" ht="14.4" customHeight="1" thickTop="1" x14ac:dyDescent="0.3">
      <c r="B11" s="28"/>
      <c r="J11" s="46" t="s">
        <v>49</v>
      </c>
      <c r="K11" s="47">
        <f t="shared" si="0"/>
        <v>0</v>
      </c>
      <c r="L11" s="48"/>
      <c r="M11" s="48"/>
      <c r="N11" s="48"/>
      <c r="O11" s="48"/>
      <c r="P11" s="48"/>
      <c r="Q11" s="49"/>
      <c r="R11" s="47">
        <f t="shared" si="1"/>
        <v>0</v>
      </c>
      <c r="S11" s="48"/>
      <c r="T11" s="48"/>
      <c r="U11" s="48"/>
      <c r="V11" s="48"/>
      <c r="W11" s="48"/>
      <c r="X11" s="50">
        <f t="shared" si="2"/>
        <v>0</v>
      </c>
      <c r="Y11" s="50">
        <f t="shared" si="3"/>
        <v>0</v>
      </c>
    </row>
    <row r="12" spans="1:25" ht="14.4" customHeight="1" x14ac:dyDescent="0.3">
      <c r="A12" s="114" t="s">
        <v>50</v>
      </c>
      <c r="B12" s="115"/>
      <c r="C12" s="115"/>
      <c r="D12" s="115"/>
      <c r="E12" s="115"/>
      <c r="J12" s="51" t="s">
        <v>51</v>
      </c>
      <c r="K12" s="52">
        <f t="shared" si="0"/>
        <v>0</v>
      </c>
      <c r="L12" s="53"/>
      <c r="M12" s="53"/>
      <c r="N12" s="53"/>
      <c r="O12" s="53"/>
      <c r="P12" s="53"/>
      <c r="Q12" s="54"/>
      <c r="R12" s="52">
        <f t="shared" si="1"/>
        <v>0</v>
      </c>
      <c r="S12" s="53"/>
      <c r="T12" s="53"/>
      <c r="U12" s="53"/>
      <c r="V12" s="53"/>
      <c r="W12" s="53"/>
      <c r="X12" s="55">
        <f t="shared" si="2"/>
        <v>0</v>
      </c>
      <c r="Y12" s="55">
        <f t="shared" si="3"/>
        <v>0</v>
      </c>
    </row>
    <row r="13" spans="1:25" ht="14.4" customHeight="1" x14ac:dyDescent="0.3">
      <c r="A13" s="59" t="s">
        <v>52</v>
      </c>
      <c r="B13" s="59" t="s">
        <v>53</v>
      </c>
      <c r="C13" s="59" t="s">
        <v>54</v>
      </c>
      <c r="D13" s="59" t="s">
        <v>4</v>
      </c>
      <c r="E13" s="59" t="s">
        <v>55</v>
      </c>
      <c r="J13" s="46" t="s">
        <v>56</v>
      </c>
      <c r="K13" s="47">
        <f t="shared" si="0"/>
        <v>0</v>
      </c>
      <c r="L13" s="48"/>
      <c r="M13" s="48"/>
      <c r="N13" s="48"/>
      <c r="O13" s="48"/>
      <c r="P13" s="48"/>
      <c r="Q13" s="49"/>
      <c r="R13" s="47">
        <f t="shared" si="1"/>
        <v>0</v>
      </c>
      <c r="S13" s="48"/>
      <c r="T13" s="48"/>
      <c r="U13" s="48"/>
      <c r="V13" s="48"/>
      <c r="W13" s="48"/>
      <c r="X13" s="50">
        <f t="shared" si="2"/>
        <v>0</v>
      </c>
      <c r="Y13" s="50">
        <f t="shared" si="3"/>
        <v>0</v>
      </c>
    </row>
    <row r="14" spans="1:25" ht="14.4" customHeight="1" x14ac:dyDescent="0.3">
      <c r="A14" s="69">
        <v>1</v>
      </c>
      <c r="B14" s="70">
        <v>1</v>
      </c>
      <c r="C14" s="70">
        <v>1.6</v>
      </c>
      <c r="D14" s="70">
        <v>2.6</v>
      </c>
      <c r="E14" s="70">
        <v>4</v>
      </c>
      <c r="J14" s="51" t="s">
        <v>57</v>
      </c>
      <c r="K14" s="52">
        <f t="shared" si="0"/>
        <v>0</v>
      </c>
      <c r="L14" s="53"/>
      <c r="M14" s="53"/>
      <c r="N14" s="53"/>
      <c r="O14" s="53"/>
      <c r="P14" s="53"/>
      <c r="Q14" s="54"/>
      <c r="R14" s="52">
        <f t="shared" si="1"/>
        <v>0</v>
      </c>
      <c r="S14" s="53"/>
      <c r="T14" s="53"/>
      <c r="U14" s="53"/>
      <c r="V14" s="53"/>
      <c r="W14" s="53"/>
      <c r="X14" s="55">
        <f t="shared" si="2"/>
        <v>0</v>
      </c>
      <c r="Y14" s="55">
        <f t="shared" si="3"/>
        <v>0</v>
      </c>
    </row>
    <row r="15" spans="1:25" ht="14.4" customHeight="1" x14ac:dyDescent="0.3">
      <c r="A15" s="71">
        <v>6</v>
      </c>
      <c r="B15" s="72">
        <v>0.9</v>
      </c>
      <c r="C15" s="72">
        <v>1.4</v>
      </c>
      <c r="D15" s="72">
        <v>2.2000000000000002</v>
      </c>
      <c r="E15" s="72">
        <v>3.4</v>
      </c>
      <c r="J15" s="46" t="s">
        <v>58</v>
      </c>
      <c r="K15" s="47">
        <f t="shared" si="0"/>
        <v>0</v>
      </c>
      <c r="L15" s="48"/>
      <c r="M15" s="48"/>
      <c r="N15" s="48"/>
      <c r="O15" s="48"/>
      <c r="P15" s="48"/>
      <c r="Q15" s="49"/>
      <c r="R15" s="47">
        <f t="shared" si="1"/>
        <v>0</v>
      </c>
      <c r="S15" s="48"/>
      <c r="T15" s="48"/>
      <c r="U15" s="48"/>
      <c r="V15" s="48"/>
      <c r="W15" s="48"/>
      <c r="X15" s="50">
        <f t="shared" si="2"/>
        <v>0</v>
      </c>
      <c r="Y15" s="50">
        <f t="shared" si="3"/>
        <v>0</v>
      </c>
    </row>
    <row r="16" spans="1:25" ht="14.4" customHeight="1" x14ac:dyDescent="0.3">
      <c r="A16" s="69">
        <v>11</v>
      </c>
      <c r="B16" s="70">
        <v>0.8</v>
      </c>
      <c r="C16" s="70">
        <v>1.2</v>
      </c>
      <c r="D16" s="70">
        <v>1.9</v>
      </c>
      <c r="E16" s="70">
        <v>3</v>
      </c>
      <c r="J16" s="51" t="s">
        <v>59</v>
      </c>
      <c r="K16" s="52">
        <f t="shared" si="0"/>
        <v>0</v>
      </c>
      <c r="L16" s="53"/>
      <c r="M16" s="53"/>
      <c r="N16" s="53"/>
      <c r="O16" s="53"/>
      <c r="P16" s="53"/>
      <c r="Q16" s="54"/>
      <c r="R16" s="52">
        <f t="shared" si="1"/>
        <v>0</v>
      </c>
      <c r="S16" s="53"/>
      <c r="T16" s="53"/>
      <c r="U16" s="53"/>
      <c r="V16" s="53"/>
      <c r="W16" s="53"/>
      <c r="X16" s="55">
        <f t="shared" si="2"/>
        <v>0</v>
      </c>
      <c r="Y16" s="55">
        <f t="shared" si="3"/>
        <v>0</v>
      </c>
    </row>
    <row r="17" spans="1:25" ht="14.4" customHeight="1" x14ac:dyDescent="0.3">
      <c r="A17" s="71">
        <v>16</v>
      </c>
      <c r="B17" s="72">
        <v>0.7</v>
      </c>
      <c r="C17" s="72">
        <v>1.1000000000000001</v>
      </c>
      <c r="D17" s="72">
        <v>1.7</v>
      </c>
      <c r="E17" s="72">
        <v>2.6</v>
      </c>
      <c r="J17" s="46" t="s">
        <v>60</v>
      </c>
      <c r="K17" s="47">
        <f t="shared" si="0"/>
        <v>0</v>
      </c>
      <c r="L17" s="48"/>
      <c r="M17" s="48"/>
      <c r="N17" s="48"/>
      <c r="O17" s="48"/>
      <c r="P17" s="48"/>
      <c r="Q17" s="49"/>
      <c r="R17" s="47">
        <f t="shared" si="1"/>
        <v>0</v>
      </c>
      <c r="S17" s="48"/>
      <c r="T17" s="48"/>
      <c r="U17" s="48"/>
      <c r="V17" s="48"/>
      <c r="W17" s="48"/>
      <c r="X17" s="50">
        <f t="shared" si="2"/>
        <v>0</v>
      </c>
      <c r="Y17" s="50">
        <f t="shared" si="3"/>
        <v>0</v>
      </c>
    </row>
    <row r="18" spans="1:25" ht="14.4" customHeight="1" x14ac:dyDescent="0.3">
      <c r="A18" s="69">
        <v>21</v>
      </c>
      <c r="B18" s="70">
        <v>0.6</v>
      </c>
      <c r="C18" s="70">
        <v>0.9</v>
      </c>
      <c r="D18" s="70">
        <v>1.5</v>
      </c>
      <c r="E18" s="70">
        <v>2.2999999999999998</v>
      </c>
      <c r="J18" s="51" t="s">
        <v>61</v>
      </c>
      <c r="K18" s="52">
        <f t="shared" si="0"/>
        <v>0</v>
      </c>
      <c r="L18" s="53"/>
      <c r="M18" s="53"/>
      <c r="N18" s="53"/>
      <c r="O18" s="53"/>
      <c r="P18" s="53"/>
      <c r="Q18" s="54"/>
      <c r="R18" s="52">
        <f t="shared" si="1"/>
        <v>0</v>
      </c>
      <c r="S18" s="53"/>
      <c r="T18" s="53"/>
      <c r="U18" s="53"/>
      <c r="V18" s="53"/>
      <c r="W18" s="53"/>
      <c r="X18" s="55">
        <f t="shared" si="2"/>
        <v>0</v>
      </c>
      <c r="Y18" s="55">
        <f t="shared" si="3"/>
        <v>0</v>
      </c>
    </row>
    <row r="19" spans="1:25" ht="14.4" customHeight="1" x14ac:dyDescent="0.3">
      <c r="A19" s="71">
        <v>26</v>
      </c>
      <c r="B19" s="72">
        <v>0.5</v>
      </c>
      <c r="C19" s="72">
        <v>0.9</v>
      </c>
      <c r="D19" s="72">
        <v>1.4</v>
      </c>
      <c r="E19" s="72">
        <v>2.1</v>
      </c>
      <c r="J19" s="46" t="s">
        <v>62</v>
      </c>
      <c r="K19" s="47">
        <f t="shared" si="0"/>
        <v>0</v>
      </c>
      <c r="L19" s="48"/>
      <c r="M19" s="48"/>
      <c r="N19" s="48"/>
      <c r="O19" s="48"/>
      <c r="P19" s="48"/>
      <c r="Q19" s="49"/>
      <c r="R19" s="47">
        <f t="shared" si="1"/>
        <v>0</v>
      </c>
      <c r="S19" s="48"/>
      <c r="T19" s="48"/>
      <c r="U19" s="48"/>
      <c r="V19" s="48"/>
      <c r="W19" s="48"/>
      <c r="X19" s="50">
        <f t="shared" si="2"/>
        <v>0</v>
      </c>
      <c r="Y19" s="50">
        <f t="shared" si="3"/>
        <v>0</v>
      </c>
    </row>
    <row r="20" spans="1:25" ht="14.4" customHeight="1" x14ac:dyDescent="0.3">
      <c r="A20" s="69">
        <v>31</v>
      </c>
      <c r="B20" s="70">
        <v>0.5</v>
      </c>
      <c r="C20" s="70">
        <v>0.8</v>
      </c>
      <c r="D20" s="70">
        <v>1.3</v>
      </c>
      <c r="E20" s="70">
        <v>2</v>
      </c>
      <c r="J20" s="51" t="s">
        <v>63</v>
      </c>
      <c r="K20" s="52">
        <f t="shared" si="0"/>
        <v>0</v>
      </c>
      <c r="L20" s="53"/>
      <c r="M20" s="53"/>
      <c r="N20" s="53"/>
      <c r="O20" s="53"/>
      <c r="P20" s="53"/>
      <c r="Q20" s="54"/>
      <c r="R20" s="52">
        <f t="shared" si="1"/>
        <v>0</v>
      </c>
      <c r="S20" s="53"/>
      <c r="T20" s="53"/>
      <c r="U20" s="53"/>
      <c r="V20" s="53"/>
      <c r="W20" s="53"/>
      <c r="X20" s="55">
        <f t="shared" si="2"/>
        <v>0</v>
      </c>
      <c r="Y20" s="55">
        <f t="shared" si="3"/>
        <v>0</v>
      </c>
    </row>
    <row r="21" spans="1:25" ht="15.75" customHeight="1" x14ac:dyDescent="0.3">
      <c r="A21" s="71">
        <v>41</v>
      </c>
      <c r="B21" s="72">
        <v>0.5</v>
      </c>
      <c r="C21" s="72">
        <v>0.8</v>
      </c>
      <c r="D21" s="72">
        <v>1.3</v>
      </c>
      <c r="E21" s="72">
        <v>2</v>
      </c>
      <c r="J21" s="46" t="s">
        <v>64</v>
      </c>
      <c r="K21" s="47">
        <f t="shared" si="0"/>
        <v>0</v>
      </c>
      <c r="L21" s="48"/>
      <c r="M21" s="48"/>
      <c r="N21" s="48"/>
      <c r="O21" s="48"/>
      <c r="P21" s="48"/>
      <c r="Q21" s="49"/>
      <c r="R21" s="47">
        <f t="shared" si="1"/>
        <v>0</v>
      </c>
      <c r="S21" s="48"/>
      <c r="T21" s="48"/>
      <c r="U21" s="48"/>
      <c r="V21" s="48"/>
      <c r="W21" s="48"/>
      <c r="X21" s="50">
        <f t="shared" si="2"/>
        <v>0</v>
      </c>
      <c r="Y21" s="50">
        <f t="shared" si="3"/>
        <v>0</v>
      </c>
    </row>
    <row r="22" spans="1:25" ht="15.75" customHeight="1" x14ac:dyDescent="0.3">
      <c r="J22" s="51" t="s">
        <v>65</v>
      </c>
      <c r="K22" s="52">
        <f t="shared" si="0"/>
        <v>0</v>
      </c>
      <c r="L22" s="53"/>
      <c r="M22" s="53"/>
      <c r="N22" s="53"/>
      <c r="O22" s="53"/>
      <c r="P22" s="53"/>
      <c r="Q22" s="54"/>
      <c r="R22" s="52">
        <f t="shared" si="1"/>
        <v>0</v>
      </c>
      <c r="S22" s="53"/>
      <c r="T22" s="53"/>
      <c r="U22" s="53"/>
      <c r="V22" s="53"/>
      <c r="W22" s="53"/>
      <c r="X22" s="55">
        <f t="shared" si="2"/>
        <v>0</v>
      </c>
      <c r="Y22" s="55">
        <f t="shared" si="3"/>
        <v>0</v>
      </c>
    </row>
    <row r="23" spans="1:25" ht="15.75" customHeight="1" x14ac:dyDescent="0.3">
      <c r="J23" s="46" t="s">
        <v>66</v>
      </c>
      <c r="K23" s="47">
        <f t="shared" si="0"/>
        <v>0</v>
      </c>
      <c r="L23" s="48"/>
      <c r="M23" s="48"/>
      <c r="N23" s="48"/>
      <c r="O23" s="48"/>
      <c r="P23" s="48"/>
      <c r="Q23" s="49"/>
      <c r="R23" s="47">
        <f t="shared" si="1"/>
        <v>0</v>
      </c>
      <c r="S23" s="48"/>
      <c r="T23" s="48"/>
      <c r="U23" s="48"/>
      <c r="V23" s="48"/>
      <c r="W23" s="48"/>
      <c r="X23" s="50">
        <f t="shared" si="2"/>
        <v>0</v>
      </c>
      <c r="Y23" s="50">
        <f t="shared" si="3"/>
        <v>0</v>
      </c>
    </row>
    <row r="24" spans="1:25" ht="15.75" customHeight="1" x14ac:dyDescent="0.3">
      <c r="J24" s="51" t="s">
        <v>67</v>
      </c>
      <c r="K24" s="52">
        <f t="shared" si="0"/>
        <v>0</v>
      </c>
      <c r="L24" s="53"/>
      <c r="M24" s="53"/>
      <c r="N24" s="53"/>
      <c r="O24" s="53"/>
      <c r="P24" s="53"/>
      <c r="Q24" s="54"/>
      <c r="R24" s="52">
        <f t="shared" si="1"/>
        <v>0</v>
      </c>
      <c r="S24" s="53"/>
      <c r="T24" s="53"/>
      <c r="U24" s="53"/>
      <c r="V24" s="53"/>
      <c r="W24" s="53"/>
      <c r="X24" s="55">
        <f t="shared" si="2"/>
        <v>0</v>
      </c>
      <c r="Y24" s="55">
        <f t="shared" si="3"/>
        <v>0</v>
      </c>
    </row>
    <row r="25" spans="1:25" ht="15.75" customHeight="1" x14ac:dyDescent="0.3">
      <c r="J25" s="46" t="s">
        <v>68</v>
      </c>
      <c r="K25" s="47">
        <f t="shared" si="0"/>
        <v>0</v>
      </c>
      <c r="L25" s="48"/>
      <c r="M25" s="48"/>
      <c r="N25" s="48"/>
      <c r="O25" s="48"/>
      <c r="P25" s="48"/>
      <c r="Q25" s="49"/>
      <c r="R25" s="47">
        <f t="shared" si="1"/>
        <v>0</v>
      </c>
      <c r="S25" s="48"/>
      <c r="T25" s="48"/>
      <c r="U25" s="48"/>
      <c r="V25" s="48"/>
      <c r="W25" s="48"/>
      <c r="X25" s="50">
        <f t="shared" si="2"/>
        <v>0</v>
      </c>
      <c r="Y25" s="50">
        <f t="shared" si="3"/>
        <v>0</v>
      </c>
    </row>
    <row r="26" spans="1:25" ht="15.75" customHeight="1" x14ac:dyDescent="0.3">
      <c r="J26" s="51" t="s">
        <v>69</v>
      </c>
      <c r="K26" s="52">
        <f t="shared" si="0"/>
        <v>0</v>
      </c>
      <c r="L26" s="53"/>
      <c r="M26" s="53"/>
      <c r="N26" s="53"/>
      <c r="O26" s="53"/>
      <c r="P26" s="53"/>
      <c r="Q26" s="54"/>
      <c r="R26" s="52">
        <f t="shared" si="1"/>
        <v>0</v>
      </c>
      <c r="S26" s="53"/>
      <c r="T26" s="53"/>
      <c r="U26" s="53"/>
      <c r="V26" s="53"/>
      <c r="W26" s="53"/>
      <c r="X26" s="55">
        <f t="shared" si="2"/>
        <v>0</v>
      </c>
      <c r="Y26" s="55">
        <f t="shared" si="3"/>
        <v>0</v>
      </c>
    </row>
    <row r="27" spans="1:25" ht="15.75" customHeight="1" x14ac:dyDescent="0.3">
      <c r="J27" s="46" t="s">
        <v>70</v>
      </c>
      <c r="K27" s="47">
        <f t="shared" si="0"/>
        <v>0</v>
      </c>
      <c r="L27" s="56"/>
      <c r="M27" s="56"/>
      <c r="N27" s="56"/>
      <c r="O27" s="56"/>
      <c r="P27" s="56"/>
      <c r="Q27" s="49"/>
      <c r="R27" s="47">
        <f t="shared" si="1"/>
        <v>0</v>
      </c>
      <c r="S27" s="48"/>
      <c r="T27" s="48"/>
      <c r="U27" s="48"/>
      <c r="V27" s="48"/>
      <c r="W27" s="48"/>
      <c r="X27" s="50">
        <f t="shared" si="2"/>
        <v>0</v>
      </c>
      <c r="Y27" s="50">
        <f t="shared" si="3"/>
        <v>0</v>
      </c>
    </row>
    <row r="28" spans="1:25" ht="15.75" customHeight="1" x14ac:dyDescent="0.3">
      <c r="J28" s="51"/>
      <c r="K28" s="52">
        <f t="shared" si="0"/>
        <v>0</v>
      </c>
      <c r="L28" s="57"/>
      <c r="M28" s="57"/>
      <c r="N28" s="57"/>
      <c r="O28" s="57"/>
      <c r="P28" s="57"/>
      <c r="Q28" s="54"/>
      <c r="R28" s="52">
        <f t="shared" si="1"/>
        <v>0</v>
      </c>
      <c r="S28" s="53"/>
      <c r="T28" s="53"/>
      <c r="U28" s="53"/>
      <c r="V28" s="53"/>
      <c r="W28" s="53"/>
      <c r="X28" s="55">
        <f t="shared" si="2"/>
        <v>0</v>
      </c>
      <c r="Y28" s="55">
        <f t="shared" si="3"/>
        <v>0</v>
      </c>
    </row>
    <row r="29" spans="1:25" ht="15.75" customHeight="1" x14ac:dyDescent="0.3">
      <c r="J29" s="46"/>
      <c r="K29" s="47">
        <f t="shared" si="0"/>
        <v>0</v>
      </c>
      <c r="L29" s="56"/>
      <c r="M29" s="56"/>
      <c r="N29" s="56"/>
      <c r="O29" s="56"/>
      <c r="P29" s="56"/>
      <c r="Q29" s="49"/>
      <c r="R29" s="47">
        <f t="shared" si="1"/>
        <v>0</v>
      </c>
      <c r="S29" s="48"/>
      <c r="T29" s="48"/>
      <c r="U29" s="48"/>
      <c r="V29" s="48"/>
      <c r="W29" s="48"/>
      <c r="X29" s="50">
        <f t="shared" si="2"/>
        <v>0</v>
      </c>
      <c r="Y29" s="50">
        <f t="shared" si="3"/>
        <v>0</v>
      </c>
    </row>
    <row r="30" spans="1:25" ht="15.75" customHeight="1" x14ac:dyDescent="0.3">
      <c r="J30" s="51"/>
      <c r="K30" s="52">
        <f t="shared" si="0"/>
        <v>0</v>
      </c>
      <c r="L30" s="57"/>
      <c r="M30" s="57"/>
      <c r="N30" s="57"/>
      <c r="O30" s="57"/>
      <c r="P30" s="57"/>
      <c r="Q30" s="54"/>
      <c r="R30" s="52">
        <f t="shared" si="1"/>
        <v>0</v>
      </c>
      <c r="S30" s="53"/>
      <c r="T30" s="53"/>
      <c r="U30" s="53"/>
      <c r="V30" s="53"/>
      <c r="W30" s="53"/>
      <c r="X30" s="55">
        <f t="shared" si="2"/>
        <v>0</v>
      </c>
      <c r="Y30" s="55">
        <f t="shared" si="3"/>
        <v>0</v>
      </c>
    </row>
    <row r="31" spans="1:25" ht="15.75" customHeight="1" x14ac:dyDescent="0.3">
      <c r="J31" s="46"/>
      <c r="K31" s="47">
        <f t="shared" si="0"/>
        <v>0</v>
      </c>
      <c r="L31" s="56"/>
      <c r="M31" s="56"/>
      <c r="N31" s="56"/>
      <c r="O31" s="56"/>
      <c r="P31" s="56"/>
      <c r="Q31" s="49"/>
      <c r="R31" s="47">
        <f t="shared" si="1"/>
        <v>0</v>
      </c>
      <c r="S31" s="48"/>
      <c r="T31" s="48"/>
      <c r="U31" s="48"/>
      <c r="V31" s="48"/>
      <c r="W31" s="48"/>
      <c r="X31" s="50">
        <f t="shared" si="2"/>
        <v>0</v>
      </c>
      <c r="Y31" s="50">
        <f t="shared" si="3"/>
        <v>0</v>
      </c>
    </row>
    <row r="32" spans="1:25" ht="15.75" customHeight="1" x14ac:dyDescent="0.3">
      <c r="J32" s="51"/>
      <c r="K32" s="52">
        <f t="shared" si="0"/>
        <v>0</v>
      </c>
      <c r="L32" s="57"/>
      <c r="M32" s="57"/>
      <c r="N32" s="57"/>
      <c r="O32" s="57"/>
      <c r="P32" s="57"/>
      <c r="Q32" s="54"/>
      <c r="R32" s="52">
        <f t="shared" si="1"/>
        <v>0</v>
      </c>
      <c r="S32" s="53"/>
      <c r="T32" s="53"/>
      <c r="U32" s="53"/>
      <c r="V32" s="53"/>
      <c r="W32" s="53"/>
      <c r="X32" s="55">
        <f t="shared" si="2"/>
        <v>0</v>
      </c>
      <c r="Y32" s="55">
        <f t="shared" si="3"/>
        <v>0</v>
      </c>
    </row>
    <row r="33" spans="10:25" ht="15.75" customHeight="1" x14ac:dyDescent="0.3">
      <c r="J33" s="46"/>
      <c r="K33" s="47">
        <f t="shared" si="0"/>
        <v>0</v>
      </c>
      <c r="L33" s="56"/>
      <c r="M33" s="56"/>
      <c r="N33" s="56"/>
      <c r="O33" s="56"/>
      <c r="P33" s="56"/>
      <c r="Q33" s="49"/>
      <c r="R33" s="47">
        <f t="shared" si="1"/>
        <v>0</v>
      </c>
      <c r="S33" s="48"/>
      <c r="T33" s="48"/>
      <c r="U33" s="48"/>
      <c r="V33" s="48"/>
      <c r="W33" s="48"/>
      <c r="X33" s="50">
        <f t="shared" si="2"/>
        <v>0</v>
      </c>
      <c r="Y33" s="50">
        <f t="shared" si="3"/>
        <v>0</v>
      </c>
    </row>
    <row r="34" spans="10:25" ht="15.75" customHeight="1" x14ac:dyDescent="0.3">
      <c r="J34" s="51"/>
      <c r="K34" s="52">
        <f t="shared" si="0"/>
        <v>0</v>
      </c>
      <c r="L34" s="57"/>
      <c r="M34" s="57"/>
      <c r="N34" s="57"/>
      <c r="O34" s="57"/>
      <c r="P34" s="57"/>
      <c r="Q34" s="54"/>
      <c r="R34" s="52">
        <f t="shared" si="1"/>
        <v>0</v>
      </c>
      <c r="S34" s="53"/>
      <c r="T34" s="53"/>
      <c r="U34" s="53"/>
      <c r="V34" s="53"/>
      <c r="W34" s="53"/>
      <c r="X34" s="55">
        <f t="shared" si="2"/>
        <v>0</v>
      </c>
      <c r="Y34" s="55">
        <f t="shared" si="3"/>
        <v>0</v>
      </c>
    </row>
    <row r="35" spans="10:25" ht="15.75" customHeight="1" x14ac:dyDescent="0.3">
      <c r="J35" s="46"/>
      <c r="K35" s="47">
        <f t="shared" ref="K35:K57" si="4">SUM(L35:N35)*$C$5+P35</f>
        <v>0</v>
      </c>
      <c r="L35" s="56"/>
      <c r="M35" s="56"/>
      <c r="N35" s="56"/>
      <c r="O35" s="56"/>
      <c r="P35" s="56"/>
      <c r="Q35" s="49"/>
      <c r="R35" s="47">
        <f t="shared" ref="R35:R57" si="5">S35*$H$3+T35*$H$4+U35*$H$5+V35*$H$6+W35*$H$7</f>
        <v>0</v>
      </c>
      <c r="S35" s="48"/>
      <c r="T35" s="48"/>
      <c r="U35" s="48"/>
      <c r="V35" s="48"/>
      <c r="W35" s="48"/>
      <c r="X35" s="50">
        <f t="shared" ref="X35:X57" si="6">SUM(L35:N35)*$C$5</f>
        <v>0</v>
      </c>
      <c r="Y35" s="50">
        <f t="shared" ref="Y35:Y58" si="7">R35</f>
        <v>0</v>
      </c>
    </row>
    <row r="36" spans="10:25" ht="15.75" customHeight="1" x14ac:dyDescent="0.3">
      <c r="J36" s="51"/>
      <c r="K36" s="52">
        <f t="shared" si="4"/>
        <v>0</v>
      </c>
      <c r="L36" s="57"/>
      <c r="M36" s="57"/>
      <c r="N36" s="57"/>
      <c r="O36" s="57"/>
      <c r="P36" s="57"/>
      <c r="Q36" s="54"/>
      <c r="R36" s="52">
        <f t="shared" si="5"/>
        <v>0</v>
      </c>
      <c r="S36" s="53"/>
      <c r="T36" s="53"/>
      <c r="U36" s="53"/>
      <c r="V36" s="53"/>
      <c r="W36" s="53"/>
      <c r="X36" s="55">
        <f t="shared" si="6"/>
        <v>0</v>
      </c>
      <c r="Y36" s="55">
        <f t="shared" si="7"/>
        <v>0</v>
      </c>
    </row>
    <row r="37" spans="10:25" ht="15.75" customHeight="1" x14ac:dyDescent="0.3">
      <c r="J37" s="46"/>
      <c r="K37" s="47">
        <f t="shared" si="4"/>
        <v>0</v>
      </c>
      <c r="L37" s="56"/>
      <c r="M37" s="56"/>
      <c r="N37" s="56"/>
      <c r="O37" s="56"/>
      <c r="P37" s="56"/>
      <c r="Q37" s="49"/>
      <c r="R37" s="47">
        <f t="shared" si="5"/>
        <v>0</v>
      </c>
      <c r="S37" s="48"/>
      <c r="T37" s="48"/>
      <c r="U37" s="48"/>
      <c r="V37" s="48"/>
      <c r="W37" s="48"/>
      <c r="X37" s="50">
        <f t="shared" si="6"/>
        <v>0</v>
      </c>
      <c r="Y37" s="50">
        <f t="shared" si="7"/>
        <v>0</v>
      </c>
    </row>
    <row r="38" spans="10:25" ht="15.75" customHeight="1" x14ac:dyDescent="0.3">
      <c r="J38" s="51"/>
      <c r="K38" s="52">
        <f t="shared" si="4"/>
        <v>0</v>
      </c>
      <c r="L38" s="57"/>
      <c r="M38" s="57"/>
      <c r="N38" s="57"/>
      <c r="O38" s="57"/>
      <c r="P38" s="57"/>
      <c r="Q38" s="54"/>
      <c r="R38" s="52">
        <f t="shared" si="5"/>
        <v>0</v>
      </c>
      <c r="S38" s="53"/>
      <c r="T38" s="53"/>
      <c r="U38" s="53"/>
      <c r="V38" s="53"/>
      <c r="W38" s="53"/>
      <c r="X38" s="55">
        <f t="shared" si="6"/>
        <v>0</v>
      </c>
      <c r="Y38" s="55">
        <f t="shared" si="7"/>
        <v>0</v>
      </c>
    </row>
    <row r="39" spans="10:25" ht="15.75" customHeight="1" x14ac:dyDescent="0.3">
      <c r="J39" s="46"/>
      <c r="K39" s="47">
        <f t="shared" si="4"/>
        <v>0</v>
      </c>
      <c r="L39" s="56"/>
      <c r="M39" s="56"/>
      <c r="N39" s="56"/>
      <c r="O39" s="56"/>
      <c r="P39" s="56"/>
      <c r="Q39" s="49"/>
      <c r="R39" s="47">
        <f t="shared" si="5"/>
        <v>0</v>
      </c>
      <c r="S39" s="48"/>
      <c r="T39" s="48"/>
      <c r="U39" s="48"/>
      <c r="V39" s="48"/>
      <c r="W39" s="48"/>
      <c r="X39" s="50">
        <f t="shared" si="6"/>
        <v>0</v>
      </c>
      <c r="Y39" s="50">
        <f t="shared" si="7"/>
        <v>0</v>
      </c>
    </row>
    <row r="40" spans="10:25" ht="15.75" customHeight="1" x14ac:dyDescent="0.3">
      <c r="J40" s="51"/>
      <c r="K40" s="52">
        <f t="shared" si="4"/>
        <v>0</v>
      </c>
      <c r="L40" s="57"/>
      <c r="M40" s="57"/>
      <c r="N40" s="57"/>
      <c r="O40" s="57"/>
      <c r="P40" s="57"/>
      <c r="Q40" s="54"/>
      <c r="R40" s="52">
        <f t="shared" si="5"/>
        <v>0</v>
      </c>
      <c r="S40" s="53"/>
      <c r="T40" s="53"/>
      <c r="U40" s="53"/>
      <c r="V40" s="53"/>
      <c r="W40" s="53"/>
      <c r="X40" s="55">
        <f t="shared" si="6"/>
        <v>0</v>
      </c>
      <c r="Y40" s="55">
        <f t="shared" si="7"/>
        <v>0</v>
      </c>
    </row>
    <row r="41" spans="10:25" ht="15.75" customHeight="1" x14ac:dyDescent="0.3">
      <c r="J41" s="46"/>
      <c r="K41" s="47">
        <f t="shared" si="4"/>
        <v>0</v>
      </c>
      <c r="L41" s="56"/>
      <c r="M41" s="56"/>
      <c r="N41" s="56"/>
      <c r="O41" s="56"/>
      <c r="P41" s="56"/>
      <c r="Q41" s="49"/>
      <c r="R41" s="47">
        <f t="shared" si="5"/>
        <v>0</v>
      </c>
      <c r="S41" s="48"/>
      <c r="T41" s="48"/>
      <c r="U41" s="48"/>
      <c r="V41" s="48"/>
      <c r="W41" s="48"/>
      <c r="X41" s="50">
        <f t="shared" si="6"/>
        <v>0</v>
      </c>
      <c r="Y41" s="50">
        <f t="shared" si="7"/>
        <v>0</v>
      </c>
    </row>
    <row r="42" spans="10:25" ht="15.75" customHeight="1" x14ac:dyDescent="0.3">
      <c r="J42" s="51"/>
      <c r="K42" s="52">
        <f t="shared" si="4"/>
        <v>0</v>
      </c>
      <c r="L42" s="57"/>
      <c r="M42" s="57"/>
      <c r="N42" s="57"/>
      <c r="O42" s="57"/>
      <c r="P42" s="57"/>
      <c r="Q42" s="54"/>
      <c r="R42" s="52">
        <f t="shared" si="5"/>
        <v>0</v>
      </c>
      <c r="S42" s="53"/>
      <c r="T42" s="53"/>
      <c r="U42" s="53"/>
      <c r="V42" s="53"/>
      <c r="W42" s="53"/>
      <c r="X42" s="55">
        <f t="shared" si="6"/>
        <v>0</v>
      </c>
      <c r="Y42" s="55">
        <f t="shared" si="7"/>
        <v>0</v>
      </c>
    </row>
    <row r="43" spans="10:25" ht="15.75" customHeight="1" x14ac:dyDescent="0.3">
      <c r="J43" s="46"/>
      <c r="K43" s="47">
        <f t="shared" si="4"/>
        <v>0</v>
      </c>
      <c r="L43" s="56"/>
      <c r="M43" s="56"/>
      <c r="N43" s="56"/>
      <c r="O43" s="56"/>
      <c r="P43" s="56"/>
      <c r="Q43" s="49"/>
      <c r="R43" s="47">
        <f t="shared" si="5"/>
        <v>0</v>
      </c>
      <c r="S43" s="48"/>
      <c r="T43" s="48"/>
      <c r="U43" s="48"/>
      <c r="V43" s="48"/>
      <c r="W43" s="48"/>
      <c r="X43" s="50">
        <f t="shared" si="6"/>
        <v>0</v>
      </c>
      <c r="Y43" s="50">
        <f t="shared" si="7"/>
        <v>0</v>
      </c>
    </row>
    <row r="44" spans="10:25" ht="15.75" customHeight="1" x14ac:dyDescent="0.3">
      <c r="J44" s="51"/>
      <c r="K44" s="52">
        <f t="shared" si="4"/>
        <v>0</v>
      </c>
      <c r="L44" s="57"/>
      <c r="M44" s="57"/>
      <c r="N44" s="57"/>
      <c r="O44" s="57"/>
      <c r="P44" s="57"/>
      <c r="Q44" s="54"/>
      <c r="R44" s="52">
        <f t="shared" si="5"/>
        <v>0</v>
      </c>
      <c r="S44" s="53"/>
      <c r="T44" s="53"/>
      <c r="U44" s="53"/>
      <c r="V44" s="53"/>
      <c r="W44" s="53"/>
      <c r="X44" s="55">
        <f t="shared" si="6"/>
        <v>0</v>
      </c>
      <c r="Y44" s="55">
        <f t="shared" si="7"/>
        <v>0</v>
      </c>
    </row>
    <row r="45" spans="10:25" ht="15.75" customHeight="1" x14ac:dyDescent="0.3">
      <c r="J45" s="46"/>
      <c r="K45" s="47">
        <f t="shared" si="4"/>
        <v>0</v>
      </c>
      <c r="L45" s="56"/>
      <c r="M45" s="56"/>
      <c r="N45" s="56"/>
      <c r="O45" s="56"/>
      <c r="P45" s="56"/>
      <c r="Q45" s="49"/>
      <c r="R45" s="47">
        <f t="shared" si="5"/>
        <v>0</v>
      </c>
      <c r="S45" s="48"/>
      <c r="T45" s="48"/>
      <c r="U45" s="48"/>
      <c r="V45" s="48"/>
      <c r="W45" s="48"/>
      <c r="X45" s="50">
        <f t="shared" si="6"/>
        <v>0</v>
      </c>
      <c r="Y45" s="50">
        <f t="shared" si="7"/>
        <v>0</v>
      </c>
    </row>
    <row r="46" spans="10:25" ht="15.75" customHeight="1" x14ac:dyDescent="0.3">
      <c r="J46" s="51"/>
      <c r="K46" s="52">
        <f t="shared" si="4"/>
        <v>0</v>
      </c>
      <c r="L46" s="57"/>
      <c r="M46" s="57"/>
      <c r="N46" s="57"/>
      <c r="O46" s="57"/>
      <c r="P46" s="57"/>
      <c r="Q46" s="54"/>
      <c r="R46" s="52">
        <f t="shared" si="5"/>
        <v>0</v>
      </c>
      <c r="S46" s="53"/>
      <c r="T46" s="53"/>
      <c r="U46" s="53"/>
      <c r="V46" s="53"/>
      <c r="W46" s="53"/>
      <c r="X46" s="55">
        <f t="shared" si="6"/>
        <v>0</v>
      </c>
      <c r="Y46" s="55">
        <f t="shared" si="7"/>
        <v>0</v>
      </c>
    </row>
    <row r="47" spans="10:25" ht="15.75" customHeight="1" x14ac:dyDescent="0.3">
      <c r="J47" s="46"/>
      <c r="K47" s="47">
        <f t="shared" si="4"/>
        <v>0</v>
      </c>
      <c r="L47" s="56"/>
      <c r="M47" s="56"/>
      <c r="N47" s="56"/>
      <c r="O47" s="56"/>
      <c r="P47" s="56"/>
      <c r="Q47" s="49"/>
      <c r="R47" s="47">
        <f t="shared" si="5"/>
        <v>0</v>
      </c>
      <c r="S47" s="48"/>
      <c r="T47" s="48"/>
      <c r="U47" s="48"/>
      <c r="V47" s="48"/>
      <c r="W47" s="48"/>
      <c r="X47" s="50">
        <f t="shared" si="6"/>
        <v>0</v>
      </c>
      <c r="Y47" s="50">
        <f t="shared" si="7"/>
        <v>0</v>
      </c>
    </row>
    <row r="48" spans="10:25" ht="15.75" customHeight="1" x14ac:dyDescent="0.3">
      <c r="J48" s="51"/>
      <c r="K48" s="52">
        <f t="shared" si="4"/>
        <v>0</v>
      </c>
      <c r="L48" s="57"/>
      <c r="M48" s="57"/>
      <c r="N48" s="57"/>
      <c r="O48" s="57"/>
      <c r="P48" s="57"/>
      <c r="Q48" s="54"/>
      <c r="R48" s="52">
        <f t="shared" si="5"/>
        <v>0</v>
      </c>
      <c r="S48" s="53"/>
      <c r="T48" s="53"/>
      <c r="U48" s="53"/>
      <c r="V48" s="53"/>
      <c r="W48" s="53"/>
      <c r="X48" s="55">
        <f t="shared" si="6"/>
        <v>0</v>
      </c>
      <c r="Y48" s="55">
        <f t="shared" si="7"/>
        <v>0</v>
      </c>
    </row>
    <row r="49" spans="10:25" ht="15.75" customHeight="1" x14ac:dyDescent="0.3">
      <c r="J49" s="46"/>
      <c r="K49" s="47">
        <f t="shared" si="4"/>
        <v>0</v>
      </c>
      <c r="L49" s="56"/>
      <c r="M49" s="56"/>
      <c r="N49" s="56"/>
      <c r="O49" s="56"/>
      <c r="P49" s="56"/>
      <c r="Q49" s="49"/>
      <c r="R49" s="47">
        <f t="shared" si="5"/>
        <v>0</v>
      </c>
      <c r="S49" s="48"/>
      <c r="T49" s="48"/>
      <c r="U49" s="48"/>
      <c r="V49" s="48"/>
      <c r="W49" s="48"/>
      <c r="X49" s="50">
        <f t="shared" si="6"/>
        <v>0</v>
      </c>
      <c r="Y49" s="50">
        <f t="shared" si="7"/>
        <v>0</v>
      </c>
    </row>
    <row r="50" spans="10:25" ht="15.75" customHeight="1" x14ac:dyDescent="0.3">
      <c r="J50" s="51"/>
      <c r="K50" s="52">
        <f t="shared" si="4"/>
        <v>0</v>
      </c>
      <c r="L50" s="57"/>
      <c r="M50" s="57"/>
      <c r="N50" s="57"/>
      <c r="O50" s="57"/>
      <c r="P50" s="57"/>
      <c r="Q50" s="54"/>
      <c r="R50" s="52">
        <f t="shared" si="5"/>
        <v>0</v>
      </c>
      <c r="S50" s="53"/>
      <c r="T50" s="53"/>
      <c r="U50" s="53"/>
      <c r="V50" s="53"/>
      <c r="W50" s="53"/>
      <c r="X50" s="55">
        <f t="shared" si="6"/>
        <v>0</v>
      </c>
      <c r="Y50" s="55">
        <f t="shared" si="7"/>
        <v>0</v>
      </c>
    </row>
    <row r="51" spans="10:25" ht="15.75" customHeight="1" x14ac:dyDescent="0.3">
      <c r="J51" s="46"/>
      <c r="K51" s="47">
        <f t="shared" si="4"/>
        <v>0</v>
      </c>
      <c r="L51" s="56"/>
      <c r="M51" s="56"/>
      <c r="N51" s="56"/>
      <c r="O51" s="56"/>
      <c r="P51" s="56"/>
      <c r="Q51" s="49"/>
      <c r="R51" s="47">
        <f t="shared" si="5"/>
        <v>0</v>
      </c>
      <c r="S51" s="48"/>
      <c r="T51" s="48"/>
      <c r="U51" s="48"/>
      <c r="V51" s="48"/>
      <c r="W51" s="48"/>
      <c r="X51" s="50">
        <f t="shared" si="6"/>
        <v>0</v>
      </c>
      <c r="Y51" s="50">
        <f t="shared" si="7"/>
        <v>0</v>
      </c>
    </row>
    <row r="52" spans="10:25" ht="15.75" customHeight="1" x14ac:dyDescent="0.3">
      <c r="J52" s="51"/>
      <c r="K52" s="52">
        <f t="shared" si="4"/>
        <v>0</v>
      </c>
      <c r="L52" s="57"/>
      <c r="M52" s="57"/>
      <c r="N52" s="57"/>
      <c r="O52" s="57"/>
      <c r="P52" s="57"/>
      <c r="Q52" s="54"/>
      <c r="R52" s="52">
        <f t="shared" si="5"/>
        <v>0</v>
      </c>
      <c r="S52" s="53"/>
      <c r="T52" s="53"/>
      <c r="U52" s="53"/>
      <c r="V52" s="53"/>
      <c r="W52" s="53"/>
      <c r="X52" s="55">
        <f t="shared" si="6"/>
        <v>0</v>
      </c>
      <c r="Y52" s="55">
        <f t="shared" si="7"/>
        <v>0</v>
      </c>
    </row>
    <row r="53" spans="10:25" ht="15.75" customHeight="1" x14ac:dyDescent="0.3">
      <c r="J53" s="46"/>
      <c r="K53" s="47">
        <f t="shared" si="4"/>
        <v>0</v>
      </c>
      <c r="L53" s="56"/>
      <c r="M53" s="56"/>
      <c r="N53" s="56"/>
      <c r="O53" s="56"/>
      <c r="P53" s="56"/>
      <c r="Q53" s="49"/>
      <c r="R53" s="47">
        <f t="shared" si="5"/>
        <v>0</v>
      </c>
      <c r="S53" s="48"/>
      <c r="T53" s="48"/>
      <c r="U53" s="48"/>
      <c r="V53" s="48"/>
      <c r="W53" s="48"/>
      <c r="X53" s="50">
        <f t="shared" si="6"/>
        <v>0</v>
      </c>
      <c r="Y53" s="50">
        <f t="shared" si="7"/>
        <v>0</v>
      </c>
    </row>
    <row r="54" spans="10:25" ht="15.75" customHeight="1" x14ac:dyDescent="0.3">
      <c r="J54" s="51"/>
      <c r="K54" s="52">
        <f t="shared" si="4"/>
        <v>0</v>
      </c>
      <c r="L54" s="57"/>
      <c r="M54" s="57"/>
      <c r="N54" s="57"/>
      <c r="O54" s="57"/>
      <c r="P54" s="57"/>
      <c r="Q54" s="54"/>
      <c r="R54" s="52">
        <f t="shared" si="5"/>
        <v>0</v>
      </c>
      <c r="S54" s="53"/>
      <c r="T54" s="53"/>
      <c r="U54" s="53"/>
      <c r="V54" s="53"/>
      <c r="W54" s="53"/>
      <c r="X54" s="55">
        <f t="shared" si="6"/>
        <v>0</v>
      </c>
      <c r="Y54" s="55">
        <f t="shared" si="7"/>
        <v>0</v>
      </c>
    </row>
    <row r="55" spans="10:25" ht="15.75" customHeight="1" x14ac:dyDescent="0.3">
      <c r="J55" s="46"/>
      <c r="K55" s="47">
        <f t="shared" si="4"/>
        <v>0</v>
      </c>
      <c r="L55" s="56"/>
      <c r="M55" s="56"/>
      <c r="N55" s="56"/>
      <c r="O55" s="56"/>
      <c r="P55" s="56"/>
      <c r="Q55" s="49"/>
      <c r="R55" s="47">
        <f t="shared" si="5"/>
        <v>0</v>
      </c>
      <c r="S55" s="48"/>
      <c r="T55" s="48"/>
      <c r="U55" s="48"/>
      <c r="V55" s="48"/>
      <c r="W55" s="48"/>
      <c r="X55" s="50">
        <f t="shared" si="6"/>
        <v>0</v>
      </c>
      <c r="Y55" s="50">
        <f t="shared" si="7"/>
        <v>0</v>
      </c>
    </row>
    <row r="56" spans="10:25" ht="15.75" customHeight="1" x14ac:dyDescent="0.3">
      <c r="J56" s="51"/>
      <c r="K56" s="52">
        <f t="shared" si="4"/>
        <v>0</v>
      </c>
      <c r="L56" s="57"/>
      <c r="M56" s="57"/>
      <c r="N56" s="57"/>
      <c r="O56" s="57"/>
      <c r="P56" s="57"/>
      <c r="Q56" s="54"/>
      <c r="R56" s="52">
        <f t="shared" si="5"/>
        <v>0</v>
      </c>
      <c r="S56" s="53"/>
      <c r="T56" s="53"/>
      <c r="U56" s="53"/>
      <c r="V56" s="53"/>
      <c r="W56" s="53"/>
      <c r="X56" s="55">
        <f t="shared" si="6"/>
        <v>0</v>
      </c>
      <c r="Y56" s="55">
        <f t="shared" si="7"/>
        <v>0</v>
      </c>
    </row>
    <row r="57" spans="10:25" ht="15.75" customHeight="1" thickBot="1" x14ac:dyDescent="0.35">
      <c r="J57" s="46"/>
      <c r="K57" s="47">
        <f t="shared" si="4"/>
        <v>0</v>
      </c>
      <c r="L57" s="56"/>
      <c r="M57" s="56"/>
      <c r="N57" s="56"/>
      <c r="O57" s="56"/>
      <c r="P57" s="56"/>
      <c r="Q57" s="49"/>
      <c r="R57" s="47">
        <f t="shared" si="5"/>
        <v>0</v>
      </c>
      <c r="S57" s="48"/>
      <c r="T57" s="48"/>
      <c r="U57" s="48"/>
      <c r="V57" s="48"/>
      <c r="W57" s="48"/>
      <c r="X57" s="50">
        <f t="shared" si="6"/>
        <v>0</v>
      </c>
      <c r="Y57" s="50">
        <f t="shared" si="7"/>
        <v>0</v>
      </c>
    </row>
    <row r="58" spans="10:25" ht="15.75" customHeight="1" x14ac:dyDescent="0.3"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>
        <f t="shared" si="7"/>
        <v>0</v>
      </c>
    </row>
    <row r="59" spans="10:25" ht="15.75" customHeight="1" x14ac:dyDescent="0.3">
      <c r="X59" s="29">
        <f>SUM(X3:X58)</f>
        <v>0</v>
      </c>
      <c r="Y59" s="29">
        <f>SUM(Y3:Y58)</f>
        <v>0</v>
      </c>
    </row>
    <row r="60" spans="10:25" ht="15.75" customHeight="1" x14ac:dyDescent="0.3"/>
    <row r="61" spans="10:25" ht="15.75" customHeight="1" x14ac:dyDescent="0.3"/>
    <row r="62" spans="10:25" ht="15.75" customHeight="1" x14ac:dyDescent="0.3"/>
    <row r="63" spans="10:25" ht="15.75" customHeight="1" x14ac:dyDescent="0.3"/>
    <row r="64" spans="10:25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4">
    <mergeCell ref="W1:W2"/>
    <mergeCell ref="O1:P1"/>
    <mergeCell ref="B8:C8"/>
    <mergeCell ref="L1:L2"/>
    <mergeCell ref="A3:B3"/>
    <mergeCell ref="N1:N2"/>
    <mergeCell ref="T1:T2"/>
    <mergeCell ref="B7:C7"/>
    <mergeCell ref="C5:D5"/>
    <mergeCell ref="F2:H2"/>
    <mergeCell ref="V1:V2"/>
    <mergeCell ref="K1:K2"/>
    <mergeCell ref="M1:M2"/>
    <mergeCell ref="C4:D4"/>
    <mergeCell ref="A12:E12"/>
    <mergeCell ref="A5:B5"/>
    <mergeCell ref="S1:S2"/>
    <mergeCell ref="A4:B4"/>
    <mergeCell ref="U1:U2"/>
    <mergeCell ref="B6:C6"/>
    <mergeCell ref="A2:D2"/>
    <mergeCell ref="C3:D3"/>
    <mergeCell ref="J1:J2"/>
    <mergeCell ref="R1:R2"/>
  </mergeCells>
  <dataValidations count="3">
    <dataValidation type="whole" operator="greaterThanOrEqual" allowBlank="1" showInputMessage="1" showErrorMessage="1" errorTitle="Valor Inválido" error="O valor digitado deve ser um número inteiro maior ou igual a zero." promptTitle="Quantidade" prompt="Digite um número inteiro (ex: 0, 1, 2...)" sqref="L3:O58 S3:W58" xr:uid="{00000000-0002-0000-0100-000000000000}">
      <formula1>0</formula1>
    </dataValidation>
    <dataValidation type="list" sqref="C3" xr:uid="{00000000-0002-0000-0100-000001000000}">
      <formula1>"CLASSE A,CLASSE B,CLASSE C,CLASSE D"</formula1>
    </dataValidation>
    <dataValidation type="list" showInputMessage="1" showErrorMessage="1" errorTitle="Classe Inválida" error="Selecione uma das classes válidas (CLASSE A, B, C ou D)." promptTitle="Classe de Consumo" prompt="Selecione a classe de consumo deste transformador." sqref="C3" xr:uid="{00000000-0002-0000-0100-000002000000}">
      <formula1>"CLASSE A,CLASSE B,CLASSE C,CLASSE D"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rgb="FFE26B0A"/>
  </sheetPr>
  <dimension ref="A1:Y1000"/>
  <sheetViews>
    <sheetView showGridLines="0" workbookViewId="0">
      <pane xSplit="10" ySplit="2" topLeftCell="K3" activePane="bottomRight" state="frozen"/>
      <selection pane="topRight"/>
      <selection pane="bottomLeft"/>
      <selection pane="bottomRight" activeCell="H3" sqref="H3"/>
    </sheetView>
  </sheetViews>
  <sheetFormatPr defaultColWidth="14.44140625" defaultRowHeight="15" customHeight="1" x14ac:dyDescent="0.3"/>
  <cols>
    <col min="1" max="1" width="16.5546875" style="25" bestFit="1" customWidth="1"/>
    <col min="2" max="2" width="13.88671875" style="25" bestFit="1" customWidth="1"/>
    <col min="3" max="3" width="11.33203125" style="25" bestFit="1" customWidth="1"/>
    <col min="4" max="4" width="9.5546875" style="25" bestFit="1" customWidth="1"/>
    <col min="5" max="5" width="9.77734375" style="25" bestFit="1" customWidth="1"/>
    <col min="6" max="6" width="7.88671875" style="25" bestFit="1" customWidth="1"/>
    <col min="7" max="7" width="4.44140625" style="25" customWidth="1"/>
    <col min="8" max="8" width="5.44140625" style="25" bestFit="1" customWidth="1"/>
    <col min="9" max="9" width="3" style="25" customWidth="1"/>
    <col min="10" max="10" width="8.6640625" style="25" customWidth="1"/>
    <col min="11" max="11" width="7.109375" style="25" bestFit="1" customWidth="1"/>
    <col min="12" max="12" width="7" style="25" bestFit="1" customWidth="1"/>
    <col min="13" max="13" width="3.21875" style="25" bestFit="1" customWidth="1"/>
    <col min="14" max="14" width="4.33203125" style="25" bestFit="1" customWidth="1"/>
    <col min="15" max="15" width="7.77734375" style="25" bestFit="1" customWidth="1"/>
    <col min="16" max="16" width="7.6640625" style="25" bestFit="1" customWidth="1"/>
    <col min="17" max="17" width="1.88671875" style="25" customWidth="1"/>
    <col min="18" max="18" width="7.109375" style="25" bestFit="1" customWidth="1"/>
    <col min="19" max="20" width="7.44140625" style="25" bestFit="1" customWidth="1"/>
    <col min="21" max="21" width="6.5546875" style="25" bestFit="1" customWidth="1"/>
    <col min="22" max="23" width="8.6640625" style="25" bestFit="1" customWidth="1"/>
    <col min="24" max="25" width="2" style="29" bestFit="1" customWidth="1"/>
    <col min="26" max="26" width="8.6640625" style="25" customWidth="1"/>
    <col min="27" max="34" width="14.44140625" style="25" customWidth="1"/>
    <col min="35" max="16384" width="14.44140625" style="25"/>
  </cols>
  <sheetData>
    <row r="1" spans="1:25" ht="15.75" customHeight="1" thickBot="1" x14ac:dyDescent="0.35">
      <c r="J1" s="123" t="s">
        <v>28</v>
      </c>
      <c r="K1" s="118" t="s">
        <v>17</v>
      </c>
      <c r="L1" s="118" t="s">
        <v>29</v>
      </c>
      <c r="M1" s="118" t="s">
        <v>30</v>
      </c>
      <c r="N1" s="118" t="s">
        <v>31</v>
      </c>
      <c r="O1" s="125" t="s">
        <v>32</v>
      </c>
      <c r="P1" s="127"/>
      <c r="R1" s="123" t="s">
        <v>17</v>
      </c>
      <c r="S1" s="118" t="s">
        <v>33</v>
      </c>
      <c r="T1" s="118" t="s">
        <v>34</v>
      </c>
      <c r="U1" s="118" t="s">
        <v>71</v>
      </c>
      <c r="V1" s="118" t="s">
        <v>36</v>
      </c>
      <c r="W1" s="125" t="s">
        <v>37</v>
      </c>
    </row>
    <row r="2" spans="1:25" ht="15.75" customHeight="1" thickBot="1" x14ac:dyDescent="0.35">
      <c r="A2" s="121" t="s">
        <v>2</v>
      </c>
      <c r="B2" s="93"/>
      <c r="C2" s="93"/>
      <c r="D2" s="94"/>
      <c r="F2" s="130" t="s">
        <v>38</v>
      </c>
      <c r="G2" s="131"/>
      <c r="H2" s="117"/>
      <c r="J2" s="124"/>
      <c r="K2" s="119"/>
      <c r="L2" s="119"/>
      <c r="M2" s="119"/>
      <c r="N2" s="119"/>
      <c r="O2" s="26" t="s">
        <v>39</v>
      </c>
      <c r="P2" s="27" t="s">
        <v>40</v>
      </c>
      <c r="R2" s="124"/>
      <c r="S2" s="119"/>
      <c r="T2" s="119"/>
      <c r="U2" s="119"/>
      <c r="V2" s="119"/>
      <c r="W2" s="126"/>
    </row>
    <row r="3" spans="1:25" ht="15.75" customHeight="1" x14ac:dyDescent="0.3">
      <c r="A3" s="116" t="s">
        <v>3</v>
      </c>
      <c r="B3" s="117"/>
      <c r="C3" s="122" t="str">
        <f>ATUAL!C3</f>
        <v>CLASSE C</v>
      </c>
      <c r="D3" s="117"/>
      <c r="F3" s="73" t="s">
        <v>33</v>
      </c>
      <c r="G3" s="60">
        <f>SUM(S3:S57)</f>
        <v>0</v>
      </c>
      <c r="H3" s="61">
        <v>7.0000000000000007E-2</v>
      </c>
      <c r="J3" s="46" t="s">
        <v>41</v>
      </c>
      <c r="K3" s="47">
        <f t="shared" ref="K3:K34" si="0">SUM(L3:N3)*$C$5+P3</f>
        <v>0</v>
      </c>
      <c r="L3" s="48">
        <f>ATUAL!L3</f>
        <v>0</v>
      </c>
      <c r="M3" s="48">
        <f>ATUAL!M3</f>
        <v>0</v>
      </c>
      <c r="N3" s="48">
        <f>ATUAL!N3</f>
        <v>0</v>
      </c>
      <c r="O3" s="48">
        <f>ATUAL!O3</f>
        <v>0</v>
      </c>
      <c r="P3" s="48">
        <f>ATUAL!P3</f>
        <v>0</v>
      </c>
      <c r="Q3" s="49"/>
      <c r="R3" s="47">
        <f t="shared" ref="R3:R34" si="1">S3*$H$3+T3*$H$4+U3*$H$5+V3*$H$6+W3*$H$7</f>
        <v>0</v>
      </c>
      <c r="S3" s="48">
        <f>ATUAL!S3</f>
        <v>0</v>
      </c>
      <c r="T3" s="48">
        <f>ATUAL!T3</f>
        <v>0</v>
      </c>
      <c r="U3" s="48">
        <f>ATUAL!U3</f>
        <v>0</v>
      </c>
      <c r="V3" s="48">
        <f>ATUAL!V3</f>
        <v>0</v>
      </c>
      <c r="W3" s="48">
        <f>ATUAL!W3</f>
        <v>0</v>
      </c>
      <c r="X3" s="50">
        <f t="shared" ref="X3:X34" si="2">SUM(L3:N3)*$C$5+P3</f>
        <v>0</v>
      </c>
      <c r="Y3" s="50">
        <f t="shared" ref="Y3:Y34" si="3">R3</f>
        <v>0</v>
      </c>
    </row>
    <row r="4" spans="1:25" ht="15.75" customHeight="1" x14ac:dyDescent="0.3">
      <c r="A4" s="116" t="s">
        <v>5</v>
      </c>
      <c r="B4" s="117"/>
      <c r="C4" s="132">
        <f>SUM(L3:O58)</f>
        <v>0</v>
      </c>
      <c r="D4" s="117"/>
      <c r="F4" s="73" t="s">
        <v>34</v>
      </c>
      <c r="G4" s="60">
        <f>SUM(T3:T57)</f>
        <v>0</v>
      </c>
      <c r="H4" s="61">
        <v>0.08</v>
      </c>
      <c r="J4" s="51" t="s">
        <v>42</v>
      </c>
      <c r="K4" s="52">
        <f t="shared" si="0"/>
        <v>0</v>
      </c>
      <c r="L4" s="48">
        <f>ATUAL!L4</f>
        <v>0</v>
      </c>
      <c r="M4" s="48">
        <f>ATUAL!M4</f>
        <v>0</v>
      </c>
      <c r="N4" s="48">
        <f>ATUAL!N4</f>
        <v>0</v>
      </c>
      <c r="O4" s="48">
        <f>ATUAL!O4</f>
        <v>0</v>
      </c>
      <c r="P4" s="48">
        <f>ATUAL!P4</f>
        <v>0</v>
      </c>
      <c r="Q4" s="54"/>
      <c r="R4" s="52">
        <f t="shared" si="1"/>
        <v>0</v>
      </c>
      <c r="S4" s="53">
        <f>ATUAL!S4</f>
        <v>0</v>
      </c>
      <c r="T4" s="53">
        <f>ATUAL!T4</f>
        <v>0</v>
      </c>
      <c r="U4" s="53">
        <f>ATUAL!U4</f>
        <v>0</v>
      </c>
      <c r="V4" s="53">
        <f>ATUAL!V4</f>
        <v>0</v>
      </c>
      <c r="W4" s="53">
        <f>ATUAL!W4</f>
        <v>0</v>
      </c>
      <c r="X4" s="55">
        <f t="shared" si="2"/>
        <v>0</v>
      </c>
      <c r="Y4" s="55">
        <f t="shared" si="3"/>
        <v>0</v>
      </c>
    </row>
    <row r="5" spans="1:25" ht="15.75" customHeight="1" x14ac:dyDescent="0.3">
      <c r="A5" s="116" t="s">
        <v>6</v>
      </c>
      <c r="B5" s="117"/>
      <c r="C5" s="129">
        <f>IFERROR(INDEX(B14:E21, MATCH(C4, A14:A21, 1), MATCH(C3, B13:E13, 0)), 0)</f>
        <v>0</v>
      </c>
      <c r="D5" s="117"/>
      <c r="F5" s="73" t="s">
        <v>35</v>
      </c>
      <c r="G5" s="60">
        <f>SUM(U3:U57)</f>
        <v>0</v>
      </c>
      <c r="H5" s="61">
        <v>0.125</v>
      </c>
      <c r="J5" s="46" t="s">
        <v>43</v>
      </c>
      <c r="K5" s="47">
        <f t="shared" si="0"/>
        <v>0</v>
      </c>
      <c r="L5" s="48">
        <f>ATUAL!L5</f>
        <v>0</v>
      </c>
      <c r="M5" s="48">
        <f>ATUAL!M5</f>
        <v>0</v>
      </c>
      <c r="N5" s="48">
        <f>ATUAL!N5</f>
        <v>0</v>
      </c>
      <c r="O5" s="48">
        <f>ATUAL!O5</f>
        <v>0</v>
      </c>
      <c r="P5" s="48">
        <f>ATUAL!P5</f>
        <v>0</v>
      </c>
      <c r="Q5" s="49"/>
      <c r="R5" s="47">
        <f t="shared" si="1"/>
        <v>0</v>
      </c>
      <c r="S5" s="48">
        <f>ATUAL!S5</f>
        <v>0</v>
      </c>
      <c r="T5" s="48">
        <f>ATUAL!T5</f>
        <v>0</v>
      </c>
      <c r="U5" s="48">
        <f>ATUAL!U5</f>
        <v>0</v>
      </c>
      <c r="V5" s="48">
        <f>ATUAL!V5</f>
        <v>0</v>
      </c>
      <c r="W5" s="48">
        <f>ATUAL!W5</f>
        <v>0</v>
      </c>
      <c r="X5" s="50">
        <f t="shared" si="2"/>
        <v>0</v>
      </c>
      <c r="Y5" s="50">
        <f t="shared" si="3"/>
        <v>0</v>
      </c>
    </row>
    <row r="6" spans="1:25" ht="14.4" customHeight="1" x14ac:dyDescent="0.3">
      <c r="A6" s="62" t="s">
        <v>7</v>
      </c>
      <c r="B6" s="120">
        <f>SUM(L3:N27)</f>
        <v>0</v>
      </c>
      <c r="C6" s="117"/>
      <c r="D6" s="63">
        <f>C5*B6</f>
        <v>0</v>
      </c>
      <c r="F6" s="73" t="s">
        <v>36</v>
      </c>
      <c r="G6" s="60">
        <f>SUM(V3:V57)</f>
        <v>0</v>
      </c>
      <c r="H6" s="61">
        <v>0.25</v>
      </c>
      <c r="J6" s="51" t="s">
        <v>44</v>
      </c>
      <c r="K6" s="52">
        <f t="shared" si="0"/>
        <v>0</v>
      </c>
      <c r="L6" s="48">
        <f>ATUAL!L6</f>
        <v>0</v>
      </c>
      <c r="M6" s="48">
        <f>ATUAL!M6</f>
        <v>0</v>
      </c>
      <c r="N6" s="48">
        <f>ATUAL!N6</f>
        <v>0</v>
      </c>
      <c r="O6" s="48">
        <f>ATUAL!O6</f>
        <v>0</v>
      </c>
      <c r="P6" s="48">
        <f>ATUAL!P6</f>
        <v>0</v>
      </c>
      <c r="Q6" s="54"/>
      <c r="R6" s="52">
        <f t="shared" si="1"/>
        <v>0</v>
      </c>
      <c r="S6" s="53">
        <f>ATUAL!S6</f>
        <v>0</v>
      </c>
      <c r="T6" s="53">
        <f>ATUAL!T6</f>
        <v>0</v>
      </c>
      <c r="U6" s="53">
        <f>ATUAL!U6</f>
        <v>0</v>
      </c>
      <c r="V6" s="53">
        <f>ATUAL!V6</f>
        <v>0</v>
      </c>
      <c r="W6" s="53">
        <f>ATUAL!W6</f>
        <v>0</v>
      </c>
      <c r="X6" s="55">
        <f t="shared" si="2"/>
        <v>0</v>
      </c>
      <c r="Y6" s="55">
        <f t="shared" si="3"/>
        <v>0</v>
      </c>
    </row>
    <row r="7" spans="1:25" ht="15.75" customHeight="1" x14ac:dyDescent="0.3">
      <c r="A7" s="62" t="s">
        <v>8</v>
      </c>
      <c r="B7" s="128">
        <f>SUM(G3:G7)</f>
        <v>0</v>
      </c>
      <c r="C7" s="117"/>
      <c r="D7" s="63">
        <f>G3*H3+G4*H4+G5*H5+G6*H6+G7*H7</f>
        <v>0</v>
      </c>
      <c r="F7" s="73" t="s">
        <v>37</v>
      </c>
      <c r="G7" s="60">
        <f>SUM(W3:W57)</f>
        <v>0</v>
      </c>
      <c r="H7" s="61">
        <v>0.4</v>
      </c>
      <c r="J7" s="46" t="s">
        <v>45</v>
      </c>
      <c r="K7" s="47">
        <f t="shared" si="0"/>
        <v>0</v>
      </c>
      <c r="L7" s="48">
        <f>ATUAL!L7</f>
        <v>0</v>
      </c>
      <c r="M7" s="48">
        <f>ATUAL!M7</f>
        <v>0</v>
      </c>
      <c r="N7" s="48">
        <f>ATUAL!N7</f>
        <v>0</v>
      </c>
      <c r="O7" s="48">
        <f>ATUAL!O7</f>
        <v>0</v>
      </c>
      <c r="P7" s="48">
        <f>ATUAL!P7</f>
        <v>0</v>
      </c>
      <c r="Q7" s="49"/>
      <c r="R7" s="47">
        <f t="shared" si="1"/>
        <v>0</v>
      </c>
      <c r="S7" s="48">
        <f>ATUAL!S7</f>
        <v>0</v>
      </c>
      <c r="T7" s="48">
        <f>ATUAL!T7</f>
        <v>0</v>
      </c>
      <c r="U7" s="48">
        <f>ATUAL!U7</f>
        <v>0</v>
      </c>
      <c r="V7" s="48">
        <f>ATUAL!V7</f>
        <v>0</v>
      </c>
      <c r="W7" s="48">
        <f>ATUAL!W7</f>
        <v>0</v>
      </c>
      <c r="X7" s="50">
        <f t="shared" si="2"/>
        <v>0</v>
      </c>
      <c r="Y7" s="50">
        <f t="shared" si="3"/>
        <v>0</v>
      </c>
    </row>
    <row r="8" spans="1:25" ht="14.4" customHeight="1" x14ac:dyDescent="0.3">
      <c r="A8" s="62" t="s">
        <v>9</v>
      </c>
      <c r="B8" s="120">
        <f>SUM(O3:O27)</f>
        <v>0</v>
      </c>
      <c r="C8" s="117"/>
      <c r="D8" s="64">
        <f>SUM(P3:P58)</f>
        <v>0</v>
      </c>
      <c r="J8" s="51" t="s">
        <v>46</v>
      </c>
      <c r="K8" s="52">
        <f t="shared" si="0"/>
        <v>0</v>
      </c>
      <c r="L8" s="48">
        <f>ATUAL!L8</f>
        <v>0</v>
      </c>
      <c r="M8" s="48">
        <f>ATUAL!M8</f>
        <v>0</v>
      </c>
      <c r="N8" s="48">
        <f>ATUAL!N8</f>
        <v>0</v>
      </c>
      <c r="O8" s="48">
        <f>ATUAL!O8</f>
        <v>0</v>
      </c>
      <c r="P8" s="48">
        <f>ATUAL!P8</f>
        <v>0</v>
      </c>
      <c r="Q8" s="54"/>
      <c r="R8" s="52">
        <f t="shared" si="1"/>
        <v>0</v>
      </c>
      <c r="S8" s="53">
        <f>ATUAL!S8</f>
        <v>0</v>
      </c>
      <c r="T8" s="53">
        <f>ATUAL!T8</f>
        <v>0</v>
      </c>
      <c r="U8" s="53">
        <f>ATUAL!U8</f>
        <v>0</v>
      </c>
      <c r="V8" s="53">
        <f>ATUAL!V8</f>
        <v>0</v>
      </c>
      <c r="W8" s="53">
        <f>ATUAL!W8</f>
        <v>0</v>
      </c>
      <c r="X8" s="55">
        <f t="shared" si="2"/>
        <v>0</v>
      </c>
      <c r="Y8" s="55">
        <f t="shared" si="3"/>
        <v>0</v>
      </c>
    </row>
    <row r="9" spans="1:25" ht="14.4" customHeight="1" x14ac:dyDescent="0.3">
      <c r="B9" s="58" t="s">
        <v>10</v>
      </c>
      <c r="C9" s="58" t="s">
        <v>11</v>
      </c>
      <c r="D9" s="64"/>
      <c r="J9" s="46" t="s">
        <v>47</v>
      </c>
      <c r="K9" s="47">
        <f t="shared" si="0"/>
        <v>0</v>
      </c>
      <c r="L9" s="48">
        <f>ATUAL!L9</f>
        <v>0</v>
      </c>
      <c r="M9" s="48">
        <f>ATUAL!M9</f>
        <v>0</v>
      </c>
      <c r="N9" s="48">
        <f>ATUAL!N9</f>
        <v>0</v>
      </c>
      <c r="O9" s="48">
        <f>ATUAL!O9</f>
        <v>0</v>
      </c>
      <c r="P9" s="48">
        <f>ATUAL!P9</f>
        <v>0</v>
      </c>
      <c r="Q9" s="49"/>
      <c r="R9" s="47">
        <f t="shared" si="1"/>
        <v>0</v>
      </c>
      <c r="S9" s="48">
        <f>ATUAL!S9</f>
        <v>0</v>
      </c>
      <c r="T9" s="48">
        <f>ATUAL!T9</f>
        <v>0</v>
      </c>
      <c r="U9" s="48">
        <f>ATUAL!U9</f>
        <v>0</v>
      </c>
      <c r="V9" s="48">
        <f>ATUAL!V9</f>
        <v>0</v>
      </c>
      <c r="W9" s="48">
        <f>ATUAL!W9</f>
        <v>0</v>
      </c>
      <c r="X9" s="50">
        <f t="shared" si="2"/>
        <v>0</v>
      </c>
      <c r="Y9" s="50">
        <f t="shared" si="3"/>
        <v>0</v>
      </c>
    </row>
    <row r="10" spans="1:25" ht="14.4" customHeight="1" thickBot="1" x14ac:dyDescent="0.35">
      <c r="A10" s="65" t="s">
        <v>12</v>
      </c>
      <c r="B10" s="66">
        <f>D10/C10</f>
        <v>0</v>
      </c>
      <c r="C10" s="67">
        <f>ATUAL!C10</f>
        <v>150</v>
      </c>
      <c r="D10" s="68">
        <f>SUM(D6:D9)</f>
        <v>0</v>
      </c>
      <c r="J10" s="51" t="s">
        <v>48</v>
      </c>
      <c r="K10" s="52">
        <f t="shared" si="0"/>
        <v>0</v>
      </c>
      <c r="L10" s="48">
        <f>ATUAL!L10</f>
        <v>0</v>
      </c>
      <c r="M10" s="48">
        <f>ATUAL!M10</f>
        <v>0</v>
      </c>
      <c r="N10" s="48">
        <f>ATUAL!N10</f>
        <v>0</v>
      </c>
      <c r="O10" s="48">
        <f>ATUAL!O10</f>
        <v>0</v>
      </c>
      <c r="P10" s="48">
        <f>ATUAL!P10</f>
        <v>0</v>
      </c>
      <c r="Q10" s="54"/>
      <c r="R10" s="52">
        <f t="shared" si="1"/>
        <v>0</v>
      </c>
      <c r="S10" s="53">
        <f>ATUAL!S10</f>
        <v>0</v>
      </c>
      <c r="T10" s="53">
        <f>ATUAL!T10</f>
        <v>0</v>
      </c>
      <c r="U10" s="53">
        <f>ATUAL!U10</f>
        <v>0</v>
      </c>
      <c r="V10" s="53">
        <f>ATUAL!V10</f>
        <v>0</v>
      </c>
      <c r="W10" s="53">
        <f>ATUAL!W10</f>
        <v>0</v>
      </c>
      <c r="X10" s="55">
        <f t="shared" si="2"/>
        <v>0</v>
      </c>
      <c r="Y10" s="55">
        <f t="shared" si="3"/>
        <v>0</v>
      </c>
    </row>
    <row r="11" spans="1:25" ht="14.4" customHeight="1" thickTop="1" x14ac:dyDescent="0.3">
      <c r="B11" s="28"/>
      <c r="J11" s="46" t="s">
        <v>49</v>
      </c>
      <c r="K11" s="47">
        <f t="shared" si="0"/>
        <v>0</v>
      </c>
      <c r="L11" s="48">
        <f>ATUAL!L11</f>
        <v>0</v>
      </c>
      <c r="M11" s="48">
        <f>ATUAL!M11</f>
        <v>0</v>
      </c>
      <c r="N11" s="48">
        <f>ATUAL!N11</f>
        <v>0</v>
      </c>
      <c r="O11" s="48">
        <f>ATUAL!O11</f>
        <v>0</v>
      </c>
      <c r="P11" s="48">
        <f>ATUAL!P11</f>
        <v>0</v>
      </c>
      <c r="Q11" s="49"/>
      <c r="R11" s="47">
        <f t="shared" si="1"/>
        <v>0</v>
      </c>
      <c r="S11" s="48">
        <f>ATUAL!S11</f>
        <v>0</v>
      </c>
      <c r="T11" s="48">
        <f>ATUAL!T11</f>
        <v>0</v>
      </c>
      <c r="U11" s="48">
        <f>ATUAL!U11</f>
        <v>0</v>
      </c>
      <c r="V11" s="48">
        <f>ATUAL!V11</f>
        <v>0</v>
      </c>
      <c r="W11" s="48">
        <f>ATUAL!W11</f>
        <v>0</v>
      </c>
      <c r="X11" s="50">
        <f t="shared" si="2"/>
        <v>0</v>
      </c>
      <c r="Y11" s="50">
        <f t="shared" si="3"/>
        <v>0</v>
      </c>
    </row>
    <row r="12" spans="1:25" ht="14.4" customHeight="1" x14ac:dyDescent="0.3">
      <c r="A12" s="114" t="s">
        <v>50</v>
      </c>
      <c r="B12" s="115"/>
      <c r="C12" s="115"/>
      <c r="D12" s="115"/>
      <c r="E12" s="115"/>
      <c r="J12" s="51" t="s">
        <v>51</v>
      </c>
      <c r="K12" s="52">
        <f t="shared" si="0"/>
        <v>0</v>
      </c>
      <c r="L12" s="48">
        <f>ATUAL!L12</f>
        <v>0</v>
      </c>
      <c r="M12" s="48">
        <f>ATUAL!M12</f>
        <v>0</v>
      </c>
      <c r="N12" s="48">
        <f>ATUAL!N12</f>
        <v>0</v>
      </c>
      <c r="O12" s="48">
        <f>ATUAL!O12</f>
        <v>0</v>
      </c>
      <c r="P12" s="48">
        <f>ATUAL!P12</f>
        <v>0</v>
      </c>
      <c r="Q12" s="54"/>
      <c r="R12" s="52">
        <f t="shared" si="1"/>
        <v>0</v>
      </c>
      <c r="S12" s="53">
        <f>ATUAL!S12</f>
        <v>0</v>
      </c>
      <c r="T12" s="53">
        <f>ATUAL!T12</f>
        <v>0</v>
      </c>
      <c r="U12" s="53">
        <f>ATUAL!U12</f>
        <v>0</v>
      </c>
      <c r="V12" s="53">
        <f>ATUAL!V12</f>
        <v>0</v>
      </c>
      <c r="W12" s="53">
        <f>ATUAL!W12</f>
        <v>0</v>
      </c>
      <c r="X12" s="55">
        <f t="shared" si="2"/>
        <v>0</v>
      </c>
      <c r="Y12" s="55">
        <f t="shared" si="3"/>
        <v>0</v>
      </c>
    </row>
    <row r="13" spans="1:25" ht="14.4" customHeight="1" x14ac:dyDescent="0.3">
      <c r="A13" s="59" t="s">
        <v>52</v>
      </c>
      <c r="B13" s="59" t="s">
        <v>53</v>
      </c>
      <c r="C13" s="59" t="s">
        <v>54</v>
      </c>
      <c r="D13" s="59" t="s">
        <v>4</v>
      </c>
      <c r="E13" s="59" t="s">
        <v>55</v>
      </c>
      <c r="J13" s="46" t="s">
        <v>72</v>
      </c>
      <c r="K13" s="47">
        <f t="shared" si="0"/>
        <v>0</v>
      </c>
      <c r="L13" s="48">
        <f>ATUAL!L13</f>
        <v>0</v>
      </c>
      <c r="M13" s="48">
        <f>ATUAL!M13</f>
        <v>0</v>
      </c>
      <c r="N13" s="48">
        <f>ATUAL!N13</f>
        <v>0</v>
      </c>
      <c r="O13" s="48">
        <f>ATUAL!O13</f>
        <v>0</v>
      </c>
      <c r="P13" s="48">
        <f>ATUAL!P13</f>
        <v>0</v>
      </c>
      <c r="Q13" s="49"/>
      <c r="R13" s="47">
        <f t="shared" si="1"/>
        <v>0</v>
      </c>
      <c r="S13" s="48">
        <f>ATUAL!S13</f>
        <v>0</v>
      </c>
      <c r="T13" s="48">
        <f>ATUAL!T13</f>
        <v>0</v>
      </c>
      <c r="U13" s="48">
        <f>ATUAL!U13</f>
        <v>0</v>
      </c>
      <c r="V13" s="48">
        <f>ATUAL!V13</f>
        <v>0</v>
      </c>
      <c r="W13" s="48">
        <f>ATUAL!W13</f>
        <v>0</v>
      </c>
      <c r="X13" s="50">
        <f t="shared" si="2"/>
        <v>0</v>
      </c>
      <c r="Y13" s="50">
        <f t="shared" si="3"/>
        <v>0</v>
      </c>
    </row>
    <row r="14" spans="1:25" ht="14.4" customHeight="1" x14ac:dyDescent="0.3">
      <c r="A14" s="69">
        <v>1</v>
      </c>
      <c r="B14" s="70">
        <v>1</v>
      </c>
      <c r="C14" s="70">
        <v>1.6</v>
      </c>
      <c r="D14" s="70">
        <v>2.6</v>
      </c>
      <c r="E14" s="70">
        <v>4</v>
      </c>
      <c r="J14" s="51" t="s">
        <v>56</v>
      </c>
      <c r="K14" s="52">
        <f t="shared" si="0"/>
        <v>0</v>
      </c>
      <c r="L14" s="48">
        <f>ATUAL!L14</f>
        <v>0</v>
      </c>
      <c r="M14" s="48">
        <f>ATUAL!M14</f>
        <v>0</v>
      </c>
      <c r="N14" s="48">
        <f>ATUAL!N14</f>
        <v>0</v>
      </c>
      <c r="O14" s="48">
        <f>ATUAL!O14</f>
        <v>0</v>
      </c>
      <c r="P14" s="48">
        <f>ATUAL!P14</f>
        <v>0</v>
      </c>
      <c r="Q14" s="54"/>
      <c r="R14" s="52">
        <f t="shared" si="1"/>
        <v>0</v>
      </c>
      <c r="S14" s="53">
        <f>ATUAL!S14</f>
        <v>0</v>
      </c>
      <c r="T14" s="53">
        <f>ATUAL!T14</f>
        <v>0</v>
      </c>
      <c r="U14" s="53">
        <f>ATUAL!U14</f>
        <v>0</v>
      </c>
      <c r="V14" s="53">
        <f>ATUAL!V14</f>
        <v>0</v>
      </c>
      <c r="W14" s="53">
        <f>ATUAL!W14</f>
        <v>0</v>
      </c>
      <c r="X14" s="55">
        <f t="shared" si="2"/>
        <v>0</v>
      </c>
      <c r="Y14" s="55">
        <f t="shared" si="3"/>
        <v>0</v>
      </c>
    </row>
    <row r="15" spans="1:25" ht="14.4" customHeight="1" x14ac:dyDescent="0.3">
      <c r="A15" s="71">
        <v>6</v>
      </c>
      <c r="B15" s="72">
        <v>0.9</v>
      </c>
      <c r="C15" s="72">
        <v>1.4</v>
      </c>
      <c r="D15" s="72">
        <v>2.2000000000000002</v>
      </c>
      <c r="E15" s="72">
        <v>3.4</v>
      </c>
      <c r="J15" s="46" t="s">
        <v>57</v>
      </c>
      <c r="K15" s="47">
        <f t="shared" si="0"/>
        <v>0</v>
      </c>
      <c r="L15" s="48">
        <f>ATUAL!L15</f>
        <v>0</v>
      </c>
      <c r="M15" s="48">
        <f>ATUAL!M15</f>
        <v>0</v>
      </c>
      <c r="N15" s="48">
        <f>ATUAL!N15</f>
        <v>0</v>
      </c>
      <c r="O15" s="48">
        <f>ATUAL!O15</f>
        <v>0</v>
      </c>
      <c r="P15" s="48">
        <f>ATUAL!P15</f>
        <v>0</v>
      </c>
      <c r="Q15" s="49"/>
      <c r="R15" s="47">
        <f t="shared" si="1"/>
        <v>0</v>
      </c>
      <c r="S15" s="48">
        <f>ATUAL!S15</f>
        <v>0</v>
      </c>
      <c r="T15" s="48">
        <f>ATUAL!T15</f>
        <v>0</v>
      </c>
      <c r="U15" s="48">
        <f>ATUAL!U15</f>
        <v>0</v>
      </c>
      <c r="V15" s="48">
        <f>ATUAL!V15</f>
        <v>0</v>
      </c>
      <c r="W15" s="48">
        <f>ATUAL!W15</f>
        <v>0</v>
      </c>
      <c r="X15" s="50">
        <f t="shared" si="2"/>
        <v>0</v>
      </c>
      <c r="Y15" s="50">
        <f t="shared" si="3"/>
        <v>0</v>
      </c>
    </row>
    <row r="16" spans="1:25" ht="14.4" customHeight="1" x14ac:dyDescent="0.3">
      <c r="A16" s="69">
        <v>11</v>
      </c>
      <c r="B16" s="70">
        <v>0.8</v>
      </c>
      <c r="C16" s="70">
        <v>1.2</v>
      </c>
      <c r="D16" s="70">
        <v>1.9</v>
      </c>
      <c r="E16" s="70">
        <v>3</v>
      </c>
      <c r="J16" s="51" t="s">
        <v>58</v>
      </c>
      <c r="K16" s="52">
        <f t="shared" si="0"/>
        <v>0</v>
      </c>
      <c r="L16" s="48">
        <f>ATUAL!L16</f>
        <v>0</v>
      </c>
      <c r="M16" s="48">
        <f>ATUAL!M16</f>
        <v>0</v>
      </c>
      <c r="N16" s="48">
        <f>ATUAL!N16</f>
        <v>0</v>
      </c>
      <c r="O16" s="48">
        <f>ATUAL!O16</f>
        <v>0</v>
      </c>
      <c r="P16" s="48">
        <f>ATUAL!P16</f>
        <v>0</v>
      </c>
      <c r="Q16" s="54"/>
      <c r="R16" s="52">
        <f t="shared" si="1"/>
        <v>0</v>
      </c>
      <c r="S16" s="53">
        <f>ATUAL!S16</f>
        <v>0</v>
      </c>
      <c r="T16" s="53">
        <f>ATUAL!T16</f>
        <v>0</v>
      </c>
      <c r="U16" s="53">
        <f>ATUAL!U16</f>
        <v>0</v>
      </c>
      <c r="V16" s="53">
        <f>ATUAL!V16</f>
        <v>0</v>
      </c>
      <c r="W16" s="53">
        <f>ATUAL!W16</f>
        <v>0</v>
      </c>
      <c r="X16" s="55">
        <f t="shared" si="2"/>
        <v>0</v>
      </c>
      <c r="Y16" s="55">
        <f t="shared" si="3"/>
        <v>0</v>
      </c>
    </row>
    <row r="17" spans="1:25" ht="14.4" customHeight="1" x14ac:dyDescent="0.3">
      <c r="A17" s="71">
        <v>16</v>
      </c>
      <c r="B17" s="72">
        <v>0.7</v>
      </c>
      <c r="C17" s="72">
        <v>1.1000000000000001</v>
      </c>
      <c r="D17" s="72">
        <v>1.7</v>
      </c>
      <c r="E17" s="72">
        <v>2.6</v>
      </c>
      <c r="J17" s="46" t="s">
        <v>59</v>
      </c>
      <c r="K17" s="47">
        <f t="shared" si="0"/>
        <v>0</v>
      </c>
      <c r="L17" s="48">
        <f>ATUAL!L17</f>
        <v>0</v>
      </c>
      <c r="M17" s="48">
        <f>ATUAL!M17</f>
        <v>0</v>
      </c>
      <c r="N17" s="48">
        <f>ATUAL!N17</f>
        <v>0</v>
      </c>
      <c r="O17" s="48">
        <f>ATUAL!O17</f>
        <v>0</v>
      </c>
      <c r="P17" s="48">
        <f>ATUAL!P17</f>
        <v>0</v>
      </c>
      <c r="Q17" s="49"/>
      <c r="R17" s="47">
        <f t="shared" si="1"/>
        <v>0</v>
      </c>
      <c r="S17" s="48">
        <f>ATUAL!S17</f>
        <v>0</v>
      </c>
      <c r="T17" s="48">
        <f>ATUAL!T17</f>
        <v>0</v>
      </c>
      <c r="U17" s="48">
        <f>ATUAL!U17</f>
        <v>0</v>
      </c>
      <c r="V17" s="48">
        <f>ATUAL!V17</f>
        <v>0</v>
      </c>
      <c r="W17" s="48">
        <f>ATUAL!W17</f>
        <v>0</v>
      </c>
      <c r="X17" s="50">
        <f t="shared" si="2"/>
        <v>0</v>
      </c>
      <c r="Y17" s="50">
        <f t="shared" si="3"/>
        <v>0</v>
      </c>
    </row>
    <row r="18" spans="1:25" ht="14.4" customHeight="1" x14ac:dyDescent="0.3">
      <c r="A18" s="69">
        <v>21</v>
      </c>
      <c r="B18" s="70">
        <v>0.6</v>
      </c>
      <c r="C18" s="70">
        <v>0.9</v>
      </c>
      <c r="D18" s="70">
        <v>1.5</v>
      </c>
      <c r="E18" s="70">
        <v>2.2999999999999998</v>
      </c>
      <c r="J18" s="51" t="s">
        <v>60</v>
      </c>
      <c r="K18" s="52">
        <f t="shared" si="0"/>
        <v>0</v>
      </c>
      <c r="L18" s="48">
        <f>ATUAL!L18</f>
        <v>0</v>
      </c>
      <c r="M18" s="48">
        <f>ATUAL!M18</f>
        <v>0</v>
      </c>
      <c r="N18" s="48">
        <f>ATUAL!N18</f>
        <v>0</v>
      </c>
      <c r="O18" s="48">
        <f>ATUAL!O18</f>
        <v>0</v>
      </c>
      <c r="P18" s="48">
        <f>ATUAL!P18</f>
        <v>0</v>
      </c>
      <c r="Q18" s="54"/>
      <c r="R18" s="52">
        <f t="shared" si="1"/>
        <v>0</v>
      </c>
      <c r="S18" s="53">
        <f>ATUAL!S18</f>
        <v>0</v>
      </c>
      <c r="T18" s="53">
        <f>ATUAL!T18</f>
        <v>0</v>
      </c>
      <c r="U18" s="53">
        <f>ATUAL!U18</f>
        <v>0</v>
      </c>
      <c r="V18" s="53">
        <f>ATUAL!V18</f>
        <v>0</v>
      </c>
      <c r="W18" s="53">
        <f>ATUAL!W18</f>
        <v>0</v>
      </c>
      <c r="X18" s="55">
        <f t="shared" si="2"/>
        <v>0</v>
      </c>
      <c r="Y18" s="55">
        <f t="shared" si="3"/>
        <v>0</v>
      </c>
    </row>
    <row r="19" spans="1:25" ht="14.4" customHeight="1" x14ac:dyDescent="0.3">
      <c r="A19" s="71">
        <v>26</v>
      </c>
      <c r="B19" s="72">
        <v>0.5</v>
      </c>
      <c r="C19" s="72">
        <v>0.9</v>
      </c>
      <c r="D19" s="72">
        <v>1.4</v>
      </c>
      <c r="E19" s="72">
        <v>2.1</v>
      </c>
      <c r="J19" s="46" t="s">
        <v>61</v>
      </c>
      <c r="K19" s="47">
        <f t="shared" si="0"/>
        <v>0</v>
      </c>
      <c r="L19" s="48">
        <f>ATUAL!L19</f>
        <v>0</v>
      </c>
      <c r="M19" s="48">
        <f>ATUAL!M19</f>
        <v>0</v>
      </c>
      <c r="N19" s="48">
        <f>ATUAL!N19</f>
        <v>0</v>
      </c>
      <c r="O19" s="48">
        <f>ATUAL!O19</f>
        <v>0</v>
      </c>
      <c r="P19" s="48">
        <f>ATUAL!P19</f>
        <v>0</v>
      </c>
      <c r="Q19" s="49"/>
      <c r="R19" s="47">
        <f t="shared" si="1"/>
        <v>0</v>
      </c>
      <c r="S19" s="48">
        <f>ATUAL!S19</f>
        <v>0</v>
      </c>
      <c r="T19" s="48">
        <f>ATUAL!T19</f>
        <v>0</v>
      </c>
      <c r="U19" s="48">
        <f>ATUAL!U19</f>
        <v>0</v>
      </c>
      <c r="V19" s="48">
        <f>ATUAL!V19</f>
        <v>0</v>
      </c>
      <c r="W19" s="48">
        <f>ATUAL!W19</f>
        <v>0</v>
      </c>
      <c r="X19" s="50">
        <f t="shared" si="2"/>
        <v>0</v>
      </c>
      <c r="Y19" s="50">
        <f t="shared" si="3"/>
        <v>0</v>
      </c>
    </row>
    <row r="20" spans="1:25" ht="14.4" customHeight="1" x14ac:dyDescent="0.3">
      <c r="A20" s="69">
        <v>31</v>
      </c>
      <c r="B20" s="70">
        <v>0.5</v>
      </c>
      <c r="C20" s="70">
        <v>0.8</v>
      </c>
      <c r="D20" s="70">
        <v>1.3</v>
      </c>
      <c r="E20" s="70">
        <v>2</v>
      </c>
      <c r="J20" s="51" t="s">
        <v>62</v>
      </c>
      <c r="K20" s="52">
        <f t="shared" si="0"/>
        <v>0</v>
      </c>
      <c r="L20" s="48">
        <f>ATUAL!L20</f>
        <v>0</v>
      </c>
      <c r="M20" s="48">
        <f>ATUAL!M20</f>
        <v>0</v>
      </c>
      <c r="N20" s="48">
        <f>ATUAL!N20</f>
        <v>0</v>
      </c>
      <c r="O20" s="48">
        <f>ATUAL!O20</f>
        <v>0</v>
      </c>
      <c r="P20" s="48">
        <f>ATUAL!P20</f>
        <v>0</v>
      </c>
      <c r="Q20" s="54"/>
      <c r="R20" s="52">
        <f t="shared" si="1"/>
        <v>0</v>
      </c>
      <c r="S20" s="53">
        <f>ATUAL!S20</f>
        <v>0</v>
      </c>
      <c r="T20" s="53">
        <f>ATUAL!T20</f>
        <v>0</v>
      </c>
      <c r="U20" s="53">
        <f>ATUAL!U20</f>
        <v>0</v>
      </c>
      <c r="V20" s="53">
        <f>ATUAL!V20</f>
        <v>0</v>
      </c>
      <c r="W20" s="53">
        <f>ATUAL!W20</f>
        <v>0</v>
      </c>
      <c r="X20" s="55">
        <f t="shared" si="2"/>
        <v>0</v>
      </c>
      <c r="Y20" s="55">
        <f t="shared" si="3"/>
        <v>0</v>
      </c>
    </row>
    <row r="21" spans="1:25" ht="15.75" customHeight="1" x14ac:dyDescent="0.3">
      <c r="A21" s="71">
        <v>41</v>
      </c>
      <c r="B21" s="72">
        <v>0.5</v>
      </c>
      <c r="C21" s="72">
        <v>0.8</v>
      </c>
      <c r="D21" s="72">
        <v>1.3</v>
      </c>
      <c r="E21" s="72">
        <v>2</v>
      </c>
      <c r="J21" s="46" t="s">
        <v>63</v>
      </c>
      <c r="K21" s="47">
        <f t="shared" si="0"/>
        <v>0</v>
      </c>
      <c r="L21" s="48">
        <f>ATUAL!L21</f>
        <v>0</v>
      </c>
      <c r="M21" s="48">
        <f>ATUAL!M21</f>
        <v>0</v>
      </c>
      <c r="N21" s="48">
        <f>ATUAL!N21</f>
        <v>0</v>
      </c>
      <c r="O21" s="48">
        <f>ATUAL!O21</f>
        <v>0</v>
      </c>
      <c r="P21" s="48">
        <f>ATUAL!P21</f>
        <v>0</v>
      </c>
      <c r="Q21" s="49"/>
      <c r="R21" s="47">
        <f t="shared" si="1"/>
        <v>0</v>
      </c>
      <c r="S21" s="48">
        <f>ATUAL!S21</f>
        <v>0</v>
      </c>
      <c r="T21" s="48">
        <f>ATUAL!T21</f>
        <v>0</v>
      </c>
      <c r="U21" s="48">
        <f>ATUAL!U21</f>
        <v>0</v>
      </c>
      <c r="V21" s="48">
        <f>ATUAL!V21</f>
        <v>0</v>
      </c>
      <c r="W21" s="48">
        <f>ATUAL!W21</f>
        <v>0</v>
      </c>
      <c r="X21" s="50">
        <f t="shared" si="2"/>
        <v>0</v>
      </c>
      <c r="Y21" s="50">
        <f t="shared" si="3"/>
        <v>0</v>
      </c>
    </row>
    <row r="22" spans="1:25" ht="15.75" customHeight="1" x14ac:dyDescent="0.3">
      <c r="J22" s="51" t="s">
        <v>64</v>
      </c>
      <c r="K22" s="52">
        <f t="shared" si="0"/>
        <v>0</v>
      </c>
      <c r="L22" s="48">
        <f>ATUAL!L22</f>
        <v>0</v>
      </c>
      <c r="M22" s="48">
        <f>ATUAL!M22</f>
        <v>0</v>
      </c>
      <c r="N22" s="48">
        <f>ATUAL!N22</f>
        <v>0</v>
      </c>
      <c r="O22" s="48">
        <f>ATUAL!O22</f>
        <v>0</v>
      </c>
      <c r="P22" s="48">
        <f>ATUAL!P22</f>
        <v>0</v>
      </c>
      <c r="Q22" s="54"/>
      <c r="R22" s="52">
        <f t="shared" si="1"/>
        <v>0</v>
      </c>
      <c r="S22" s="53">
        <f>ATUAL!S22</f>
        <v>0</v>
      </c>
      <c r="T22" s="53">
        <f>ATUAL!T22</f>
        <v>0</v>
      </c>
      <c r="U22" s="53">
        <f>ATUAL!U22</f>
        <v>0</v>
      </c>
      <c r="V22" s="53">
        <f>ATUAL!V22</f>
        <v>0</v>
      </c>
      <c r="W22" s="53">
        <f>ATUAL!W22</f>
        <v>0</v>
      </c>
      <c r="X22" s="55">
        <f t="shared" si="2"/>
        <v>0</v>
      </c>
      <c r="Y22" s="55">
        <f t="shared" si="3"/>
        <v>0</v>
      </c>
    </row>
    <row r="23" spans="1:25" ht="15.75" customHeight="1" x14ac:dyDescent="0.3">
      <c r="J23" s="46" t="s">
        <v>65</v>
      </c>
      <c r="K23" s="47">
        <f t="shared" si="0"/>
        <v>0</v>
      </c>
      <c r="L23" s="48">
        <f>ATUAL!L23</f>
        <v>0</v>
      </c>
      <c r="M23" s="48">
        <f>ATUAL!M23</f>
        <v>0</v>
      </c>
      <c r="N23" s="48">
        <f>ATUAL!N23</f>
        <v>0</v>
      </c>
      <c r="O23" s="48">
        <f>ATUAL!O23</f>
        <v>0</v>
      </c>
      <c r="P23" s="48">
        <f>ATUAL!P23</f>
        <v>0</v>
      </c>
      <c r="Q23" s="49"/>
      <c r="R23" s="47">
        <f t="shared" si="1"/>
        <v>0</v>
      </c>
      <c r="S23" s="48">
        <f>ATUAL!S23</f>
        <v>0</v>
      </c>
      <c r="T23" s="48">
        <f>ATUAL!T23</f>
        <v>0</v>
      </c>
      <c r="U23" s="48">
        <f>ATUAL!U23</f>
        <v>0</v>
      </c>
      <c r="V23" s="48">
        <f>ATUAL!V23</f>
        <v>0</v>
      </c>
      <c r="W23" s="48">
        <f>ATUAL!W23</f>
        <v>0</v>
      </c>
      <c r="X23" s="50">
        <f t="shared" si="2"/>
        <v>0</v>
      </c>
      <c r="Y23" s="50">
        <f t="shared" si="3"/>
        <v>0</v>
      </c>
    </row>
    <row r="24" spans="1:25" ht="15.75" customHeight="1" x14ac:dyDescent="0.3">
      <c r="J24" s="51" t="s">
        <v>66</v>
      </c>
      <c r="K24" s="52">
        <f t="shared" si="0"/>
        <v>0</v>
      </c>
      <c r="L24" s="48">
        <f>ATUAL!L24</f>
        <v>0</v>
      </c>
      <c r="M24" s="48">
        <f>ATUAL!M24</f>
        <v>0</v>
      </c>
      <c r="N24" s="48">
        <f>ATUAL!N24</f>
        <v>0</v>
      </c>
      <c r="O24" s="48">
        <f>ATUAL!O24</f>
        <v>0</v>
      </c>
      <c r="P24" s="48">
        <f>ATUAL!P24</f>
        <v>0</v>
      </c>
      <c r="Q24" s="54"/>
      <c r="R24" s="52">
        <f t="shared" si="1"/>
        <v>0</v>
      </c>
      <c r="S24" s="53">
        <f>ATUAL!S24</f>
        <v>0</v>
      </c>
      <c r="T24" s="53">
        <f>ATUAL!T24</f>
        <v>0</v>
      </c>
      <c r="U24" s="53">
        <f>ATUAL!U24</f>
        <v>0</v>
      </c>
      <c r="V24" s="53">
        <f>ATUAL!V24</f>
        <v>0</v>
      </c>
      <c r="W24" s="53">
        <f>ATUAL!W24</f>
        <v>0</v>
      </c>
      <c r="X24" s="55">
        <f t="shared" si="2"/>
        <v>0</v>
      </c>
      <c r="Y24" s="55">
        <f t="shared" si="3"/>
        <v>0</v>
      </c>
    </row>
    <row r="25" spans="1:25" ht="15.75" customHeight="1" x14ac:dyDescent="0.3">
      <c r="J25" s="46" t="s">
        <v>67</v>
      </c>
      <c r="K25" s="47">
        <f t="shared" si="0"/>
        <v>0</v>
      </c>
      <c r="L25" s="48">
        <f>ATUAL!L25</f>
        <v>0</v>
      </c>
      <c r="M25" s="48">
        <f>ATUAL!M25</f>
        <v>0</v>
      </c>
      <c r="N25" s="48">
        <f>ATUAL!N25</f>
        <v>0</v>
      </c>
      <c r="O25" s="48">
        <f>ATUAL!O25</f>
        <v>0</v>
      </c>
      <c r="P25" s="48">
        <f>ATUAL!P25</f>
        <v>0</v>
      </c>
      <c r="Q25" s="49"/>
      <c r="R25" s="47">
        <f t="shared" si="1"/>
        <v>0</v>
      </c>
      <c r="S25" s="48">
        <f>ATUAL!S25</f>
        <v>0</v>
      </c>
      <c r="T25" s="48">
        <f>ATUAL!T25</f>
        <v>0</v>
      </c>
      <c r="U25" s="48">
        <f>ATUAL!U25</f>
        <v>0</v>
      </c>
      <c r="V25" s="48">
        <f>ATUAL!V25</f>
        <v>0</v>
      </c>
      <c r="W25" s="48">
        <f>ATUAL!W25</f>
        <v>0</v>
      </c>
      <c r="X25" s="50">
        <f t="shared" si="2"/>
        <v>0</v>
      </c>
      <c r="Y25" s="50">
        <f t="shared" si="3"/>
        <v>0</v>
      </c>
    </row>
    <row r="26" spans="1:25" ht="15.75" customHeight="1" x14ac:dyDescent="0.3">
      <c r="J26" s="51" t="s">
        <v>68</v>
      </c>
      <c r="K26" s="52">
        <f t="shared" si="0"/>
        <v>0</v>
      </c>
      <c r="L26" s="48">
        <f>ATUAL!L26</f>
        <v>0</v>
      </c>
      <c r="M26" s="48">
        <f>ATUAL!M26</f>
        <v>0</v>
      </c>
      <c r="N26" s="48">
        <f>ATUAL!N26</f>
        <v>0</v>
      </c>
      <c r="O26" s="48">
        <f>ATUAL!O26</f>
        <v>0</v>
      </c>
      <c r="P26" s="48">
        <f>ATUAL!P26</f>
        <v>0</v>
      </c>
      <c r="Q26" s="54"/>
      <c r="R26" s="52">
        <f t="shared" si="1"/>
        <v>0</v>
      </c>
      <c r="S26" s="53">
        <f>ATUAL!S26</f>
        <v>0</v>
      </c>
      <c r="T26" s="53">
        <f>ATUAL!T26</f>
        <v>0</v>
      </c>
      <c r="U26" s="53">
        <f>ATUAL!U26</f>
        <v>0</v>
      </c>
      <c r="V26" s="53">
        <f>ATUAL!V26</f>
        <v>0</v>
      </c>
      <c r="W26" s="53">
        <f>ATUAL!W26</f>
        <v>0</v>
      </c>
      <c r="X26" s="55">
        <f t="shared" si="2"/>
        <v>0</v>
      </c>
      <c r="Y26" s="55">
        <f t="shared" si="3"/>
        <v>0</v>
      </c>
    </row>
    <row r="27" spans="1:25" ht="15.75" customHeight="1" x14ac:dyDescent="0.3">
      <c r="J27" s="46" t="s">
        <v>69</v>
      </c>
      <c r="K27" s="47">
        <f t="shared" si="0"/>
        <v>0</v>
      </c>
      <c r="L27" s="48">
        <f>ATUAL!L27</f>
        <v>0</v>
      </c>
      <c r="M27" s="48">
        <f>ATUAL!M27</f>
        <v>0</v>
      </c>
      <c r="N27" s="48">
        <f>ATUAL!N27</f>
        <v>0</v>
      </c>
      <c r="O27" s="48">
        <f>ATUAL!O27</f>
        <v>0</v>
      </c>
      <c r="P27" s="48">
        <f>ATUAL!P27</f>
        <v>0</v>
      </c>
      <c r="Q27" s="49"/>
      <c r="R27" s="47">
        <f t="shared" si="1"/>
        <v>0</v>
      </c>
      <c r="S27" s="48">
        <f>ATUAL!S27</f>
        <v>0</v>
      </c>
      <c r="T27" s="48">
        <f>ATUAL!T27</f>
        <v>0</v>
      </c>
      <c r="U27" s="48">
        <f>ATUAL!U27</f>
        <v>0</v>
      </c>
      <c r="V27" s="48">
        <f>ATUAL!V27</f>
        <v>0</v>
      </c>
      <c r="W27" s="48">
        <f>ATUAL!W27</f>
        <v>0</v>
      </c>
      <c r="X27" s="50">
        <f t="shared" si="2"/>
        <v>0</v>
      </c>
      <c r="Y27" s="50">
        <f t="shared" si="3"/>
        <v>0</v>
      </c>
    </row>
    <row r="28" spans="1:25" ht="15.75" customHeight="1" x14ac:dyDescent="0.3">
      <c r="J28" s="51" t="s">
        <v>70</v>
      </c>
      <c r="K28" s="52">
        <f t="shared" si="0"/>
        <v>0</v>
      </c>
      <c r="L28" s="48">
        <f>ATUAL!L28</f>
        <v>0</v>
      </c>
      <c r="M28" s="48">
        <f>ATUAL!M28</f>
        <v>0</v>
      </c>
      <c r="N28" s="48">
        <f>ATUAL!N28</f>
        <v>0</v>
      </c>
      <c r="O28" s="48">
        <f>ATUAL!O28</f>
        <v>0</v>
      </c>
      <c r="P28" s="48">
        <f>ATUAL!P28</f>
        <v>0</v>
      </c>
      <c r="Q28" s="54"/>
      <c r="R28" s="52">
        <f t="shared" si="1"/>
        <v>0</v>
      </c>
      <c r="S28" s="53">
        <f>ATUAL!S28</f>
        <v>0</v>
      </c>
      <c r="T28" s="53">
        <f>ATUAL!T28</f>
        <v>0</v>
      </c>
      <c r="U28" s="53">
        <f>ATUAL!U28</f>
        <v>0</v>
      </c>
      <c r="V28" s="53">
        <f>ATUAL!V28</f>
        <v>0</v>
      </c>
      <c r="W28" s="53">
        <f>ATUAL!W28</f>
        <v>0</v>
      </c>
      <c r="X28" s="55">
        <f t="shared" si="2"/>
        <v>0</v>
      </c>
      <c r="Y28" s="55">
        <f t="shared" si="3"/>
        <v>0</v>
      </c>
    </row>
    <row r="29" spans="1:25" ht="15.75" customHeight="1" x14ac:dyDescent="0.3">
      <c r="J29" s="46"/>
      <c r="K29" s="47">
        <f t="shared" si="0"/>
        <v>0</v>
      </c>
      <c r="L29" s="48">
        <f>ATUAL!L29</f>
        <v>0</v>
      </c>
      <c r="M29" s="48">
        <f>ATUAL!M29</f>
        <v>0</v>
      </c>
      <c r="N29" s="48">
        <f>ATUAL!N29</f>
        <v>0</v>
      </c>
      <c r="O29" s="48">
        <f>ATUAL!O29</f>
        <v>0</v>
      </c>
      <c r="P29" s="48">
        <f>ATUAL!P29</f>
        <v>0</v>
      </c>
      <c r="Q29" s="49"/>
      <c r="R29" s="47">
        <f t="shared" si="1"/>
        <v>0</v>
      </c>
      <c r="S29" s="48">
        <f>ATUAL!S29</f>
        <v>0</v>
      </c>
      <c r="T29" s="48">
        <f>ATUAL!T29</f>
        <v>0</v>
      </c>
      <c r="U29" s="48">
        <f>ATUAL!U29</f>
        <v>0</v>
      </c>
      <c r="V29" s="48">
        <f>ATUAL!V29</f>
        <v>0</v>
      </c>
      <c r="W29" s="48">
        <f>ATUAL!W29</f>
        <v>0</v>
      </c>
      <c r="X29" s="50">
        <f t="shared" si="2"/>
        <v>0</v>
      </c>
      <c r="Y29" s="50">
        <f t="shared" si="3"/>
        <v>0</v>
      </c>
    </row>
    <row r="30" spans="1:25" ht="15.75" customHeight="1" x14ac:dyDescent="0.3">
      <c r="J30" s="51"/>
      <c r="K30" s="52">
        <f t="shared" si="0"/>
        <v>0</v>
      </c>
      <c r="L30" s="53">
        <f>ATUAL!L30</f>
        <v>0</v>
      </c>
      <c r="M30" s="53">
        <f>ATUAL!M30</f>
        <v>0</v>
      </c>
      <c r="N30" s="53">
        <f>ATUAL!N30</f>
        <v>0</v>
      </c>
      <c r="O30" s="53">
        <f>ATUAL!O30</f>
        <v>0</v>
      </c>
      <c r="P30" s="53">
        <f>ATUAL!P30</f>
        <v>0</v>
      </c>
      <c r="Q30" s="54"/>
      <c r="R30" s="52">
        <f t="shared" si="1"/>
        <v>0</v>
      </c>
      <c r="S30" s="53">
        <f>ATUAL!S30</f>
        <v>0</v>
      </c>
      <c r="T30" s="53">
        <f>ATUAL!T30</f>
        <v>0</v>
      </c>
      <c r="U30" s="53">
        <f>ATUAL!U30</f>
        <v>0</v>
      </c>
      <c r="V30" s="53">
        <f>ATUAL!V30</f>
        <v>0</v>
      </c>
      <c r="W30" s="53">
        <f>ATUAL!W30</f>
        <v>0</v>
      </c>
      <c r="X30" s="55">
        <f t="shared" si="2"/>
        <v>0</v>
      </c>
      <c r="Y30" s="55">
        <f t="shared" si="3"/>
        <v>0</v>
      </c>
    </row>
    <row r="31" spans="1:25" ht="15.75" customHeight="1" x14ac:dyDescent="0.3">
      <c r="J31" s="46"/>
      <c r="K31" s="47">
        <f t="shared" si="0"/>
        <v>0</v>
      </c>
      <c r="L31" s="48">
        <f>ATUAL!L31</f>
        <v>0</v>
      </c>
      <c r="M31" s="48">
        <f>ATUAL!M31</f>
        <v>0</v>
      </c>
      <c r="N31" s="48">
        <f>ATUAL!N31</f>
        <v>0</v>
      </c>
      <c r="O31" s="48">
        <f>ATUAL!O31</f>
        <v>0</v>
      </c>
      <c r="P31" s="48">
        <f>ATUAL!P31</f>
        <v>0</v>
      </c>
      <c r="Q31" s="49"/>
      <c r="R31" s="47">
        <f t="shared" si="1"/>
        <v>0</v>
      </c>
      <c r="S31" s="48">
        <f>ATUAL!S31</f>
        <v>0</v>
      </c>
      <c r="T31" s="48">
        <f>ATUAL!T31</f>
        <v>0</v>
      </c>
      <c r="U31" s="48">
        <f>ATUAL!U31</f>
        <v>0</v>
      </c>
      <c r="V31" s="48">
        <f>ATUAL!V31</f>
        <v>0</v>
      </c>
      <c r="W31" s="48">
        <f>ATUAL!W31</f>
        <v>0</v>
      </c>
      <c r="X31" s="50">
        <f t="shared" si="2"/>
        <v>0</v>
      </c>
      <c r="Y31" s="50">
        <f t="shared" si="3"/>
        <v>0</v>
      </c>
    </row>
    <row r="32" spans="1:25" ht="15.75" customHeight="1" x14ac:dyDescent="0.3">
      <c r="J32" s="51"/>
      <c r="K32" s="52">
        <f t="shared" si="0"/>
        <v>0</v>
      </c>
      <c r="L32" s="53">
        <f>ATUAL!L32</f>
        <v>0</v>
      </c>
      <c r="M32" s="53">
        <f>ATUAL!M32</f>
        <v>0</v>
      </c>
      <c r="N32" s="53">
        <f>ATUAL!N32</f>
        <v>0</v>
      </c>
      <c r="O32" s="53">
        <f>ATUAL!O32</f>
        <v>0</v>
      </c>
      <c r="P32" s="53">
        <f>ATUAL!P32</f>
        <v>0</v>
      </c>
      <c r="Q32" s="54"/>
      <c r="R32" s="52">
        <f t="shared" si="1"/>
        <v>0</v>
      </c>
      <c r="S32" s="53">
        <f>ATUAL!S32</f>
        <v>0</v>
      </c>
      <c r="T32" s="53">
        <f>ATUAL!T32</f>
        <v>0</v>
      </c>
      <c r="U32" s="53">
        <f>ATUAL!U32</f>
        <v>0</v>
      </c>
      <c r="V32" s="53">
        <f>ATUAL!V32</f>
        <v>0</v>
      </c>
      <c r="W32" s="53">
        <f>ATUAL!W32</f>
        <v>0</v>
      </c>
      <c r="X32" s="55">
        <f t="shared" si="2"/>
        <v>0</v>
      </c>
      <c r="Y32" s="55">
        <f t="shared" si="3"/>
        <v>0</v>
      </c>
    </row>
    <row r="33" spans="10:25" ht="15.75" customHeight="1" x14ac:dyDescent="0.3">
      <c r="J33" s="46"/>
      <c r="K33" s="47">
        <f t="shared" si="0"/>
        <v>0</v>
      </c>
      <c r="L33" s="48">
        <f>ATUAL!L33</f>
        <v>0</v>
      </c>
      <c r="M33" s="48">
        <f>ATUAL!M33</f>
        <v>0</v>
      </c>
      <c r="N33" s="48">
        <f>ATUAL!N33</f>
        <v>0</v>
      </c>
      <c r="O33" s="48">
        <f>ATUAL!O33</f>
        <v>0</v>
      </c>
      <c r="P33" s="48">
        <f>ATUAL!P33</f>
        <v>0</v>
      </c>
      <c r="Q33" s="49"/>
      <c r="R33" s="47">
        <f t="shared" si="1"/>
        <v>0</v>
      </c>
      <c r="S33" s="48">
        <f>ATUAL!S33</f>
        <v>0</v>
      </c>
      <c r="T33" s="48">
        <f>ATUAL!T33</f>
        <v>0</v>
      </c>
      <c r="U33" s="48">
        <f>ATUAL!U33</f>
        <v>0</v>
      </c>
      <c r="V33" s="48">
        <f>ATUAL!V33</f>
        <v>0</v>
      </c>
      <c r="W33" s="48">
        <f>ATUAL!W33</f>
        <v>0</v>
      </c>
      <c r="X33" s="50">
        <f t="shared" si="2"/>
        <v>0</v>
      </c>
      <c r="Y33" s="50">
        <f t="shared" si="3"/>
        <v>0</v>
      </c>
    </row>
    <row r="34" spans="10:25" ht="15.75" customHeight="1" x14ac:dyDescent="0.3">
      <c r="J34" s="51"/>
      <c r="K34" s="52">
        <f t="shared" si="0"/>
        <v>0</v>
      </c>
      <c r="L34" s="53">
        <f>ATUAL!L34</f>
        <v>0</v>
      </c>
      <c r="M34" s="53">
        <f>ATUAL!M34</f>
        <v>0</v>
      </c>
      <c r="N34" s="53">
        <f>ATUAL!N34</f>
        <v>0</v>
      </c>
      <c r="O34" s="53">
        <f>ATUAL!O34</f>
        <v>0</v>
      </c>
      <c r="P34" s="53">
        <f>ATUAL!P34</f>
        <v>0</v>
      </c>
      <c r="Q34" s="54"/>
      <c r="R34" s="52">
        <f t="shared" si="1"/>
        <v>0</v>
      </c>
      <c r="S34" s="53">
        <f>ATUAL!S34</f>
        <v>0</v>
      </c>
      <c r="T34" s="53">
        <f>ATUAL!T34</f>
        <v>0</v>
      </c>
      <c r="U34" s="53">
        <f>ATUAL!U34</f>
        <v>0</v>
      </c>
      <c r="V34" s="53">
        <f>ATUAL!V34</f>
        <v>0</v>
      </c>
      <c r="W34" s="53">
        <f>ATUAL!W34</f>
        <v>0</v>
      </c>
      <c r="X34" s="55">
        <f t="shared" si="2"/>
        <v>0</v>
      </c>
      <c r="Y34" s="55">
        <f t="shared" si="3"/>
        <v>0</v>
      </c>
    </row>
    <row r="35" spans="10:25" ht="15.75" customHeight="1" x14ac:dyDescent="0.3">
      <c r="J35" s="46"/>
      <c r="K35" s="47">
        <f t="shared" ref="K35:K57" si="4">SUM(L35:N35)*$C$5+P35</f>
        <v>0</v>
      </c>
      <c r="L35" s="48">
        <f>ATUAL!L35</f>
        <v>0</v>
      </c>
      <c r="M35" s="48">
        <f>ATUAL!M35</f>
        <v>0</v>
      </c>
      <c r="N35" s="48">
        <f>ATUAL!N35</f>
        <v>0</v>
      </c>
      <c r="O35" s="48">
        <f>ATUAL!O35</f>
        <v>0</v>
      </c>
      <c r="P35" s="48">
        <f>ATUAL!P35</f>
        <v>0</v>
      </c>
      <c r="Q35" s="49"/>
      <c r="R35" s="47">
        <f t="shared" ref="R35:R57" si="5">S35*$H$3+T35*$H$4+U35*$H$5+V35*$H$6+W35*$H$7</f>
        <v>0</v>
      </c>
      <c r="S35" s="48">
        <f>ATUAL!S35</f>
        <v>0</v>
      </c>
      <c r="T35" s="48">
        <f>ATUAL!T35</f>
        <v>0</v>
      </c>
      <c r="U35" s="48">
        <f>ATUAL!U35</f>
        <v>0</v>
      </c>
      <c r="V35" s="48">
        <f>ATUAL!V35</f>
        <v>0</v>
      </c>
      <c r="W35" s="48">
        <f>ATUAL!W35</f>
        <v>0</v>
      </c>
      <c r="X35" s="50">
        <f t="shared" ref="X35:X57" si="6">SUM(L35:N35)*$C$5+P35</f>
        <v>0</v>
      </c>
      <c r="Y35" s="50">
        <f t="shared" ref="Y35:Y58" si="7">R35</f>
        <v>0</v>
      </c>
    </row>
    <row r="36" spans="10:25" ht="15.75" customHeight="1" x14ac:dyDescent="0.3">
      <c r="J36" s="51"/>
      <c r="K36" s="52">
        <f t="shared" si="4"/>
        <v>0</v>
      </c>
      <c r="L36" s="53">
        <f>ATUAL!L36</f>
        <v>0</v>
      </c>
      <c r="M36" s="53">
        <f>ATUAL!M36</f>
        <v>0</v>
      </c>
      <c r="N36" s="53">
        <f>ATUAL!N36</f>
        <v>0</v>
      </c>
      <c r="O36" s="53">
        <f>ATUAL!O36</f>
        <v>0</v>
      </c>
      <c r="P36" s="53">
        <f>ATUAL!P36</f>
        <v>0</v>
      </c>
      <c r="Q36" s="54"/>
      <c r="R36" s="52">
        <f t="shared" si="5"/>
        <v>0</v>
      </c>
      <c r="S36" s="53">
        <f>ATUAL!S36</f>
        <v>0</v>
      </c>
      <c r="T36" s="53">
        <f>ATUAL!T36</f>
        <v>0</v>
      </c>
      <c r="U36" s="53">
        <f>ATUAL!U36</f>
        <v>0</v>
      </c>
      <c r="V36" s="53">
        <f>ATUAL!V36</f>
        <v>0</v>
      </c>
      <c r="W36" s="53">
        <f>ATUAL!W36</f>
        <v>0</v>
      </c>
      <c r="X36" s="55">
        <f t="shared" si="6"/>
        <v>0</v>
      </c>
      <c r="Y36" s="55">
        <f t="shared" si="7"/>
        <v>0</v>
      </c>
    </row>
    <row r="37" spans="10:25" ht="15.75" customHeight="1" x14ac:dyDescent="0.3">
      <c r="J37" s="46"/>
      <c r="K37" s="47">
        <f t="shared" si="4"/>
        <v>0</v>
      </c>
      <c r="L37" s="48">
        <f>ATUAL!L37</f>
        <v>0</v>
      </c>
      <c r="M37" s="48">
        <f>ATUAL!M37</f>
        <v>0</v>
      </c>
      <c r="N37" s="48">
        <f>ATUAL!N37</f>
        <v>0</v>
      </c>
      <c r="O37" s="48">
        <f>ATUAL!O37</f>
        <v>0</v>
      </c>
      <c r="P37" s="48">
        <f>ATUAL!P37</f>
        <v>0</v>
      </c>
      <c r="Q37" s="49"/>
      <c r="R37" s="47">
        <f t="shared" si="5"/>
        <v>0</v>
      </c>
      <c r="S37" s="48">
        <f>ATUAL!S37</f>
        <v>0</v>
      </c>
      <c r="T37" s="48">
        <f>ATUAL!T37</f>
        <v>0</v>
      </c>
      <c r="U37" s="48">
        <f>ATUAL!U37</f>
        <v>0</v>
      </c>
      <c r="V37" s="48">
        <f>ATUAL!V37</f>
        <v>0</v>
      </c>
      <c r="W37" s="48">
        <f>ATUAL!W37</f>
        <v>0</v>
      </c>
      <c r="X37" s="50">
        <f t="shared" si="6"/>
        <v>0</v>
      </c>
      <c r="Y37" s="50">
        <f t="shared" si="7"/>
        <v>0</v>
      </c>
    </row>
    <row r="38" spans="10:25" ht="15.75" customHeight="1" x14ac:dyDescent="0.3">
      <c r="J38" s="51"/>
      <c r="K38" s="52">
        <f t="shared" si="4"/>
        <v>0</v>
      </c>
      <c r="L38" s="53">
        <f>ATUAL!L38</f>
        <v>0</v>
      </c>
      <c r="M38" s="53">
        <f>ATUAL!M38</f>
        <v>0</v>
      </c>
      <c r="N38" s="53">
        <f>ATUAL!N38</f>
        <v>0</v>
      </c>
      <c r="O38" s="53">
        <f>ATUAL!O38</f>
        <v>0</v>
      </c>
      <c r="P38" s="53">
        <f>ATUAL!P38</f>
        <v>0</v>
      </c>
      <c r="Q38" s="54"/>
      <c r="R38" s="52">
        <f t="shared" si="5"/>
        <v>0</v>
      </c>
      <c r="S38" s="53">
        <f>ATUAL!S38</f>
        <v>0</v>
      </c>
      <c r="T38" s="53">
        <f>ATUAL!T38</f>
        <v>0</v>
      </c>
      <c r="U38" s="53">
        <f>ATUAL!U38</f>
        <v>0</v>
      </c>
      <c r="V38" s="53">
        <f>ATUAL!V38</f>
        <v>0</v>
      </c>
      <c r="W38" s="53">
        <f>ATUAL!W38</f>
        <v>0</v>
      </c>
      <c r="X38" s="55">
        <f t="shared" si="6"/>
        <v>0</v>
      </c>
      <c r="Y38" s="55">
        <f t="shared" si="7"/>
        <v>0</v>
      </c>
    </row>
    <row r="39" spans="10:25" ht="15.75" customHeight="1" x14ac:dyDescent="0.3">
      <c r="J39" s="46"/>
      <c r="K39" s="47">
        <f t="shared" si="4"/>
        <v>0</v>
      </c>
      <c r="L39" s="48">
        <f>ATUAL!L39</f>
        <v>0</v>
      </c>
      <c r="M39" s="48">
        <f>ATUAL!M39</f>
        <v>0</v>
      </c>
      <c r="N39" s="48">
        <f>ATUAL!N39</f>
        <v>0</v>
      </c>
      <c r="O39" s="48">
        <f>ATUAL!O39</f>
        <v>0</v>
      </c>
      <c r="P39" s="48">
        <f>ATUAL!P39</f>
        <v>0</v>
      </c>
      <c r="Q39" s="49"/>
      <c r="R39" s="47">
        <f t="shared" si="5"/>
        <v>0</v>
      </c>
      <c r="S39" s="48">
        <f>ATUAL!S39</f>
        <v>0</v>
      </c>
      <c r="T39" s="48">
        <f>ATUAL!T39</f>
        <v>0</v>
      </c>
      <c r="U39" s="48">
        <f>ATUAL!U39</f>
        <v>0</v>
      </c>
      <c r="V39" s="48">
        <f>ATUAL!V39</f>
        <v>0</v>
      </c>
      <c r="W39" s="48">
        <f>ATUAL!W39</f>
        <v>0</v>
      </c>
      <c r="X39" s="50">
        <f t="shared" si="6"/>
        <v>0</v>
      </c>
      <c r="Y39" s="50">
        <f t="shared" si="7"/>
        <v>0</v>
      </c>
    </row>
    <row r="40" spans="10:25" ht="15.75" customHeight="1" x14ac:dyDescent="0.3">
      <c r="J40" s="51"/>
      <c r="K40" s="52">
        <f t="shared" si="4"/>
        <v>0</v>
      </c>
      <c r="L40" s="53">
        <f>ATUAL!L40</f>
        <v>0</v>
      </c>
      <c r="M40" s="53">
        <f>ATUAL!M40</f>
        <v>0</v>
      </c>
      <c r="N40" s="53">
        <f>ATUAL!N40</f>
        <v>0</v>
      </c>
      <c r="O40" s="53">
        <f>ATUAL!O40</f>
        <v>0</v>
      </c>
      <c r="P40" s="53">
        <f>ATUAL!P40</f>
        <v>0</v>
      </c>
      <c r="Q40" s="54"/>
      <c r="R40" s="52">
        <f t="shared" si="5"/>
        <v>0</v>
      </c>
      <c r="S40" s="53">
        <f>ATUAL!S40</f>
        <v>0</v>
      </c>
      <c r="T40" s="53">
        <f>ATUAL!T40</f>
        <v>0</v>
      </c>
      <c r="U40" s="53">
        <f>ATUAL!U40</f>
        <v>0</v>
      </c>
      <c r="V40" s="53">
        <f>ATUAL!V40</f>
        <v>0</v>
      </c>
      <c r="W40" s="53">
        <f>ATUAL!W40</f>
        <v>0</v>
      </c>
      <c r="X40" s="55">
        <f t="shared" si="6"/>
        <v>0</v>
      </c>
      <c r="Y40" s="55">
        <f t="shared" si="7"/>
        <v>0</v>
      </c>
    </row>
    <row r="41" spans="10:25" ht="15.75" customHeight="1" x14ac:dyDescent="0.3">
      <c r="J41" s="46"/>
      <c r="K41" s="47">
        <f t="shared" si="4"/>
        <v>0</v>
      </c>
      <c r="L41" s="48">
        <f>ATUAL!L41</f>
        <v>0</v>
      </c>
      <c r="M41" s="48">
        <f>ATUAL!M41</f>
        <v>0</v>
      </c>
      <c r="N41" s="48">
        <f>ATUAL!N41</f>
        <v>0</v>
      </c>
      <c r="O41" s="48">
        <f>ATUAL!O41</f>
        <v>0</v>
      </c>
      <c r="P41" s="48">
        <f>ATUAL!P41</f>
        <v>0</v>
      </c>
      <c r="Q41" s="49"/>
      <c r="R41" s="47">
        <f t="shared" si="5"/>
        <v>0</v>
      </c>
      <c r="S41" s="48">
        <f>ATUAL!S41</f>
        <v>0</v>
      </c>
      <c r="T41" s="48">
        <f>ATUAL!T41</f>
        <v>0</v>
      </c>
      <c r="U41" s="48">
        <f>ATUAL!U41</f>
        <v>0</v>
      </c>
      <c r="V41" s="48">
        <f>ATUAL!V41</f>
        <v>0</v>
      </c>
      <c r="W41" s="48">
        <f>ATUAL!W41</f>
        <v>0</v>
      </c>
      <c r="X41" s="50">
        <f t="shared" si="6"/>
        <v>0</v>
      </c>
      <c r="Y41" s="50">
        <f t="shared" si="7"/>
        <v>0</v>
      </c>
    </row>
    <row r="42" spans="10:25" ht="15.75" customHeight="1" x14ac:dyDescent="0.3">
      <c r="J42" s="51"/>
      <c r="K42" s="52">
        <f t="shared" si="4"/>
        <v>0</v>
      </c>
      <c r="L42" s="53">
        <f>ATUAL!L42</f>
        <v>0</v>
      </c>
      <c r="M42" s="53">
        <f>ATUAL!M42</f>
        <v>0</v>
      </c>
      <c r="N42" s="53">
        <f>ATUAL!N42</f>
        <v>0</v>
      </c>
      <c r="O42" s="53">
        <f>ATUAL!O42</f>
        <v>0</v>
      </c>
      <c r="P42" s="53">
        <f>ATUAL!P42</f>
        <v>0</v>
      </c>
      <c r="Q42" s="54"/>
      <c r="R42" s="52">
        <f t="shared" si="5"/>
        <v>0</v>
      </c>
      <c r="S42" s="53">
        <f>ATUAL!S42</f>
        <v>0</v>
      </c>
      <c r="T42" s="53">
        <f>ATUAL!T42</f>
        <v>0</v>
      </c>
      <c r="U42" s="53">
        <f>ATUAL!U42</f>
        <v>0</v>
      </c>
      <c r="V42" s="53">
        <f>ATUAL!V42</f>
        <v>0</v>
      </c>
      <c r="W42" s="53">
        <f>ATUAL!W42</f>
        <v>0</v>
      </c>
      <c r="X42" s="55">
        <f t="shared" si="6"/>
        <v>0</v>
      </c>
      <c r="Y42" s="55">
        <f t="shared" si="7"/>
        <v>0</v>
      </c>
    </row>
    <row r="43" spans="10:25" ht="15.75" customHeight="1" x14ac:dyDescent="0.3">
      <c r="J43" s="46"/>
      <c r="K43" s="47">
        <f t="shared" si="4"/>
        <v>0</v>
      </c>
      <c r="L43" s="48">
        <f>ATUAL!L43</f>
        <v>0</v>
      </c>
      <c r="M43" s="48">
        <f>ATUAL!M43</f>
        <v>0</v>
      </c>
      <c r="N43" s="48">
        <f>ATUAL!N43</f>
        <v>0</v>
      </c>
      <c r="O43" s="48">
        <f>ATUAL!O43</f>
        <v>0</v>
      </c>
      <c r="P43" s="48">
        <f>ATUAL!P43</f>
        <v>0</v>
      </c>
      <c r="Q43" s="49"/>
      <c r="R43" s="47">
        <f t="shared" si="5"/>
        <v>0</v>
      </c>
      <c r="S43" s="48">
        <f>ATUAL!S43</f>
        <v>0</v>
      </c>
      <c r="T43" s="48">
        <f>ATUAL!T43</f>
        <v>0</v>
      </c>
      <c r="U43" s="48">
        <f>ATUAL!U43</f>
        <v>0</v>
      </c>
      <c r="V43" s="48">
        <f>ATUAL!V43</f>
        <v>0</v>
      </c>
      <c r="W43" s="48">
        <f>ATUAL!W43</f>
        <v>0</v>
      </c>
      <c r="X43" s="50">
        <f t="shared" si="6"/>
        <v>0</v>
      </c>
      <c r="Y43" s="50">
        <f t="shared" si="7"/>
        <v>0</v>
      </c>
    </row>
    <row r="44" spans="10:25" ht="15.75" customHeight="1" x14ac:dyDescent="0.3">
      <c r="J44" s="51"/>
      <c r="K44" s="52">
        <f t="shared" si="4"/>
        <v>0</v>
      </c>
      <c r="L44" s="53">
        <f>ATUAL!L44</f>
        <v>0</v>
      </c>
      <c r="M44" s="53">
        <f>ATUAL!M44</f>
        <v>0</v>
      </c>
      <c r="N44" s="53">
        <f>ATUAL!N44</f>
        <v>0</v>
      </c>
      <c r="O44" s="53">
        <f>ATUAL!O44</f>
        <v>0</v>
      </c>
      <c r="P44" s="53">
        <f>ATUAL!P44</f>
        <v>0</v>
      </c>
      <c r="Q44" s="54"/>
      <c r="R44" s="52">
        <f t="shared" si="5"/>
        <v>0</v>
      </c>
      <c r="S44" s="53">
        <f>ATUAL!S44</f>
        <v>0</v>
      </c>
      <c r="T44" s="53">
        <f>ATUAL!T44</f>
        <v>0</v>
      </c>
      <c r="U44" s="53">
        <f>ATUAL!U44</f>
        <v>0</v>
      </c>
      <c r="V44" s="53">
        <f>ATUAL!V44</f>
        <v>0</v>
      </c>
      <c r="W44" s="53">
        <f>ATUAL!W44</f>
        <v>0</v>
      </c>
      <c r="X44" s="55">
        <f t="shared" si="6"/>
        <v>0</v>
      </c>
      <c r="Y44" s="55">
        <f t="shared" si="7"/>
        <v>0</v>
      </c>
    </row>
    <row r="45" spans="10:25" ht="15.75" customHeight="1" x14ac:dyDescent="0.3">
      <c r="J45" s="46"/>
      <c r="K45" s="47">
        <f t="shared" si="4"/>
        <v>0</v>
      </c>
      <c r="L45" s="48">
        <f>ATUAL!L45</f>
        <v>0</v>
      </c>
      <c r="M45" s="48">
        <f>ATUAL!M45</f>
        <v>0</v>
      </c>
      <c r="N45" s="48">
        <f>ATUAL!N45</f>
        <v>0</v>
      </c>
      <c r="O45" s="48">
        <f>ATUAL!O45</f>
        <v>0</v>
      </c>
      <c r="P45" s="48">
        <f>ATUAL!P45</f>
        <v>0</v>
      </c>
      <c r="Q45" s="49"/>
      <c r="R45" s="47">
        <f t="shared" si="5"/>
        <v>0</v>
      </c>
      <c r="S45" s="48">
        <f>ATUAL!S45</f>
        <v>0</v>
      </c>
      <c r="T45" s="48">
        <f>ATUAL!T45</f>
        <v>0</v>
      </c>
      <c r="U45" s="48">
        <f>ATUAL!U45</f>
        <v>0</v>
      </c>
      <c r="V45" s="48">
        <f>ATUAL!V45</f>
        <v>0</v>
      </c>
      <c r="W45" s="48">
        <f>ATUAL!W45</f>
        <v>0</v>
      </c>
      <c r="X45" s="50">
        <f t="shared" si="6"/>
        <v>0</v>
      </c>
      <c r="Y45" s="50">
        <f t="shared" si="7"/>
        <v>0</v>
      </c>
    </row>
    <row r="46" spans="10:25" ht="15.75" customHeight="1" x14ac:dyDescent="0.3">
      <c r="J46" s="51"/>
      <c r="K46" s="52">
        <f t="shared" si="4"/>
        <v>0</v>
      </c>
      <c r="L46" s="53">
        <f>ATUAL!L46</f>
        <v>0</v>
      </c>
      <c r="M46" s="53">
        <f>ATUAL!M46</f>
        <v>0</v>
      </c>
      <c r="N46" s="53">
        <f>ATUAL!N46</f>
        <v>0</v>
      </c>
      <c r="O46" s="53">
        <f>ATUAL!O46</f>
        <v>0</v>
      </c>
      <c r="P46" s="53">
        <f>ATUAL!P46</f>
        <v>0</v>
      </c>
      <c r="Q46" s="54"/>
      <c r="R46" s="52">
        <f t="shared" si="5"/>
        <v>0</v>
      </c>
      <c r="S46" s="53">
        <f>ATUAL!S46</f>
        <v>0</v>
      </c>
      <c r="T46" s="53">
        <f>ATUAL!T46</f>
        <v>0</v>
      </c>
      <c r="U46" s="53">
        <f>ATUAL!U46</f>
        <v>0</v>
      </c>
      <c r="V46" s="53">
        <f>ATUAL!V46</f>
        <v>0</v>
      </c>
      <c r="W46" s="53">
        <f>ATUAL!W46</f>
        <v>0</v>
      </c>
      <c r="X46" s="55">
        <f t="shared" si="6"/>
        <v>0</v>
      </c>
      <c r="Y46" s="55">
        <f t="shared" si="7"/>
        <v>0</v>
      </c>
    </row>
    <row r="47" spans="10:25" ht="15.75" customHeight="1" x14ac:dyDescent="0.3">
      <c r="J47" s="46"/>
      <c r="K47" s="47">
        <f t="shared" si="4"/>
        <v>0</v>
      </c>
      <c r="L47" s="48">
        <f>ATUAL!L47</f>
        <v>0</v>
      </c>
      <c r="M47" s="48">
        <f>ATUAL!M47</f>
        <v>0</v>
      </c>
      <c r="N47" s="48">
        <f>ATUAL!N47</f>
        <v>0</v>
      </c>
      <c r="O47" s="48">
        <f>ATUAL!O47</f>
        <v>0</v>
      </c>
      <c r="P47" s="48">
        <f>ATUAL!P47</f>
        <v>0</v>
      </c>
      <c r="Q47" s="49"/>
      <c r="R47" s="47">
        <f t="shared" si="5"/>
        <v>0</v>
      </c>
      <c r="S47" s="48">
        <f>ATUAL!S47</f>
        <v>0</v>
      </c>
      <c r="T47" s="48">
        <f>ATUAL!T47</f>
        <v>0</v>
      </c>
      <c r="U47" s="48">
        <f>ATUAL!U47</f>
        <v>0</v>
      </c>
      <c r="V47" s="48">
        <f>ATUAL!V47</f>
        <v>0</v>
      </c>
      <c r="W47" s="48">
        <f>ATUAL!W47</f>
        <v>0</v>
      </c>
      <c r="X47" s="50">
        <f t="shared" si="6"/>
        <v>0</v>
      </c>
      <c r="Y47" s="50">
        <f t="shared" si="7"/>
        <v>0</v>
      </c>
    </row>
    <row r="48" spans="10:25" ht="15.75" customHeight="1" x14ac:dyDescent="0.3">
      <c r="J48" s="51"/>
      <c r="K48" s="52">
        <f t="shared" si="4"/>
        <v>0</v>
      </c>
      <c r="L48" s="53">
        <f>ATUAL!L48</f>
        <v>0</v>
      </c>
      <c r="M48" s="53">
        <f>ATUAL!M48</f>
        <v>0</v>
      </c>
      <c r="N48" s="53">
        <f>ATUAL!N48</f>
        <v>0</v>
      </c>
      <c r="O48" s="53">
        <f>ATUAL!O48</f>
        <v>0</v>
      </c>
      <c r="P48" s="53">
        <f>ATUAL!P48</f>
        <v>0</v>
      </c>
      <c r="Q48" s="54"/>
      <c r="R48" s="52">
        <f t="shared" si="5"/>
        <v>0</v>
      </c>
      <c r="S48" s="53">
        <f>ATUAL!S48</f>
        <v>0</v>
      </c>
      <c r="T48" s="53">
        <f>ATUAL!T48</f>
        <v>0</v>
      </c>
      <c r="U48" s="53">
        <f>ATUAL!U48</f>
        <v>0</v>
      </c>
      <c r="V48" s="53">
        <f>ATUAL!V48</f>
        <v>0</v>
      </c>
      <c r="W48" s="53">
        <f>ATUAL!W48</f>
        <v>0</v>
      </c>
      <c r="X48" s="55">
        <f t="shared" si="6"/>
        <v>0</v>
      </c>
      <c r="Y48" s="55">
        <f t="shared" si="7"/>
        <v>0</v>
      </c>
    </row>
    <row r="49" spans="10:25" ht="15.75" customHeight="1" x14ac:dyDescent="0.3">
      <c r="J49" s="46"/>
      <c r="K49" s="47">
        <f t="shared" si="4"/>
        <v>0</v>
      </c>
      <c r="L49" s="48">
        <f>ATUAL!L49</f>
        <v>0</v>
      </c>
      <c r="M49" s="48">
        <f>ATUAL!M49</f>
        <v>0</v>
      </c>
      <c r="N49" s="48">
        <f>ATUAL!N49</f>
        <v>0</v>
      </c>
      <c r="O49" s="48">
        <f>ATUAL!O49</f>
        <v>0</v>
      </c>
      <c r="P49" s="48">
        <f>ATUAL!P49</f>
        <v>0</v>
      </c>
      <c r="Q49" s="49"/>
      <c r="R49" s="47">
        <f t="shared" si="5"/>
        <v>0</v>
      </c>
      <c r="S49" s="48">
        <f>ATUAL!S49</f>
        <v>0</v>
      </c>
      <c r="T49" s="48">
        <f>ATUAL!T49</f>
        <v>0</v>
      </c>
      <c r="U49" s="48">
        <f>ATUAL!U49</f>
        <v>0</v>
      </c>
      <c r="V49" s="48">
        <f>ATUAL!V49</f>
        <v>0</v>
      </c>
      <c r="W49" s="48">
        <f>ATUAL!W49</f>
        <v>0</v>
      </c>
      <c r="X49" s="50">
        <f t="shared" si="6"/>
        <v>0</v>
      </c>
      <c r="Y49" s="50">
        <f t="shared" si="7"/>
        <v>0</v>
      </c>
    </row>
    <row r="50" spans="10:25" ht="15.75" customHeight="1" x14ac:dyDescent="0.3">
      <c r="J50" s="51"/>
      <c r="K50" s="52">
        <f t="shared" si="4"/>
        <v>0</v>
      </c>
      <c r="L50" s="53">
        <f>ATUAL!L50</f>
        <v>0</v>
      </c>
      <c r="M50" s="53">
        <f>ATUAL!M50</f>
        <v>0</v>
      </c>
      <c r="N50" s="53">
        <f>ATUAL!N50</f>
        <v>0</v>
      </c>
      <c r="O50" s="53">
        <f>ATUAL!O50</f>
        <v>0</v>
      </c>
      <c r="P50" s="53">
        <f>ATUAL!P50</f>
        <v>0</v>
      </c>
      <c r="Q50" s="54"/>
      <c r="R50" s="52">
        <f t="shared" si="5"/>
        <v>0</v>
      </c>
      <c r="S50" s="53">
        <f>ATUAL!S50</f>
        <v>0</v>
      </c>
      <c r="T50" s="53">
        <f>ATUAL!T50</f>
        <v>0</v>
      </c>
      <c r="U50" s="53">
        <f>ATUAL!U50</f>
        <v>0</v>
      </c>
      <c r="V50" s="53">
        <f>ATUAL!V50</f>
        <v>0</v>
      </c>
      <c r="W50" s="53">
        <f>ATUAL!W50</f>
        <v>0</v>
      </c>
      <c r="X50" s="55">
        <f t="shared" si="6"/>
        <v>0</v>
      </c>
      <c r="Y50" s="55">
        <f t="shared" si="7"/>
        <v>0</v>
      </c>
    </row>
    <row r="51" spans="10:25" ht="15.75" customHeight="1" x14ac:dyDescent="0.3">
      <c r="J51" s="46"/>
      <c r="K51" s="47">
        <f t="shared" si="4"/>
        <v>0</v>
      </c>
      <c r="L51" s="48">
        <f>ATUAL!L51</f>
        <v>0</v>
      </c>
      <c r="M51" s="48">
        <f>ATUAL!M51</f>
        <v>0</v>
      </c>
      <c r="N51" s="48">
        <f>ATUAL!N51</f>
        <v>0</v>
      </c>
      <c r="O51" s="48">
        <f>ATUAL!O51</f>
        <v>0</v>
      </c>
      <c r="P51" s="48">
        <f>ATUAL!P51</f>
        <v>0</v>
      </c>
      <c r="Q51" s="49"/>
      <c r="R51" s="47">
        <f t="shared" si="5"/>
        <v>0</v>
      </c>
      <c r="S51" s="48">
        <f>ATUAL!S51</f>
        <v>0</v>
      </c>
      <c r="T51" s="48">
        <f>ATUAL!T51</f>
        <v>0</v>
      </c>
      <c r="U51" s="48">
        <f>ATUAL!U51</f>
        <v>0</v>
      </c>
      <c r="V51" s="48">
        <f>ATUAL!V51</f>
        <v>0</v>
      </c>
      <c r="W51" s="48">
        <f>ATUAL!W51</f>
        <v>0</v>
      </c>
      <c r="X51" s="50">
        <f t="shared" si="6"/>
        <v>0</v>
      </c>
      <c r="Y51" s="50">
        <f t="shared" si="7"/>
        <v>0</v>
      </c>
    </row>
    <row r="52" spans="10:25" ht="15.75" customHeight="1" x14ac:dyDescent="0.3">
      <c r="J52" s="51"/>
      <c r="K52" s="52">
        <f t="shared" si="4"/>
        <v>0</v>
      </c>
      <c r="L52" s="53">
        <f>ATUAL!L52</f>
        <v>0</v>
      </c>
      <c r="M52" s="53">
        <f>ATUAL!M52</f>
        <v>0</v>
      </c>
      <c r="N52" s="53">
        <f>ATUAL!N52</f>
        <v>0</v>
      </c>
      <c r="O52" s="53">
        <f>ATUAL!O52</f>
        <v>0</v>
      </c>
      <c r="P52" s="53">
        <f>ATUAL!P52</f>
        <v>0</v>
      </c>
      <c r="Q52" s="54"/>
      <c r="R52" s="52">
        <f t="shared" si="5"/>
        <v>0</v>
      </c>
      <c r="S52" s="53">
        <f>ATUAL!S52</f>
        <v>0</v>
      </c>
      <c r="T52" s="53">
        <f>ATUAL!T52</f>
        <v>0</v>
      </c>
      <c r="U52" s="53">
        <f>ATUAL!U52</f>
        <v>0</v>
      </c>
      <c r="V52" s="53">
        <f>ATUAL!V52</f>
        <v>0</v>
      </c>
      <c r="W52" s="53">
        <f>ATUAL!W52</f>
        <v>0</v>
      </c>
      <c r="X52" s="55">
        <f t="shared" si="6"/>
        <v>0</v>
      </c>
      <c r="Y52" s="55">
        <f t="shared" si="7"/>
        <v>0</v>
      </c>
    </row>
    <row r="53" spans="10:25" ht="15.75" customHeight="1" x14ac:dyDescent="0.3">
      <c r="J53" s="46"/>
      <c r="K53" s="47">
        <f t="shared" si="4"/>
        <v>0</v>
      </c>
      <c r="L53" s="48">
        <f>ATUAL!L53</f>
        <v>0</v>
      </c>
      <c r="M53" s="48">
        <f>ATUAL!M53</f>
        <v>0</v>
      </c>
      <c r="N53" s="48">
        <f>ATUAL!N53</f>
        <v>0</v>
      </c>
      <c r="O53" s="48">
        <f>ATUAL!O53</f>
        <v>0</v>
      </c>
      <c r="P53" s="48">
        <f>ATUAL!P53</f>
        <v>0</v>
      </c>
      <c r="Q53" s="49"/>
      <c r="R53" s="47">
        <f t="shared" si="5"/>
        <v>0</v>
      </c>
      <c r="S53" s="48">
        <f>ATUAL!S53</f>
        <v>0</v>
      </c>
      <c r="T53" s="48">
        <f>ATUAL!T53</f>
        <v>0</v>
      </c>
      <c r="U53" s="48">
        <f>ATUAL!U53</f>
        <v>0</v>
      </c>
      <c r="V53" s="48">
        <f>ATUAL!V53</f>
        <v>0</v>
      </c>
      <c r="W53" s="48">
        <f>ATUAL!W53</f>
        <v>0</v>
      </c>
      <c r="X53" s="50">
        <f t="shared" si="6"/>
        <v>0</v>
      </c>
      <c r="Y53" s="50">
        <f t="shared" si="7"/>
        <v>0</v>
      </c>
    </row>
    <row r="54" spans="10:25" ht="15.75" customHeight="1" x14ac:dyDescent="0.3">
      <c r="J54" s="51"/>
      <c r="K54" s="52">
        <f t="shared" si="4"/>
        <v>0</v>
      </c>
      <c r="L54" s="53">
        <f>ATUAL!L54</f>
        <v>0</v>
      </c>
      <c r="M54" s="53">
        <f>ATUAL!M54</f>
        <v>0</v>
      </c>
      <c r="N54" s="53">
        <f>ATUAL!N54</f>
        <v>0</v>
      </c>
      <c r="O54" s="53">
        <f>ATUAL!O54</f>
        <v>0</v>
      </c>
      <c r="P54" s="53">
        <f>ATUAL!P54</f>
        <v>0</v>
      </c>
      <c r="Q54" s="54"/>
      <c r="R54" s="52">
        <f t="shared" si="5"/>
        <v>0</v>
      </c>
      <c r="S54" s="53">
        <f>ATUAL!S54</f>
        <v>0</v>
      </c>
      <c r="T54" s="53">
        <f>ATUAL!T54</f>
        <v>0</v>
      </c>
      <c r="U54" s="53">
        <f>ATUAL!U54</f>
        <v>0</v>
      </c>
      <c r="V54" s="53">
        <f>ATUAL!V54</f>
        <v>0</v>
      </c>
      <c r="W54" s="53">
        <f>ATUAL!W54</f>
        <v>0</v>
      </c>
      <c r="X54" s="55">
        <f t="shared" si="6"/>
        <v>0</v>
      </c>
      <c r="Y54" s="55">
        <f t="shared" si="7"/>
        <v>0</v>
      </c>
    </row>
    <row r="55" spans="10:25" ht="15.75" customHeight="1" x14ac:dyDescent="0.3">
      <c r="J55" s="46"/>
      <c r="K55" s="47">
        <f t="shared" si="4"/>
        <v>0</v>
      </c>
      <c r="L55" s="48">
        <f>ATUAL!L55</f>
        <v>0</v>
      </c>
      <c r="M55" s="48">
        <f>ATUAL!M55</f>
        <v>0</v>
      </c>
      <c r="N55" s="48">
        <f>ATUAL!N55</f>
        <v>0</v>
      </c>
      <c r="O55" s="48">
        <f>ATUAL!O55</f>
        <v>0</v>
      </c>
      <c r="P55" s="48">
        <f>ATUAL!P55</f>
        <v>0</v>
      </c>
      <c r="Q55" s="49"/>
      <c r="R55" s="47">
        <f t="shared" si="5"/>
        <v>0</v>
      </c>
      <c r="S55" s="48">
        <f>ATUAL!S55</f>
        <v>0</v>
      </c>
      <c r="T55" s="48">
        <f>ATUAL!T55</f>
        <v>0</v>
      </c>
      <c r="U55" s="48">
        <f>ATUAL!U55</f>
        <v>0</v>
      </c>
      <c r="V55" s="48">
        <f>ATUAL!V55</f>
        <v>0</v>
      </c>
      <c r="W55" s="48">
        <f>ATUAL!W55</f>
        <v>0</v>
      </c>
      <c r="X55" s="50">
        <f t="shared" si="6"/>
        <v>0</v>
      </c>
      <c r="Y55" s="50">
        <f t="shared" si="7"/>
        <v>0</v>
      </c>
    </row>
    <row r="56" spans="10:25" ht="15.75" customHeight="1" x14ac:dyDescent="0.3">
      <c r="J56" s="51"/>
      <c r="K56" s="52">
        <f t="shared" si="4"/>
        <v>0</v>
      </c>
      <c r="L56" s="53">
        <f>ATUAL!L56</f>
        <v>0</v>
      </c>
      <c r="M56" s="53">
        <f>ATUAL!M56</f>
        <v>0</v>
      </c>
      <c r="N56" s="53">
        <f>ATUAL!N56</f>
        <v>0</v>
      </c>
      <c r="O56" s="53">
        <f>ATUAL!O56</f>
        <v>0</v>
      </c>
      <c r="P56" s="53">
        <f>ATUAL!P56</f>
        <v>0</v>
      </c>
      <c r="Q56" s="54"/>
      <c r="R56" s="52">
        <f t="shared" si="5"/>
        <v>0</v>
      </c>
      <c r="S56" s="53">
        <f>ATUAL!S56</f>
        <v>0</v>
      </c>
      <c r="T56" s="53">
        <f>ATUAL!T56</f>
        <v>0</v>
      </c>
      <c r="U56" s="53">
        <f>ATUAL!U56</f>
        <v>0</v>
      </c>
      <c r="V56" s="53">
        <f>ATUAL!V56</f>
        <v>0</v>
      </c>
      <c r="W56" s="53">
        <f>ATUAL!W56</f>
        <v>0</v>
      </c>
      <c r="X56" s="55">
        <f t="shared" si="6"/>
        <v>0</v>
      </c>
      <c r="Y56" s="55">
        <f t="shared" si="7"/>
        <v>0</v>
      </c>
    </row>
    <row r="57" spans="10:25" ht="15.75" customHeight="1" thickBot="1" x14ac:dyDescent="0.35">
      <c r="J57" s="46"/>
      <c r="K57" s="47">
        <f t="shared" si="4"/>
        <v>0</v>
      </c>
      <c r="L57" s="48">
        <f>ATUAL!L57</f>
        <v>0</v>
      </c>
      <c r="M57" s="48">
        <f>ATUAL!M57</f>
        <v>0</v>
      </c>
      <c r="N57" s="48">
        <f>ATUAL!N57</f>
        <v>0</v>
      </c>
      <c r="O57" s="48">
        <f>ATUAL!O57</f>
        <v>0</v>
      </c>
      <c r="P57" s="48">
        <f>ATUAL!P57</f>
        <v>0</v>
      </c>
      <c r="Q57" s="49"/>
      <c r="R57" s="47">
        <f t="shared" si="5"/>
        <v>0</v>
      </c>
      <c r="S57" s="48">
        <f>ATUAL!S57</f>
        <v>0</v>
      </c>
      <c r="T57" s="48">
        <f>ATUAL!T57</f>
        <v>0</v>
      </c>
      <c r="U57" s="48">
        <f>ATUAL!U57</f>
        <v>0</v>
      </c>
      <c r="V57" s="48">
        <f>ATUAL!V57</f>
        <v>0</v>
      </c>
      <c r="W57" s="48">
        <f>ATUAL!W57</f>
        <v>0</v>
      </c>
      <c r="X57" s="50">
        <f t="shared" si="6"/>
        <v>0</v>
      </c>
      <c r="Y57" s="50">
        <f t="shared" si="7"/>
        <v>0</v>
      </c>
    </row>
    <row r="58" spans="10:25" ht="15.75" customHeight="1" x14ac:dyDescent="0.3"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>
        <f t="shared" si="7"/>
        <v>0</v>
      </c>
    </row>
    <row r="59" spans="10:25" ht="15.75" customHeight="1" x14ac:dyDescent="0.3">
      <c r="X59" s="29">
        <f>SUM(X3:X58)</f>
        <v>0</v>
      </c>
      <c r="Y59" s="29">
        <f>SUM(Y3:Y58)</f>
        <v>0</v>
      </c>
    </row>
    <row r="60" spans="10:25" ht="15.75" customHeight="1" x14ac:dyDescent="0.3"/>
    <row r="61" spans="10:25" ht="15.75" customHeight="1" x14ac:dyDescent="0.3"/>
    <row r="62" spans="10:25" ht="15.75" customHeight="1" x14ac:dyDescent="0.3"/>
    <row r="63" spans="10:25" ht="15.75" customHeight="1" x14ac:dyDescent="0.3"/>
    <row r="64" spans="10:25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4">
    <mergeCell ref="W1:W2"/>
    <mergeCell ref="O1:P1"/>
    <mergeCell ref="B8:C8"/>
    <mergeCell ref="L1:L2"/>
    <mergeCell ref="A3:B3"/>
    <mergeCell ref="N1:N2"/>
    <mergeCell ref="T1:T2"/>
    <mergeCell ref="B7:C7"/>
    <mergeCell ref="C5:D5"/>
    <mergeCell ref="F2:H2"/>
    <mergeCell ref="V1:V2"/>
    <mergeCell ref="K1:K2"/>
    <mergeCell ref="M1:M2"/>
    <mergeCell ref="C4:D4"/>
    <mergeCell ref="A12:E12"/>
    <mergeCell ref="A5:B5"/>
    <mergeCell ref="S1:S2"/>
    <mergeCell ref="A4:B4"/>
    <mergeCell ref="U1:U2"/>
    <mergeCell ref="B6:C6"/>
    <mergeCell ref="A2:D2"/>
    <mergeCell ref="C3:D3"/>
    <mergeCell ref="J1:J2"/>
    <mergeCell ref="R1:R2"/>
  </mergeCells>
  <conditionalFormatting sqref="L3:P57">
    <cfRule type="cellIs" dxfId="20" priority="2" operator="equal">
      <formula>0</formula>
    </cfRule>
  </conditionalFormatting>
  <conditionalFormatting sqref="S3:W57">
    <cfRule type="cellIs" dxfId="19" priority="1" operator="equal">
      <formula>0</formula>
    </cfRule>
  </conditionalFormatting>
  <dataValidations count="3">
    <dataValidation type="whole" operator="greaterThanOrEqual" allowBlank="1" showInputMessage="1" showErrorMessage="1" errorTitle="Valor Inválido" error="O valor digitado deve ser um número inteiro maior ou igual a zero." promptTitle="Quantidade" prompt="Digite um número inteiro (ex: 0, 1, 2...)" sqref="S3:W58 L3:O58" xr:uid="{00000000-0002-0000-0200-000000000000}">
      <formula1>0</formula1>
    </dataValidation>
    <dataValidation type="list" sqref="C3" xr:uid="{00000000-0002-0000-0200-000001000000}">
      <formula1>"CLASSE A,CLASSE B,CLASSE C,CLASSE D"</formula1>
    </dataValidation>
    <dataValidation type="list" showInputMessage="1" showErrorMessage="1" errorTitle="Classe Inválida" error="Selecione uma das classes válidas (CLASSE A, B, C ou D)." promptTitle="Classe de Consumo" prompt="Selecione a classe de consumo deste transformador." sqref="C3" xr:uid="{00000000-0002-0000-0200-000002000000}">
      <formula1>"CLASSE A,CLASSE B,CLASSE C,CLASSE D"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>
    <tabColor rgb="FF366092"/>
  </sheetPr>
  <dimension ref="A1:Y1000"/>
  <sheetViews>
    <sheetView showGridLines="0" zoomScaleNormal="100" workbookViewId="0">
      <pane xSplit="10" ySplit="2" topLeftCell="K3" activePane="bottomRight" state="frozen"/>
      <selection pane="topRight"/>
      <selection pane="bottomLeft"/>
      <selection pane="bottomRight" activeCell="G18" sqref="G18"/>
    </sheetView>
  </sheetViews>
  <sheetFormatPr defaultColWidth="14.44140625" defaultRowHeight="15" customHeight="1" x14ac:dyDescent="0.3"/>
  <cols>
    <col min="1" max="1" width="18.109375" style="25" customWidth="1"/>
    <col min="2" max="2" width="13.88671875" style="25" bestFit="1" customWidth="1"/>
    <col min="3" max="3" width="11" style="25" customWidth="1"/>
    <col min="4" max="4" width="9.5546875" style="25" bestFit="1" customWidth="1"/>
    <col min="5" max="6" width="8.6640625" style="25" customWidth="1"/>
    <col min="7" max="7" width="4.88671875" style="25" customWidth="1"/>
    <col min="8" max="8" width="11" style="25" customWidth="1"/>
    <col min="9" max="9" width="3" style="25" customWidth="1"/>
    <col min="10" max="11" width="8.6640625" style="25" customWidth="1"/>
    <col min="12" max="12" width="9.109375" style="25" customWidth="1"/>
    <col min="13" max="14" width="8.6640625" style="25" customWidth="1"/>
    <col min="15" max="15" width="8.5546875" style="25" customWidth="1"/>
    <col min="16" max="16" width="12.109375" style="25" customWidth="1"/>
    <col min="17" max="17" width="1.88671875" style="25" customWidth="1"/>
    <col min="18" max="18" width="8.6640625" style="25" customWidth="1"/>
    <col min="19" max="23" width="10.44140625" style="25" customWidth="1"/>
    <col min="24" max="25" width="8.6640625" style="29" customWidth="1"/>
    <col min="26" max="26" width="8.6640625" style="25" customWidth="1"/>
    <col min="27" max="34" width="14.44140625" style="25" customWidth="1"/>
    <col min="35" max="16384" width="14.44140625" style="25"/>
  </cols>
  <sheetData>
    <row r="1" spans="1:25" ht="15.75" customHeight="1" thickBot="1" x14ac:dyDescent="0.35">
      <c r="J1" s="123" t="s">
        <v>28</v>
      </c>
      <c r="K1" s="118" t="s">
        <v>17</v>
      </c>
      <c r="L1" s="118" t="s">
        <v>29</v>
      </c>
      <c r="M1" s="118" t="s">
        <v>30</v>
      </c>
      <c r="N1" s="118" t="s">
        <v>31</v>
      </c>
      <c r="O1" s="125" t="s">
        <v>32</v>
      </c>
      <c r="P1" s="127"/>
      <c r="R1" s="123" t="s">
        <v>17</v>
      </c>
      <c r="S1" s="118" t="s">
        <v>33</v>
      </c>
      <c r="T1" s="118" t="s">
        <v>34</v>
      </c>
      <c r="U1" s="118" t="s">
        <v>35</v>
      </c>
      <c r="V1" s="118" t="s">
        <v>36</v>
      </c>
      <c r="W1" s="125" t="s">
        <v>37</v>
      </c>
    </row>
    <row r="2" spans="1:25" ht="15.75" customHeight="1" thickBot="1" x14ac:dyDescent="0.35">
      <c r="A2" s="121" t="s">
        <v>2</v>
      </c>
      <c r="B2" s="93"/>
      <c r="C2" s="93"/>
      <c r="D2" s="94"/>
      <c r="F2" s="130" t="s">
        <v>38</v>
      </c>
      <c r="G2" s="131"/>
      <c r="H2" s="117"/>
      <c r="J2" s="124"/>
      <c r="K2" s="119"/>
      <c r="L2" s="119"/>
      <c r="M2" s="119"/>
      <c r="N2" s="119"/>
      <c r="O2" s="26" t="s">
        <v>39</v>
      </c>
      <c r="P2" s="27" t="s">
        <v>40</v>
      </c>
      <c r="R2" s="124"/>
      <c r="S2" s="119"/>
      <c r="T2" s="119"/>
      <c r="U2" s="119"/>
      <c r="V2" s="119"/>
      <c r="W2" s="126"/>
    </row>
    <row r="3" spans="1:25" ht="15.75" customHeight="1" x14ac:dyDescent="0.3">
      <c r="A3" s="116" t="s">
        <v>3</v>
      </c>
      <c r="B3" s="117"/>
      <c r="C3" s="122" t="str">
        <f>ATUAL!C3</f>
        <v>CLASSE C</v>
      </c>
      <c r="D3" s="117"/>
      <c r="F3" s="73" t="s">
        <v>33</v>
      </c>
      <c r="G3" s="60">
        <f>SUM(S3:S57)</f>
        <v>0</v>
      </c>
      <c r="H3" s="61">
        <v>7.0000000000000007E-2</v>
      </c>
      <c r="J3" s="46" t="s">
        <v>41</v>
      </c>
      <c r="K3" s="47">
        <f t="shared" ref="K3:K34" si="0">SUM(L3:N3)*$C$5+P3</f>
        <v>0</v>
      </c>
      <c r="L3" s="48">
        <f>'ATUAL+NC'!L3</f>
        <v>0</v>
      </c>
      <c r="M3" s="48">
        <f>'ATUAL+NC'!M3</f>
        <v>0</v>
      </c>
      <c r="N3" s="48">
        <f>'ATUAL+NC'!N3</f>
        <v>0</v>
      </c>
      <c r="O3" s="48">
        <f>'ATUAL+NC'!O3</f>
        <v>0</v>
      </c>
      <c r="P3" s="48">
        <f>'ATUAL+NC'!P3</f>
        <v>0</v>
      </c>
      <c r="Q3" s="49"/>
      <c r="R3" s="47">
        <f t="shared" ref="R3:R34" si="1">S3*$H$3+T3*$H$4+U3*$H$5+V3*$H$6+W3*$H$7</f>
        <v>0</v>
      </c>
      <c r="S3" s="48">
        <f>'ATUAL+NC'!S3</f>
        <v>0</v>
      </c>
      <c r="T3" s="48">
        <f>'ATUAL+NC'!T3</f>
        <v>0</v>
      </c>
      <c r="U3" s="48">
        <f>'ATUAL+NC'!U3</f>
        <v>0</v>
      </c>
      <c r="V3" s="48">
        <f>'ATUAL+NC'!V3</f>
        <v>0</v>
      </c>
      <c r="W3" s="48">
        <f>'ATUAL+NC'!W3</f>
        <v>0</v>
      </c>
      <c r="X3" s="50">
        <f t="shared" ref="X3:X34" si="2">SUM(L3:N3)*$C$5+P3</f>
        <v>0</v>
      </c>
      <c r="Y3" s="50">
        <f t="shared" ref="Y3:Y34" si="3">R3</f>
        <v>0</v>
      </c>
    </row>
    <row r="4" spans="1:25" ht="15.75" customHeight="1" x14ac:dyDescent="0.3">
      <c r="A4" s="116" t="s">
        <v>5</v>
      </c>
      <c r="B4" s="117"/>
      <c r="C4" s="132">
        <f>SUM(L3:O58)</f>
        <v>0</v>
      </c>
      <c r="D4" s="117"/>
      <c r="F4" s="73" t="s">
        <v>34</v>
      </c>
      <c r="G4" s="60">
        <f>SUM(T3:T57)</f>
        <v>0</v>
      </c>
      <c r="H4" s="61">
        <v>0.08</v>
      </c>
      <c r="J4" s="51" t="s">
        <v>42</v>
      </c>
      <c r="K4" s="52">
        <f t="shared" si="0"/>
        <v>0</v>
      </c>
      <c r="L4" s="48">
        <f>'ATUAL+NC'!L4</f>
        <v>0</v>
      </c>
      <c r="M4" s="48">
        <f>'ATUAL+NC'!M4</f>
        <v>0</v>
      </c>
      <c r="N4" s="48">
        <f>'ATUAL+NC'!N4</f>
        <v>0</v>
      </c>
      <c r="O4" s="48">
        <f>'ATUAL+NC'!O4</f>
        <v>0</v>
      </c>
      <c r="P4" s="48">
        <f>'ATUAL+NC'!P4</f>
        <v>0</v>
      </c>
      <c r="Q4" s="54"/>
      <c r="R4" s="52">
        <f t="shared" si="1"/>
        <v>0</v>
      </c>
      <c r="S4" s="48">
        <f>'ATUAL+NC'!S4</f>
        <v>0</v>
      </c>
      <c r="T4" s="48">
        <f>'ATUAL+NC'!T4</f>
        <v>0</v>
      </c>
      <c r="U4" s="48">
        <f>'ATUAL+NC'!U4</f>
        <v>0</v>
      </c>
      <c r="V4" s="48">
        <f>'ATUAL+NC'!V4</f>
        <v>0</v>
      </c>
      <c r="W4" s="48">
        <f>'ATUAL+NC'!W4</f>
        <v>0</v>
      </c>
      <c r="X4" s="55">
        <f t="shared" si="2"/>
        <v>0</v>
      </c>
      <c r="Y4" s="55">
        <f t="shared" si="3"/>
        <v>0</v>
      </c>
    </row>
    <row r="5" spans="1:25" ht="15.75" customHeight="1" x14ac:dyDescent="0.3">
      <c r="A5" s="116" t="s">
        <v>6</v>
      </c>
      <c r="B5" s="117"/>
      <c r="C5" s="129">
        <f>IFERROR(INDEX(B14:E21, MATCH(C4, A14:A21, 1), MATCH(C3, B13:E13, 0)), 0)</f>
        <v>0</v>
      </c>
      <c r="D5" s="117"/>
      <c r="F5" s="73" t="s">
        <v>35</v>
      </c>
      <c r="G5" s="60">
        <f>SUM(U3:U57)</f>
        <v>0</v>
      </c>
      <c r="H5" s="61">
        <v>0.125</v>
      </c>
      <c r="J5" s="46" t="s">
        <v>43</v>
      </c>
      <c r="K5" s="47">
        <f t="shared" si="0"/>
        <v>0</v>
      </c>
      <c r="L5" s="48">
        <f>'ATUAL+NC'!L5</f>
        <v>0</v>
      </c>
      <c r="M5" s="48">
        <f>'ATUAL+NC'!M5</f>
        <v>0</v>
      </c>
      <c r="N5" s="48">
        <f>'ATUAL+NC'!N5</f>
        <v>0</v>
      </c>
      <c r="O5" s="48">
        <f>'ATUAL+NC'!O5</f>
        <v>0</v>
      </c>
      <c r="P5" s="48">
        <f>'ATUAL+NC'!P5</f>
        <v>0</v>
      </c>
      <c r="Q5" s="49"/>
      <c r="R5" s="47">
        <f t="shared" si="1"/>
        <v>0</v>
      </c>
      <c r="S5" s="48">
        <f>'ATUAL+NC'!S5</f>
        <v>0</v>
      </c>
      <c r="T5" s="48">
        <f>'ATUAL+NC'!T5</f>
        <v>0</v>
      </c>
      <c r="U5" s="48">
        <f>'ATUAL+NC'!U5</f>
        <v>0</v>
      </c>
      <c r="V5" s="48">
        <f>'ATUAL+NC'!V5</f>
        <v>0</v>
      </c>
      <c r="W5" s="48">
        <f>'ATUAL+NC'!W5</f>
        <v>0</v>
      </c>
      <c r="X5" s="50">
        <f t="shared" si="2"/>
        <v>0</v>
      </c>
      <c r="Y5" s="50">
        <f t="shared" si="3"/>
        <v>0</v>
      </c>
    </row>
    <row r="6" spans="1:25" ht="14.4" customHeight="1" x14ac:dyDescent="0.3">
      <c r="A6" s="62" t="s">
        <v>7</v>
      </c>
      <c r="B6" s="120">
        <f>SUM(L3:N27)</f>
        <v>0</v>
      </c>
      <c r="C6" s="117"/>
      <c r="D6" s="63">
        <f>C5*B6</f>
        <v>0</v>
      </c>
      <c r="F6" s="73" t="s">
        <v>36</v>
      </c>
      <c r="G6" s="60">
        <f>SUM(V3:V57)</f>
        <v>0</v>
      </c>
      <c r="H6" s="61">
        <v>0.25</v>
      </c>
      <c r="J6" s="51" t="s">
        <v>44</v>
      </c>
      <c r="K6" s="52">
        <f t="shared" si="0"/>
        <v>0</v>
      </c>
      <c r="L6" s="48">
        <f>'ATUAL+NC'!L6</f>
        <v>0</v>
      </c>
      <c r="M6" s="48">
        <f>'ATUAL+NC'!M6</f>
        <v>0</v>
      </c>
      <c r="N6" s="48">
        <f>'ATUAL+NC'!N6</f>
        <v>0</v>
      </c>
      <c r="O6" s="48">
        <f>'ATUAL+NC'!O6</f>
        <v>0</v>
      </c>
      <c r="P6" s="48">
        <f>'ATUAL+NC'!P6</f>
        <v>0</v>
      </c>
      <c r="Q6" s="54"/>
      <c r="R6" s="52">
        <f t="shared" si="1"/>
        <v>0</v>
      </c>
      <c r="S6" s="48">
        <f>'ATUAL+NC'!S6</f>
        <v>0</v>
      </c>
      <c r="T6" s="48">
        <f>'ATUAL+NC'!T6</f>
        <v>0</v>
      </c>
      <c r="U6" s="48">
        <f>'ATUAL+NC'!U6</f>
        <v>0</v>
      </c>
      <c r="V6" s="48">
        <f>'ATUAL+NC'!V6</f>
        <v>0</v>
      </c>
      <c r="W6" s="48">
        <f>'ATUAL+NC'!W6</f>
        <v>0</v>
      </c>
      <c r="X6" s="55">
        <f t="shared" si="2"/>
        <v>0</v>
      </c>
      <c r="Y6" s="55">
        <f t="shared" si="3"/>
        <v>0</v>
      </c>
    </row>
    <row r="7" spans="1:25" ht="15.75" customHeight="1" x14ac:dyDescent="0.3">
      <c r="A7" s="62" t="s">
        <v>8</v>
      </c>
      <c r="B7" s="128">
        <f>SUM(G3:G7)</f>
        <v>0</v>
      </c>
      <c r="C7" s="117"/>
      <c r="D7" s="63">
        <f>G3*H3+G4*H4+G5*H5+G6*H6+G7*H7</f>
        <v>0</v>
      </c>
      <c r="F7" s="73" t="s">
        <v>37</v>
      </c>
      <c r="G7" s="60">
        <f>SUM(W3:W57)</f>
        <v>0</v>
      </c>
      <c r="H7" s="61">
        <v>0.4</v>
      </c>
      <c r="J7" s="46" t="s">
        <v>45</v>
      </c>
      <c r="K7" s="47">
        <f t="shared" si="0"/>
        <v>0</v>
      </c>
      <c r="L7" s="48">
        <f>'ATUAL+NC'!L7</f>
        <v>0</v>
      </c>
      <c r="M7" s="48">
        <f>'ATUAL+NC'!M7</f>
        <v>0</v>
      </c>
      <c r="N7" s="48">
        <f>'ATUAL+NC'!N7</f>
        <v>0</v>
      </c>
      <c r="O7" s="48">
        <f>'ATUAL+NC'!O7</f>
        <v>0</v>
      </c>
      <c r="P7" s="48">
        <f>'ATUAL+NC'!P7</f>
        <v>0</v>
      </c>
      <c r="Q7" s="49"/>
      <c r="R7" s="47">
        <f t="shared" si="1"/>
        <v>0</v>
      </c>
      <c r="S7" s="48">
        <f>'ATUAL+NC'!S7</f>
        <v>0</v>
      </c>
      <c r="T7" s="48">
        <f>'ATUAL+NC'!T7</f>
        <v>0</v>
      </c>
      <c r="U7" s="48">
        <f>'ATUAL+NC'!U7</f>
        <v>0</v>
      </c>
      <c r="V7" s="48">
        <f>'ATUAL+NC'!V7</f>
        <v>0</v>
      </c>
      <c r="W7" s="48">
        <f>'ATUAL+NC'!W7</f>
        <v>0</v>
      </c>
      <c r="X7" s="50">
        <f t="shared" si="2"/>
        <v>0</v>
      </c>
      <c r="Y7" s="50">
        <f t="shared" si="3"/>
        <v>0</v>
      </c>
    </row>
    <row r="8" spans="1:25" ht="14.4" customHeight="1" x14ac:dyDescent="0.3">
      <c r="A8" s="62" t="s">
        <v>9</v>
      </c>
      <c r="B8" s="120">
        <f>SUM(O3:O27)</f>
        <v>0</v>
      </c>
      <c r="C8" s="117"/>
      <c r="D8" s="64">
        <f>SUM(P3:P58)</f>
        <v>0</v>
      </c>
      <c r="J8" s="51" t="s">
        <v>46</v>
      </c>
      <c r="K8" s="52">
        <f t="shared" si="0"/>
        <v>0</v>
      </c>
      <c r="L8" s="48">
        <f>'ATUAL+NC'!L8</f>
        <v>0</v>
      </c>
      <c r="M8" s="48">
        <f>'ATUAL+NC'!M8</f>
        <v>0</v>
      </c>
      <c r="N8" s="48">
        <f>'ATUAL+NC'!N8</f>
        <v>0</v>
      </c>
      <c r="O8" s="48">
        <f>'ATUAL+NC'!O8</f>
        <v>0</v>
      </c>
      <c r="P8" s="48">
        <f>'ATUAL+NC'!P8</f>
        <v>0</v>
      </c>
      <c r="Q8" s="54"/>
      <c r="R8" s="52">
        <f t="shared" si="1"/>
        <v>0</v>
      </c>
      <c r="S8" s="48">
        <f>'ATUAL+NC'!S8</f>
        <v>0</v>
      </c>
      <c r="T8" s="48">
        <f>'ATUAL+NC'!T8</f>
        <v>0</v>
      </c>
      <c r="U8" s="48">
        <f>'ATUAL+NC'!U8</f>
        <v>0</v>
      </c>
      <c r="V8" s="48">
        <f>'ATUAL+NC'!V8</f>
        <v>0</v>
      </c>
      <c r="W8" s="48">
        <f>'ATUAL+NC'!W8</f>
        <v>0</v>
      </c>
      <c r="X8" s="55">
        <f t="shared" si="2"/>
        <v>0</v>
      </c>
      <c r="Y8" s="55">
        <f t="shared" si="3"/>
        <v>0</v>
      </c>
    </row>
    <row r="9" spans="1:25" ht="14.4" customHeight="1" x14ac:dyDescent="0.3">
      <c r="B9" s="58" t="s">
        <v>10</v>
      </c>
      <c r="C9" s="58" t="s">
        <v>11</v>
      </c>
      <c r="D9" s="64"/>
      <c r="J9" s="46" t="s">
        <v>47</v>
      </c>
      <c r="K9" s="47">
        <f t="shared" si="0"/>
        <v>0</v>
      </c>
      <c r="L9" s="48">
        <f>'ATUAL+NC'!L9</f>
        <v>0</v>
      </c>
      <c r="M9" s="48">
        <f>'ATUAL+NC'!M9</f>
        <v>0</v>
      </c>
      <c r="N9" s="48">
        <f>'ATUAL+NC'!N9</f>
        <v>0</v>
      </c>
      <c r="O9" s="48">
        <f>'ATUAL+NC'!O9</f>
        <v>0</v>
      </c>
      <c r="P9" s="48">
        <f>'ATUAL+NC'!P9</f>
        <v>0</v>
      </c>
      <c r="Q9" s="49"/>
      <c r="R9" s="47">
        <f t="shared" si="1"/>
        <v>0</v>
      </c>
      <c r="S9" s="48">
        <f>'ATUAL+NC'!S9</f>
        <v>0</v>
      </c>
      <c r="T9" s="48">
        <f>'ATUAL+NC'!T9</f>
        <v>0</v>
      </c>
      <c r="U9" s="48">
        <f>'ATUAL+NC'!U9</f>
        <v>0</v>
      </c>
      <c r="V9" s="48">
        <f>'ATUAL+NC'!V9</f>
        <v>0</v>
      </c>
      <c r="W9" s="48">
        <f>'ATUAL+NC'!W9</f>
        <v>0</v>
      </c>
      <c r="X9" s="50">
        <f t="shared" si="2"/>
        <v>0</v>
      </c>
      <c r="Y9" s="50">
        <f t="shared" si="3"/>
        <v>0</v>
      </c>
    </row>
    <row r="10" spans="1:25" ht="14.4" customHeight="1" thickBot="1" x14ac:dyDescent="0.35">
      <c r="A10" s="65" t="s">
        <v>12</v>
      </c>
      <c r="B10" s="66">
        <f>D10/C10</f>
        <v>0</v>
      </c>
      <c r="C10" s="67">
        <v>150</v>
      </c>
      <c r="D10" s="68">
        <f>SUM(D6:D9)</f>
        <v>0</v>
      </c>
      <c r="J10" s="51" t="s">
        <v>48</v>
      </c>
      <c r="K10" s="52">
        <f t="shared" si="0"/>
        <v>0</v>
      </c>
      <c r="L10" s="48">
        <f>'ATUAL+NC'!L10</f>
        <v>0</v>
      </c>
      <c r="M10" s="48">
        <f>'ATUAL+NC'!M10</f>
        <v>0</v>
      </c>
      <c r="N10" s="48">
        <f>'ATUAL+NC'!N10</f>
        <v>0</v>
      </c>
      <c r="O10" s="48">
        <f>'ATUAL+NC'!O10</f>
        <v>0</v>
      </c>
      <c r="P10" s="48">
        <f>'ATUAL+NC'!P10</f>
        <v>0</v>
      </c>
      <c r="Q10" s="54"/>
      <c r="R10" s="52">
        <f t="shared" si="1"/>
        <v>0</v>
      </c>
      <c r="S10" s="48">
        <f>'ATUAL+NC'!S10</f>
        <v>0</v>
      </c>
      <c r="T10" s="48">
        <f>'ATUAL+NC'!T10</f>
        <v>0</v>
      </c>
      <c r="U10" s="48">
        <f>'ATUAL+NC'!U10</f>
        <v>0</v>
      </c>
      <c r="V10" s="48">
        <f>'ATUAL+NC'!V10</f>
        <v>0</v>
      </c>
      <c r="W10" s="48">
        <f>'ATUAL+NC'!W10</f>
        <v>0</v>
      </c>
      <c r="X10" s="55">
        <f t="shared" si="2"/>
        <v>0</v>
      </c>
      <c r="Y10" s="55">
        <f t="shared" si="3"/>
        <v>0</v>
      </c>
    </row>
    <row r="11" spans="1:25" ht="14.4" customHeight="1" thickTop="1" x14ac:dyDescent="0.3">
      <c r="B11" s="28"/>
      <c r="J11" s="46" t="s">
        <v>49</v>
      </c>
      <c r="K11" s="47">
        <f t="shared" si="0"/>
        <v>0</v>
      </c>
      <c r="L11" s="48">
        <f>'ATUAL+NC'!L11</f>
        <v>0</v>
      </c>
      <c r="M11" s="48">
        <f>'ATUAL+NC'!M11</f>
        <v>0</v>
      </c>
      <c r="N11" s="48">
        <f>'ATUAL+NC'!N11</f>
        <v>0</v>
      </c>
      <c r="O11" s="48">
        <f>'ATUAL+NC'!O11</f>
        <v>0</v>
      </c>
      <c r="P11" s="48">
        <f>'ATUAL+NC'!P11</f>
        <v>0</v>
      </c>
      <c r="Q11" s="49"/>
      <c r="R11" s="47">
        <f t="shared" si="1"/>
        <v>0</v>
      </c>
      <c r="S11" s="48">
        <f>'ATUAL+NC'!S11</f>
        <v>0</v>
      </c>
      <c r="T11" s="48">
        <f>'ATUAL+NC'!T11</f>
        <v>0</v>
      </c>
      <c r="U11" s="48">
        <f>'ATUAL+NC'!U11</f>
        <v>0</v>
      </c>
      <c r="V11" s="48">
        <f>'ATUAL+NC'!V11</f>
        <v>0</v>
      </c>
      <c r="W11" s="48">
        <f>'ATUAL+NC'!W11</f>
        <v>0</v>
      </c>
      <c r="X11" s="50">
        <f t="shared" si="2"/>
        <v>0</v>
      </c>
      <c r="Y11" s="50">
        <f t="shared" si="3"/>
        <v>0</v>
      </c>
    </row>
    <row r="12" spans="1:25" ht="14.4" customHeight="1" x14ac:dyDescent="0.3">
      <c r="A12" s="114" t="s">
        <v>50</v>
      </c>
      <c r="B12" s="115"/>
      <c r="C12" s="115"/>
      <c r="D12" s="115"/>
      <c r="E12" s="115"/>
      <c r="J12" s="51" t="s">
        <v>51</v>
      </c>
      <c r="K12" s="52">
        <f t="shared" si="0"/>
        <v>0</v>
      </c>
      <c r="L12" s="48">
        <f>'ATUAL+NC'!L12</f>
        <v>0</v>
      </c>
      <c r="M12" s="48">
        <f>'ATUAL+NC'!M12</f>
        <v>0</v>
      </c>
      <c r="N12" s="48">
        <f>'ATUAL+NC'!N12</f>
        <v>0</v>
      </c>
      <c r="O12" s="48">
        <f>'ATUAL+NC'!O12</f>
        <v>0</v>
      </c>
      <c r="P12" s="48">
        <f>'ATUAL+NC'!P12</f>
        <v>0</v>
      </c>
      <c r="Q12" s="54"/>
      <c r="R12" s="52">
        <f t="shared" si="1"/>
        <v>0</v>
      </c>
      <c r="S12" s="48">
        <f>'ATUAL+NC'!S12</f>
        <v>0</v>
      </c>
      <c r="T12" s="48">
        <f>'ATUAL+NC'!T12</f>
        <v>0</v>
      </c>
      <c r="U12" s="48">
        <f>'ATUAL+NC'!U12</f>
        <v>0</v>
      </c>
      <c r="V12" s="48">
        <f>'ATUAL+NC'!V12</f>
        <v>0</v>
      </c>
      <c r="W12" s="48">
        <f>'ATUAL+NC'!W12</f>
        <v>0</v>
      </c>
      <c r="X12" s="55">
        <f t="shared" si="2"/>
        <v>0</v>
      </c>
      <c r="Y12" s="55">
        <f t="shared" si="3"/>
        <v>0</v>
      </c>
    </row>
    <row r="13" spans="1:25" ht="14.4" customHeight="1" x14ac:dyDescent="0.3">
      <c r="A13" s="59" t="s">
        <v>52</v>
      </c>
      <c r="B13" s="59" t="s">
        <v>53</v>
      </c>
      <c r="C13" s="59" t="s">
        <v>54</v>
      </c>
      <c r="D13" s="59" t="s">
        <v>4</v>
      </c>
      <c r="E13" s="59" t="s">
        <v>55</v>
      </c>
      <c r="J13" s="46" t="s">
        <v>72</v>
      </c>
      <c r="K13" s="47">
        <f t="shared" si="0"/>
        <v>0</v>
      </c>
      <c r="L13" s="48">
        <f>'ATUAL+NC'!L13</f>
        <v>0</v>
      </c>
      <c r="M13" s="48">
        <f>'ATUAL+NC'!M13</f>
        <v>0</v>
      </c>
      <c r="N13" s="48">
        <f>'ATUAL+NC'!N13</f>
        <v>0</v>
      </c>
      <c r="O13" s="48">
        <f>'ATUAL+NC'!O13</f>
        <v>0</v>
      </c>
      <c r="P13" s="48">
        <f>'ATUAL+NC'!P13</f>
        <v>0</v>
      </c>
      <c r="Q13" s="49"/>
      <c r="R13" s="47">
        <f t="shared" si="1"/>
        <v>0</v>
      </c>
      <c r="S13" s="48">
        <f>'ATUAL+NC'!S13</f>
        <v>0</v>
      </c>
      <c r="T13" s="48">
        <f>'ATUAL+NC'!T13</f>
        <v>0</v>
      </c>
      <c r="U13" s="48">
        <f>'ATUAL+NC'!U13</f>
        <v>0</v>
      </c>
      <c r="V13" s="48">
        <f>'ATUAL+NC'!V13</f>
        <v>0</v>
      </c>
      <c r="W13" s="48">
        <f>'ATUAL+NC'!W13</f>
        <v>0</v>
      </c>
      <c r="X13" s="50">
        <f t="shared" si="2"/>
        <v>0</v>
      </c>
      <c r="Y13" s="50">
        <f t="shared" si="3"/>
        <v>0</v>
      </c>
    </row>
    <row r="14" spans="1:25" ht="14.4" customHeight="1" x14ac:dyDescent="0.3">
      <c r="A14" s="69">
        <v>1</v>
      </c>
      <c r="B14" s="70">
        <v>1</v>
      </c>
      <c r="C14" s="70">
        <v>1.6</v>
      </c>
      <c r="D14" s="70">
        <v>2.6</v>
      </c>
      <c r="E14" s="70">
        <v>4</v>
      </c>
      <c r="J14" s="51" t="s">
        <v>56</v>
      </c>
      <c r="K14" s="52">
        <f t="shared" si="0"/>
        <v>0</v>
      </c>
      <c r="L14" s="48">
        <f>'ATUAL+NC'!L14</f>
        <v>0</v>
      </c>
      <c r="M14" s="48">
        <f>'ATUAL+NC'!M14</f>
        <v>0</v>
      </c>
      <c r="N14" s="48">
        <f>'ATUAL+NC'!N14</f>
        <v>0</v>
      </c>
      <c r="O14" s="48">
        <f>'ATUAL+NC'!O14</f>
        <v>0</v>
      </c>
      <c r="P14" s="48">
        <f>'ATUAL+NC'!P14</f>
        <v>0</v>
      </c>
      <c r="Q14" s="54"/>
      <c r="R14" s="52">
        <f t="shared" si="1"/>
        <v>0</v>
      </c>
      <c r="S14" s="48">
        <f>'ATUAL+NC'!S14</f>
        <v>0</v>
      </c>
      <c r="T14" s="48">
        <f>'ATUAL+NC'!T14</f>
        <v>0</v>
      </c>
      <c r="U14" s="48">
        <f>'ATUAL+NC'!U14</f>
        <v>0</v>
      </c>
      <c r="V14" s="48">
        <f>'ATUAL+NC'!V14</f>
        <v>0</v>
      </c>
      <c r="W14" s="48">
        <f>'ATUAL+NC'!W14</f>
        <v>0</v>
      </c>
      <c r="X14" s="55">
        <f t="shared" si="2"/>
        <v>0</v>
      </c>
      <c r="Y14" s="55">
        <f t="shared" si="3"/>
        <v>0</v>
      </c>
    </row>
    <row r="15" spans="1:25" ht="14.4" customHeight="1" x14ac:dyDescent="0.3">
      <c r="A15" s="71">
        <v>6</v>
      </c>
      <c r="B15" s="72">
        <v>0.9</v>
      </c>
      <c r="C15" s="72">
        <v>1.4</v>
      </c>
      <c r="D15" s="72">
        <v>2.2000000000000002</v>
      </c>
      <c r="E15" s="72">
        <v>3.4</v>
      </c>
      <c r="J15" s="46" t="s">
        <v>57</v>
      </c>
      <c r="K15" s="47">
        <f t="shared" si="0"/>
        <v>0</v>
      </c>
      <c r="L15" s="48">
        <f>'ATUAL+NC'!L15</f>
        <v>0</v>
      </c>
      <c r="M15" s="48">
        <f>'ATUAL+NC'!M15</f>
        <v>0</v>
      </c>
      <c r="N15" s="48">
        <f>'ATUAL+NC'!N15</f>
        <v>0</v>
      </c>
      <c r="O15" s="48">
        <f>'ATUAL+NC'!O15</f>
        <v>0</v>
      </c>
      <c r="P15" s="48">
        <f>'ATUAL+NC'!P15</f>
        <v>0</v>
      </c>
      <c r="Q15" s="49"/>
      <c r="R15" s="47">
        <f t="shared" si="1"/>
        <v>0</v>
      </c>
      <c r="S15" s="48">
        <f>'ATUAL+NC'!S15</f>
        <v>0</v>
      </c>
      <c r="T15" s="48">
        <f>'ATUAL+NC'!T15</f>
        <v>0</v>
      </c>
      <c r="U15" s="48">
        <f>'ATUAL+NC'!U15</f>
        <v>0</v>
      </c>
      <c r="V15" s="48">
        <f>'ATUAL+NC'!V15</f>
        <v>0</v>
      </c>
      <c r="W15" s="48">
        <f>'ATUAL+NC'!W15</f>
        <v>0</v>
      </c>
      <c r="X15" s="50">
        <f t="shared" si="2"/>
        <v>0</v>
      </c>
      <c r="Y15" s="50">
        <f t="shared" si="3"/>
        <v>0</v>
      </c>
    </row>
    <row r="16" spans="1:25" ht="14.4" customHeight="1" x14ac:dyDescent="0.3">
      <c r="A16" s="69">
        <v>11</v>
      </c>
      <c r="B16" s="70">
        <v>0.8</v>
      </c>
      <c r="C16" s="70">
        <v>1.2</v>
      </c>
      <c r="D16" s="70">
        <v>1.9</v>
      </c>
      <c r="E16" s="70">
        <v>3</v>
      </c>
      <c r="J16" s="51" t="s">
        <v>58</v>
      </c>
      <c r="K16" s="52">
        <f t="shared" si="0"/>
        <v>0</v>
      </c>
      <c r="L16" s="48">
        <f>'ATUAL+NC'!L16</f>
        <v>0</v>
      </c>
      <c r="M16" s="48">
        <f>'ATUAL+NC'!M16</f>
        <v>0</v>
      </c>
      <c r="N16" s="48">
        <f>'ATUAL+NC'!N16</f>
        <v>0</v>
      </c>
      <c r="O16" s="48">
        <f>'ATUAL+NC'!O16</f>
        <v>0</v>
      </c>
      <c r="P16" s="48">
        <f>'ATUAL+NC'!P16</f>
        <v>0</v>
      </c>
      <c r="Q16" s="54"/>
      <c r="R16" s="52">
        <f t="shared" si="1"/>
        <v>0</v>
      </c>
      <c r="S16" s="48">
        <f>'ATUAL+NC'!S16</f>
        <v>0</v>
      </c>
      <c r="T16" s="48">
        <f>'ATUAL+NC'!T16</f>
        <v>0</v>
      </c>
      <c r="U16" s="48">
        <f>'ATUAL+NC'!U16</f>
        <v>0</v>
      </c>
      <c r="V16" s="48">
        <f>'ATUAL+NC'!V16</f>
        <v>0</v>
      </c>
      <c r="W16" s="48">
        <f>'ATUAL+NC'!W16</f>
        <v>0</v>
      </c>
      <c r="X16" s="55">
        <f t="shared" si="2"/>
        <v>0</v>
      </c>
      <c r="Y16" s="55">
        <f t="shared" si="3"/>
        <v>0</v>
      </c>
    </row>
    <row r="17" spans="1:25" ht="14.4" customHeight="1" x14ac:dyDescent="0.3">
      <c r="A17" s="71">
        <v>16</v>
      </c>
      <c r="B17" s="72">
        <v>0.7</v>
      </c>
      <c r="C17" s="72">
        <v>1.1000000000000001</v>
      </c>
      <c r="D17" s="72">
        <v>1.7</v>
      </c>
      <c r="E17" s="72">
        <v>2.6</v>
      </c>
      <c r="J17" s="46" t="s">
        <v>59</v>
      </c>
      <c r="K17" s="47">
        <f t="shared" si="0"/>
        <v>0</v>
      </c>
      <c r="L17" s="48">
        <f>'ATUAL+NC'!L17</f>
        <v>0</v>
      </c>
      <c r="M17" s="48">
        <f>'ATUAL+NC'!M17</f>
        <v>0</v>
      </c>
      <c r="N17" s="48">
        <f>'ATUAL+NC'!N17</f>
        <v>0</v>
      </c>
      <c r="O17" s="48">
        <f>'ATUAL+NC'!O17</f>
        <v>0</v>
      </c>
      <c r="P17" s="48">
        <f>'ATUAL+NC'!P17</f>
        <v>0</v>
      </c>
      <c r="Q17" s="49"/>
      <c r="R17" s="47">
        <f t="shared" si="1"/>
        <v>0</v>
      </c>
      <c r="S17" s="48">
        <f>'ATUAL+NC'!S17</f>
        <v>0</v>
      </c>
      <c r="T17" s="48">
        <f>'ATUAL+NC'!T17</f>
        <v>0</v>
      </c>
      <c r="U17" s="48">
        <f>'ATUAL+NC'!U17</f>
        <v>0</v>
      </c>
      <c r="V17" s="48">
        <f>'ATUAL+NC'!V17</f>
        <v>0</v>
      </c>
      <c r="W17" s="48">
        <f>'ATUAL+NC'!W17</f>
        <v>0</v>
      </c>
      <c r="X17" s="50">
        <f t="shared" si="2"/>
        <v>0</v>
      </c>
      <c r="Y17" s="50">
        <f t="shared" si="3"/>
        <v>0</v>
      </c>
    </row>
    <row r="18" spans="1:25" ht="14.4" customHeight="1" x14ac:dyDescent="0.3">
      <c r="A18" s="69">
        <v>21</v>
      </c>
      <c r="B18" s="70">
        <v>0.6</v>
      </c>
      <c r="C18" s="70">
        <v>0.9</v>
      </c>
      <c r="D18" s="70">
        <v>1.5</v>
      </c>
      <c r="E18" s="70">
        <v>2.2999999999999998</v>
      </c>
      <c r="J18" s="51" t="s">
        <v>60</v>
      </c>
      <c r="K18" s="52">
        <f t="shared" si="0"/>
        <v>0</v>
      </c>
      <c r="L18" s="48">
        <f>'ATUAL+NC'!L18</f>
        <v>0</v>
      </c>
      <c r="M18" s="48">
        <f>'ATUAL+NC'!M18</f>
        <v>0</v>
      </c>
      <c r="N18" s="48">
        <f>'ATUAL+NC'!N18</f>
        <v>0</v>
      </c>
      <c r="O18" s="48">
        <f>'ATUAL+NC'!O18</f>
        <v>0</v>
      </c>
      <c r="P18" s="48">
        <f>'ATUAL+NC'!P18</f>
        <v>0</v>
      </c>
      <c r="Q18" s="54"/>
      <c r="R18" s="52">
        <f t="shared" si="1"/>
        <v>0</v>
      </c>
      <c r="S18" s="48">
        <f>'ATUAL+NC'!S18</f>
        <v>0</v>
      </c>
      <c r="T18" s="48">
        <f>'ATUAL+NC'!T18</f>
        <v>0</v>
      </c>
      <c r="U18" s="48">
        <f>'ATUAL+NC'!U18</f>
        <v>0</v>
      </c>
      <c r="V18" s="48">
        <f>'ATUAL+NC'!V18</f>
        <v>0</v>
      </c>
      <c r="W18" s="48">
        <f>'ATUAL+NC'!W18</f>
        <v>0</v>
      </c>
      <c r="X18" s="55">
        <f t="shared" si="2"/>
        <v>0</v>
      </c>
      <c r="Y18" s="55">
        <f t="shared" si="3"/>
        <v>0</v>
      </c>
    </row>
    <row r="19" spans="1:25" ht="14.4" customHeight="1" x14ac:dyDescent="0.3">
      <c r="A19" s="71">
        <v>26</v>
      </c>
      <c r="B19" s="72">
        <v>0.5</v>
      </c>
      <c r="C19" s="72">
        <v>0.9</v>
      </c>
      <c r="D19" s="72">
        <v>1.4</v>
      </c>
      <c r="E19" s="72">
        <v>2.1</v>
      </c>
      <c r="H19" s="88"/>
      <c r="J19" s="46" t="s">
        <v>61</v>
      </c>
      <c r="K19" s="47">
        <f t="shared" si="0"/>
        <v>0</v>
      </c>
      <c r="L19" s="48">
        <f>'ATUAL+NC'!L19</f>
        <v>0</v>
      </c>
      <c r="M19" s="48">
        <f>'ATUAL+NC'!M19</f>
        <v>0</v>
      </c>
      <c r="N19" s="48">
        <f>'ATUAL+NC'!N19</f>
        <v>0</v>
      </c>
      <c r="O19" s="48">
        <f>'ATUAL+NC'!O19</f>
        <v>0</v>
      </c>
      <c r="P19" s="48">
        <f>'ATUAL+NC'!P19</f>
        <v>0</v>
      </c>
      <c r="Q19" s="49"/>
      <c r="R19" s="47">
        <f t="shared" si="1"/>
        <v>0</v>
      </c>
      <c r="S19" s="48">
        <f>'ATUAL+NC'!S19</f>
        <v>0</v>
      </c>
      <c r="T19" s="48">
        <f>'ATUAL+NC'!T19</f>
        <v>0</v>
      </c>
      <c r="U19" s="48">
        <f>'ATUAL+NC'!U19</f>
        <v>0</v>
      </c>
      <c r="V19" s="48">
        <f>'ATUAL+NC'!V19</f>
        <v>0</v>
      </c>
      <c r="W19" s="48">
        <f>'ATUAL+NC'!W19</f>
        <v>0</v>
      </c>
      <c r="X19" s="50">
        <f t="shared" si="2"/>
        <v>0</v>
      </c>
      <c r="Y19" s="50">
        <f t="shared" si="3"/>
        <v>0</v>
      </c>
    </row>
    <row r="20" spans="1:25" ht="14.4" customHeight="1" x14ac:dyDescent="0.3">
      <c r="A20" s="69">
        <v>31</v>
      </c>
      <c r="B20" s="70">
        <v>0.5</v>
      </c>
      <c r="C20" s="70">
        <v>0.8</v>
      </c>
      <c r="D20" s="70">
        <v>1.3</v>
      </c>
      <c r="E20" s="70">
        <v>2</v>
      </c>
      <c r="J20" s="51" t="s">
        <v>62</v>
      </c>
      <c r="K20" s="52">
        <f t="shared" si="0"/>
        <v>0</v>
      </c>
      <c r="L20" s="48">
        <f>'ATUAL+NC'!L20</f>
        <v>0</v>
      </c>
      <c r="M20" s="48">
        <f>'ATUAL+NC'!M20</f>
        <v>0</v>
      </c>
      <c r="N20" s="48">
        <f>'ATUAL+NC'!N20</f>
        <v>0</v>
      </c>
      <c r="O20" s="48">
        <f>'ATUAL+NC'!O20</f>
        <v>0</v>
      </c>
      <c r="P20" s="48">
        <f>'ATUAL+NC'!P20</f>
        <v>0</v>
      </c>
      <c r="Q20" s="54"/>
      <c r="R20" s="52">
        <f t="shared" si="1"/>
        <v>0</v>
      </c>
      <c r="S20" s="48">
        <f>'ATUAL+NC'!S20</f>
        <v>0</v>
      </c>
      <c r="T20" s="48">
        <f>'ATUAL+NC'!T20</f>
        <v>0</v>
      </c>
      <c r="U20" s="48">
        <f>'ATUAL+NC'!U20</f>
        <v>0</v>
      </c>
      <c r="V20" s="48">
        <f>'ATUAL+NC'!V20</f>
        <v>0</v>
      </c>
      <c r="W20" s="48">
        <f>'ATUAL+NC'!W20</f>
        <v>0</v>
      </c>
      <c r="X20" s="55">
        <f t="shared" si="2"/>
        <v>0</v>
      </c>
      <c r="Y20" s="55">
        <f t="shared" si="3"/>
        <v>0</v>
      </c>
    </row>
    <row r="21" spans="1:25" ht="15.75" customHeight="1" x14ac:dyDescent="0.3">
      <c r="A21" s="71">
        <v>41</v>
      </c>
      <c r="B21" s="72">
        <v>0.5</v>
      </c>
      <c r="C21" s="72">
        <v>0.8</v>
      </c>
      <c r="D21" s="72">
        <v>1.3</v>
      </c>
      <c r="E21" s="72">
        <v>2</v>
      </c>
      <c r="J21" s="46" t="s">
        <v>63</v>
      </c>
      <c r="K21" s="47">
        <f t="shared" si="0"/>
        <v>0</v>
      </c>
      <c r="L21" s="48">
        <f>'ATUAL+NC'!L21</f>
        <v>0</v>
      </c>
      <c r="M21" s="48">
        <f>'ATUAL+NC'!M21</f>
        <v>0</v>
      </c>
      <c r="N21" s="48">
        <f>'ATUAL+NC'!N21</f>
        <v>0</v>
      </c>
      <c r="O21" s="48">
        <f>'ATUAL+NC'!O21</f>
        <v>0</v>
      </c>
      <c r="P21" s="48">
        <f>'ATUAL+NC'!P21</f>
        <v>0</v>
      </c>
      <c r="Q21" s="49"/>
      <c r="R21" s="47">
        <f t="shared" si="1"/>
        <v>0</v>
      </c>
      <c r="S21" s="48">
        <f>'ATUAL+NC'!S21</f>
        <v>0</v>
      </c>
      <c r="T21" s="48">
        <f>'ATUAL+NC'!T21</f>
        <v>0</v>
      </c>
      <c r="U21" s="48">
        <f>'ATUAL+NC'!U21</f>
        <v>0</v>
      </c>
      <c r="V21" s="48">
        <f>'ATUAL+NC'!V21</f>
        <v>0</v>
      </c>
      <c r="W21" s="48">
        <f>'ATUAL+NC'!W21</f>
        <v>0</v>
      </c>
      <c r="X21" s="50">
        <f t="shared" si="2"/>
        <v>0</v>
      </c>
      <c r="Y21" s="50">
        <f t="shared" si="3"/>
        <v>0</v>
      </c>
    </row>
    <row r="22" spans="1:25" ht="15.75" customHeight="1" x14ac:dyDescent="0.3">
      <c r="J22" s="51" t="s">
        <v>64</v>
      </c>
      <c r="K22" s="52">
        <f t="shared" si="0"/>
        <v>0</v>
      </c>
      <c r="L22" s="48">
        <f>'ATUAL+NC'!L22</f>
        <v>0</v>
      </c>
      <c r="M22" s="48">
        <f>'ATUAL+NC'!M22</f>
        <v>0</v>
      </c>
      <c r="N22" s="48">
        <f>'ATUAL+NC'!N22</f>
        <v>0</v>
      </c>
      <c r="O22" s="48">
        <f>'ATUAL+NC'!O22</f>
        <v>0</v>
      </c>
      <c r="P22" s="48">
        <f>'ATUAL+NC'!P22</f>
        <v>0</v>
      </c>
      <c r="Q22" s="54"/>
      <c r="R22" s="52">
        <f t="shared" si="1"/>
        <v>0</v>
      </c>
      <c r="S22" s="48">
        <f>'ATUAL+NC'!S22</f>
        <v>0</v>
      </c>
      <c r="T22" s="48">
        <f>'ATUAL+NC'!T22</f>
        <v>0</v>
      </c>
      <c r="U22" s="48">
        <f>'ATUAL+NC'!U22</f>
        <v>0</v>
      </c>
      <c r="V22" s="48">
        <f>'ATUAL+NC'!V22</f>
        <v>0</v>
      </c>
      <c r="W22" s="48">
        <f>'ATUAL+NC'!W22</f>
        <v>0</v>
      </c>
      <c r="X22" s="55">
        <f t="shared" si="2"/>
        <v>0</v>
      </c>
      <c r="Y22" s="55">
        <f t="shared" si="3"/>
        <v>0</v>
      </c>
    </row>
    <row r="23" spans="1:25" ht="15.75" customHeight="1" x14ac:dyDescent="0.3">
      <c r="J23" s="46" t="s">
        <v>65</v>
      </c>
      <c r="K23" s="47">
        <f t="shared" si="0"/>
        <v>0</v>
      </c>
      <c r="L23" s="48">
        <f>'ATUAL+NC'!L23</f>
        <v>0</v>
      </c>
      <c r="M23" s="48">
        <f>'ATUAL+NC'!M23</f>
        <v>0</v>
      </c>
      <c r="N23" s="48">
        <f>'ATUAL+NC'!N23</f>
        <v>0</v>
      </c>
      <c r="O23" s="48">
        <f>'ATUAL+NC'!O23</f>
        <v>0</v>
      </c>
      <c r="P23" s="48">
        <f>'ATUAL+NC'!P23</f>
        <v>0</v>
      </c>
      <c r="Q23" s="49"/>
      <c r="R23" s="47">
        <f t="shared" si="1"/>
        <v>0</v>
      </c>
      <c r="S23" s="48">
        <f>'ATUAL+NC'!S23</f>
        <v>0</v>
      </c>
      <c r="T23" s="48">
        <f>'ATUAL+NC'!T23</f>
        <v>0</v>
      </c>
      <c r="U23" s="48">
        <f>'ATUAL+NC'!U23</f>
        <v>0</v>
      </c>
      <c r="V23" s="48">
        <f>'ATUAL+NC'!V23</f>
        <v>0</v>
      </c>
      <c r="W23" s="48">
        <f>'ATUAL+NC'!W23</f>
        <v>0</v>
      </c>
      <c r="X23" s="50">
        <f t="shared" si="2"/>
        <v>0</v>
      </c>
      <c r="Y23" s="50">
        <f t="shared" si="3"/>
        <v>0</v>
      </c>
    </row>
    <row r="24" spans="1:25" ht="15.75" customHeight="1" x14ac:dyDescent="0.3">
      <c r="J24" s="51" t="s">
        <v>66</v>
      </c>
      <c r="K24" s="52">
        <f t="shared" si="0"/>
        <v>0</v>
      </c>
      <c r="L24" s="48">
        <f>'ATUAL+NC'!L24</f>
        <v>0</v>
      </c>
      <c r="M24" s="48">
        <f>'ATUAL+NC'!M24</f>
        <v>0</v>
      </c>
      <c r="N24" s="48">
        <f>'ATUAL+NC'!N24</f>
        <v>0</v>
      </c>
      <c r="O24" s="48">
        <f>'ATUAL+NC'!O24</f>
        <v>0</v>
      </c>
      <c r="P24" s="48">
        <f>'ATUAL+NC'!P24</f>
        <v>0</v>
      </c>
      <c r="Q24" s="54"/>
      <c r="R24" s="52">
        <f t="shared" si="1"/>
        <v>0</v>
      </c>
      <c r="S24" s="48">
        <f>'ATUAL+NC'!S24</f>
        <v>0</v>
      </c>
      <c r="T24" s="48">
        <f>'ATUAL+NC'!T24</f>
        <v>0</v>
      </c>
      <c r="U24" s="48">
        <f>'ATUAL+NC'!U24</f>
        <v>0</v>
      </c>
      <c r="V24" s="48">
        <f>'ATUAL+NC'!V24</f>
        <v>0</v>
      </c>
      <c r="W24" s="48">
        <f>'ATUAL+NC'!W24</f>
        <v>0</v>
      </c>
      <c r="X24" s="55">
        <f t="shared" si="2"/>
        <v>0</v>
      </c>
      <c r="Y24" s="55">
        <f t="shared" si="3"/>
        <v>0</v>
      </c>
    </row>
    <row r="25" spans="1:25" ht="15.75" customHeight="1" x14ac:dyDescent="0.3">
      <c r="J25" s="46" t="s">
        <v>67</v>
      </c>
      <c r="K25" s="47">
        <f t="shared" si="0"/>
        <v>0</v>
      </c>
      <c r="L25" s="48">
        <f>'ATUAL+NC'!L25</f>
        <v>0</v>
      </c>
      <c r="M25" s="48">
        <f>'ATUAL+NC'!M25</f>
        <v>0</v>
      </c>
      <c r="N25" s="48">
        <f>'ATUAL+NC'!N25</f>
        <v>0</v>
      </c>
      <c r="O25" s="48">
        <f>'ATUAL+NC'!O25</f>
        <v>0</v>
      </c>
      <c r="P25" s="48">
        <f>'ATUAL+NC'!P25</f>
        <v>0</v>
      </c>
      <c r="Q25" s="49"/>
      <c r="R25" s="47">
        <f t="shared" si="1"/>
        <v>0</v>
      </c>
      <c r="S25" s="48">
        <f>'ATUAL+NC'!S25</f>
        <v>0</v>
      </c>
      <c r="T25" s="48">
        <f>'ATUAL+NC'!T25</f>
        <v>0</v>
      </c>
      <c r="U25" s="48">
        <f>'ATUAL+NC'!U25</f>
        <v>0</v>
      </c>
      <c r="V25" s="48">
        <f>'ATUAL+NC'!V25</f>
        <v>0</v>
      </c>
      <c r="W25" s="48">
        <f>'ATUAL+NC'!W25</f>
        <v>0</v>
      </c>
      <c r="X25" s="50">
        <f t="shared" si="2"/>
        <v>0</v>
      </c>
      <c r="Y25" s="50">
        <f t="shared" si="3"/>
        <v>0</v>
      </c>
    </row>
    <row r="26" spans="1:25" ht="15.75" customHeight="1" x14ac:dyDescent="0.3">
      <c r="J26" s="51" t="s">
        <v>68</v>
      </c>
      <c r="K26" s="52">
        <f t="shared" si="0"/>
        <v>0</v>
      </c>
      <c r="L26" s="48">
        <f>'ATUAL+NC'!L26</f>
        <v>0</v>
      </c>
      <c r="M26" s="48">
        <f>'ATUAL+NC'!M26</f>
        <v>0</v>
      </c>
      <c r="N26" s="48">
        <f>'ATUAL+NC'!N26</f>
        <v>0</v>
      </c>
      <c r="O26" s="48">
        <f>'ATUAL+NC'!O26</f>
        <v>0</v>
      </c>
      <c r="P26" s="48">
        <f>'ATUAL+NC'!P26</f>
        <v>0</v>
      </c>
      <c r="Q26" s="54"/>
      <c r="R26" s="52">
        <f t="shared" si="1"/>
        <v>0</v>
      </c>
      <c r="S26" s="48">
        <f>'ATUAL+NC'!S26</f>
        <v>0</v>
      </c>
      <c r="T26" s="48">
        <f>'ATUAL+NC'!T26</f>
        <v>0</v>
      </c>
      <c r="U26" s="48">
        <f>'ATUAL+NC'!U26</f>
        <v>0</v>
      </c>
      <c r="V26" s="48">
        <f>'ATUAL+NC'!V26</f>
        <v>0</v>
      </c>
      <c r="W26" s="48">
        <f>'ATUAL+NC'!W26</f>
        <v>0</v>
      </c>
      <c r="X26" s="55">
        <f t="shared" si="2"/>
        <v>0</v>
      </c>
      <c r="Y26" s="55">
        <f t="shared" si="3"/>
        <v>0</v>
      </c>
    </row>
    <row r="27" spans="1:25" ht="15.75" customHeight="1" x14ac:dyDescent="0.3">
      <c r="J27" s="46" t="s">
        <v>69</v>
      </c>
      <c r="K27" s="47">
        <f t="shared" si="0"/>
        <v>0</v>
      </c>
      <c r="L27" s="48">
        <f>'ATUAL+NC'!L27</f>
        <v>0</v>
      </c>
      <c r="M27" s="48">
        <f>'ATUAL+NC'!M27</f>
        <v>0</v>
      </c>
      <c r="N27" s="48">
        <f>'ATUAL+NC'!N27</f>
        <v>0</v>
      </c>
      <c r="O27" s="48">
        <f>'ATUAL+NC'!O27</f>
        <v>0</v>
      </c>
      <c r="P27" s="48">
        <f>'ATUAL+NC'!P27</f>
        <v>0</v>
      </c>
      <c r="Q27" s="49"/>
      <c r="R27" s="47">
        <f t="shared" si="1"/>
        <v>0</v>
      </c>
      <c r="S27" s="48">
        <f>'ATUAL+NC'!S27</f>
        <v>0</v>
      </c>
      <c r="T27" s="48">
        <f>'ATUAL+NC'!T27</f>
        <v>0</v>
      </c>
      <c r="U27" s="48">
        <f>'ATUAL+NC'!U27</f>
        <v>0</v>
      </c>
      <c r="V27" s="48">
        <f>'ATUAL+NC'!V27</f>
        <v>0</v>
      </c>
      <c r="W27" s="48">
        <f>'ATUAL+NC'!W27</f>
        <v>0</v>
      </c>
      <c r="X27" s="50">
        <f t="shared" si="2"/>
        <v>0</v>
      </c>
      <c r="Y27" s="50">
        <f t="shared" si="3"/>
        <v>0</v>
      </c>
    </row>
    <row r="28" spans="1:25" ht="15.75" customHeight="1" x14ac:dyDescent="0.3">
      <c r="J28" s="51" t="s">
        <v>70</v>
      </c>
      <c r="K28" s="52">
        <f t="shared" si="0"/>
        <v>0</v>
      </c>
      <c r="L28" s="48">
        <f>'ATUAL+NC'!L28</f>
        <v>0</v>
      </c>
      <c r="M28" s="48">
        <f>'ATUAL+NC'!M28</f>
        <v>0</v>
      </c>
      <c r="N28" s="48">
        <f>'ATUAL+NC'!N28</f>
        <v>0</v>
      </c>
      <c r="O28" s="48">
        <f>'ATUAL+NC'!O28</f>
        <v>0</v>
      </c>
      <c r="P28" s="48">
        <f>'ATUAL+NC'!P28</f>
        <v>0</v>
      </c>
      <c r="Q28" s="54"/>
      <c r="R28" s="52">
        <f t="shared" si="1"/>
        <v>0</v>
      </c>
      <c r="S28" s="48">
        <f>'ATUAL+NC'!S28</f>
        <v>0</v>
      </c>
      <c r="T28" s="48">
        <f>'ATUAL+NC'!T28</f>
        <v>0</v>
      </c>
      <c r="U28" s="48">
        <f>'ATUAL+NC'!U28</f>
        <v>0</v>
      </c>
      <c r="V28" s="48">
        <f>'ATUAL+NC'!V28</f>
        <v>0</v>
      </c>
      <c r="W28" s="48">
        <f>'ATUAL+NC'!W28</f>
        <v>0</v>
      </c>
      <c r="X28" s="55">
        <f t="shared" si="2"/>
        <v>0</v>
      </c>
      <c r="Y28" s="55">
        <f t="shared" si="3"/>
        <v>0</v>
      </c>
    </row>
    <row r="29" spans="1:25" ht="15.75" customHeight="1" x14ac:dyDescent="0.3">
      <c r="J29" s="46"/>
      <c r="K29" s="47">
        <f t="shared" si="0"/>
        <v>0</v>
      </c>
      <c r="L29" s="56"/>
      <c r="M29" s="56"/>
      <c r="N29" s="56"/>
      <c r="O29" s="56"/>
      <c r="P29" s="56"/>
      <c r="Q29" s="49"/>
      <c r="R29" s="47">
        <f t="shared" si="1"/>
        <v>0</v>
      </c>
      <c r="S29" s="48"/>
      <c r="T29" s="48"/>
      <c r="U29" s="48"/>
      <c r="V29" s="48"/>
      <c r="W29" s="48"/>
      <c r="X29" s="50">
        <f t="shared" si="2"/>
        <v>0</v>
      </c>
      <c r="Y29" s="50">
        <f t="shared" si="3"/>
        <v>0</v>
      </c>
    </row>
    <row r="30" spans="1:25" ht="15.75" customHeight="1" x14ac:dyDescent="0.3">
      <c r="J30" s="51"/>
      <c r="K30" s="52">
        <f t="shared" si="0"/>
        <v>0</v>
      </c>
      <c r="L30" s="57"/>
      <c r="M30" s="57"/>
      <c r="N30" s="57"/>
      <c r="O30" s="57"/>
      <c r="P30" s="57"/>
      <c r="Q30" s="54"/>
      <c r="R30" s="52">
        <f t="shared" si="1"/>
        <v>0</v>
      </c>
      <c r="S30" s="53"/>
      <c r="T30" s="53"/>
      <c r="U30" s="53"/>
      <c r="V30" s="53"/>
      <c r="W30" s="53"/>
      <c r="X30" s="55">
        <f t="shared" si="2"/>
        <v>0</v>
      </c>
      <c r="Y30" s="55">
        <f t="shared" si="3"/>
        <v>0</v>
      </c>
    </row>
    <row r="31" spans="1:25" ht="15.75" customHeight="1" x14ac:dyDescent="0.3">
      <c r="J31" s="46"/>
      <c r="K31" s="47">
        <f t="shared" si="0"/>
        <v>0</v>
      </c>
      <c r="L31" s="56"/>
      <c r="M31" s="56"/>
      <c r="N31" s="56"/>
      <c r="O31" s="56"/>
      <c r="P31" s="56"/>
      <c r="Q31" s="49"/>
      <c r="R31" s="47">
        <f t="shared" si="1"/>
        <v>0</v>
      </c>
      <c r="S31" s="48"/>
      <c r="T31" s="48"/>
      <c r="U31" s="48"/>
      <c r="V31" s="48"/>
      <c r="W31" s="48"/>
      <c r="X31" s="50">
        <f t="shared" si="2"/>
        <v>0</v>
      </c>
      <c r="Y31" s="50">
        <f t="shared" si="3"/>
        <v>0</v>
      </c>
    </row>
    <row r="32" spans="1:25" ht="15.75" customHeight="1" x14ac:dyDescent="0.3">
      <c r="J32" s="51"/>
      <c r="K32" s="52">
        <f t="shared" si="0"/>
        <v>0</v>
      </c>
      <c r="L32" s="57"/>
      <c r="M32" s="57"/>
      <c r="N32" s="57"/>
      <c r="O32" s="57"/>
      <c r="P32" s="57"/>
      <c r="Q32" s="54"/>
      <c r="R32" s="52">
        <f t="shared" si="1"/>
        <v>0</v>
      </c>
      <c r="S32" s="53"/>
      <c r="T32" s="53"/>
      <c r="U32" s="53"/>
      <c r="V32" s="53"/>
      <c r="W32" s="53"/>
      <c r="X32" s="55">
        <f t="shared" si="2"/>
        <v>0</v>
      </c>
      <c r="Y32" s="55">
        <f t="shared" si="3"/>
        <v>0</v>
      </c>
    </row>
    <row r="33" spans="10:25" ht="15.75" customHeight="1" x14ac:dyDescent="0.3">
      <c r="J33" s="46"/>
      <c r="K33" s="47">
        <f t="shared" si="0"/>
        <v>0</v>
      </c>
      <c r="L33" s="56"/>
      <c r="M33" s="56"/>
      <c r="N33" s="56"/>
      <c r="O33" s="56"/>
      <c r="P33" s="56"/>
      <c r="Q33" s="49"/>
      <c r="R33" s="47">
        <f t="shared" si="1"/>
        <v>0</v>
      </c>
      <c r="S33" s="48"/>
      <c r="T33" s="48"/>
      <c r="U33" s="48"/>
      <c r="V33" s="48"/>
      <c r="W33" s="48"/>
      <c r="X33" s="50">
        <f t="shared" si="2"/>
        <v>0</v>
      </c>
      <c r="Y33" s="50">
        <f t="shared" si="3"/>
        <v>0</v>
      </c>
    </row>
    <row r="34" spans="10:25" ht="15.75" customHeight="1" x14ac:dyDescent="0.3">
      <c r="J34" s="51"/>
      <c r="K34" s="52">
        <f t="shared" si="0"/>
        <v>0</v>
      </c>
      <c r="L34" s="57"/>
      <c r="M34" s="57"/>
      <c r="N34" s="57"/>
      <c r="O34" s="57"/>
      <c r="P34" s="57"/>
      <c r="Q34" s="54"/>
      <c r="R34" s="52">
        <f t="shared" si="1"/>
        <v>0</v>
      </c>
      <c r="S34" s="53"/>
      <c r="T34" s="53"/>
      <c r="U34" s="53"/>
      <c r="V34" s="53"/>
      <c r="W34" s="53"/>
      <c r="X34" s="55">
        <f t="shared" si="2"/>
        <v>0</v>
      </c>
      <c r="Y34" s="55">
        <f t="shared" si="3"/>
        <v>0</v>
      </c>
    </row>
    <row r="35" spans="10:25" ht="15.75" customHeight="1" x14ac:dyDescent="0.3">
      <c r="J35" s="46"/>
      <c r="K35" s="47">
        <f t="shared" ref="K35:K57" si="4">SUM(L35:N35)*$C$5+P35</f>
        <v>0</v>
      </c>
      <c r="L35" s="56"/>
      <c r="M35" s="56"/>
      <c r="N35" s="56"/>
      <c r="O35" s="56"/>
      <c r="P35" s="56"/>
      <c r="Q35" s="49"/>
      <c r="R35" s="47">
        <f t="shared" ref="R35:R57" si="5">S35*$H$3+T35*$H$4+U35*$H$5+V35*$H$6+W35*$H$7</f>
        <v>0</v>
      </c>
      <c r="S35" s="48"/>
      <c r="T35" s="48"/>
      <c r="U35" s="48"/>
      <c r="V35" s="48"/>
      <c r="W35" s="48"/>
      <c r="X35" s="50">
        <f t="shared" ref="X35:X57" si="6">SUM(L35:N35)*$C$5+P35</f>
        <v>0</v>
      </c>
      <c r="Y35" s="50">
        <f t="shared" ref="Y35:Y58" si="7">R35</f>
        <v>0</v>
      </c>
    </row>
    <row r="36" spans="10:25" ht="15.75" customHeight="1" x14ac:dyDescent="0.3">
      <c r="J36" s="51"/>
      <c r="K36" s="52">
        <f t="shared" si="4"/>
        <v>0</v>
      </c>
      <c r="L36" s="57"/>
      <c r="M36" s="57"/>
      <c r="N36" s="57"/>
      <c r="O36" s="57"/>
      <c r="P36" s="57"/>
      <c r="Q36" s="54"/>
      <c r="R36" s="52">
        <f t="shared" si="5"/>
        <v>0</v>
      </c>
      <c r="S36" s="53"/>
      <c r="T36" s="53"/>
      <c r="U36" s="53"/>
      <c r="V36" s="53"/>
      <c r="W36" s="53"/>
      <c r="X36" s="55">
        <f t="shared" si="6"/>
        <v>0</v>
      </c>
      <c r="Y36" s="55">
        <f t="shared" si="7"/>
        <v>0</v>
      </c>
    </row>
    <row r="37" spans="10:25" ht="15.75" customHeight="1" x14ac:dyDescent="0.3">
      <c r="J37" s="46"/>
      <c r="K37" s="47">
        <f t="shared" si="4"/>
        <v>0</v>
      </c>
      <c r="L37" s="56"/>
      <c r="M37" s="56"/>
      <c r="N37" s="56"/>
      <c r="O37" s="56"/>
      <c r="P37" s="56"/>
      <c r="Q37" s="49"/>
      <c r="R37" s="47">
        <f t="shared" si="5"/>
        <v>0</v>
      </c>
      <c r="S37" s="48"/>
      <c r="T37" s="48"/>
      <c r="U37" s="48"/>
      <c r="V37" s="48"/>
      <c r="W37" s="48"/>
      <c r="X37" s="50">
        <f t="shared" si="6"/>
        <v>0</v>
      </c>
      <c r="Y37" s="50">
        <f t="shared" si="7"/>
        <v>0</v>
      </c>
    </row>
    <row r="38" spans="10:25" ht="15.75" customHeight="1" x14ac:dyDescent="0.3">
      <c r="J38" s="51"/>
      <c r="K38" s="52">
        <f t="shared" si="4"/>
        <v>0</v>
      </c>
      <c r="L38" s="57"/>
      <c r="M38" s="57"/>
      <c r="N38" s="57"/>
      <c r="O38" s="57"/>
      <c r="P38" s="57"/>
      <c r="Q38" s="54"/>
      <c r="R38" s="52">
        <f t="shared" si="5"/>
        <v>0</v>
      </c>
      <c r="S38" s="53"/>
      <c r="T38" s="53"/>
      <c r="U38" s="53"/>
      <c r="V38" s="53"/>
      <c r="W38" s="53"/>
      <c r="X38" s="55">
        <f t="shared" si="6"/>
        <v>0</v>
      </c>
      <c r="Y38" s="55">
        <f t="shared" si="7"/>
        <v>0</v>
      </c>
    </row>
    <row r="39" spans="10:25" ht="15.75" customHeight="1" x14ac:dyDescent="0.3">
      <c r="J39" s="46"/>
      <c r="K39" s="47">
        <f t="shared" si="4"/>
        <v>0</v>
      </c>
      <c r="L39" s="56"/>
      <c r="M39" s="56"/>
      <c r="N39" s="56"/>
      <c r="O39" s="56"/>
      <c r="P39" s="56"/>
      <c r="Q39" s="49"/>
      <c r="R39" s="47">
        <f t="shared" si="5"/>
        <v>0</v>
      </c>
      <c r="S39" s="48"/>
      <c r="T39" s="48"/>
      <c r="U39" s="48"/>
      <c r="V39" s="48"/>
      <c r="W39" s="48"/>
      <c r="X39" s="50">
        <f t="shared" si="6"/>
        <v>0</v>
      </c>
      <c r="Y39" s="50">
        <f t="shared" si="7"/>
        <v>0</v>
      </c>
    </row>
    <row r="40" spans="10:25" ht="15.75" customHeight="1" x14ac:dyDescent="0.3">
      <c r="J40" s="51"/>
      <c r="K40" s="52">
        <f t="shared" si="4"/>
        <v>0</v>
      </c>
      <c r="L40" s="57"/>
      <c r="M40" s="57"/>
      <c r="N40" s="57"/>
      <c r="O40" s="57"/>
      <c r="P40" s="57"/>
      <c r="Q40" s="54"/>
      <c r="R40" s="52">
        <f t="shared" si="5"/>
        <v>0</v>
      </c>
      <c r="S40" s="53"/>
      <c r="T40" s="53"/>
      <c r="U40" s="53"/>
      <c r="V40" s="53"/>
      <c r="W40" s="53"/>
      <c r="X40" s="55">
        <f t="shared" si="6"/>
        <v>0</v>
      </c>
      <c r="Y40" s="55">
        <f t="shared" si="7"/>
        <v>0</v>
      </c>
    </row>
    <row r="41" spans="10:25" ht="15.75" customHeight="1" x14ac:dyDescent="0.3">
      <c r="J41" s="46"/>
      <c r="K41" s="47">
        <f t="shared" si="4"/>
        <v>0</v>
      </c>
      <c r="L41" s="56"/>
      <c r="M41" s="56"/>
      <c r="N41" s="56"/>
      <c r="O41" s="56"/>
      <c r="P41" s="56"/>
      <c r="Q41" s="49"/>
      <c r="R41" s="47">
        <f t="shared" si="5"/>
        <v>0</v>
      </c>
      <c r="S41" s="48"/>
      <c r="T41" s="48"/>
      <c r="U41" s="48"/>
      <c r="V41" s="48"/>
      <c r="W41" s="48"/>
      <c r="X41" s="50">
        <f t="shared" si="6"/>
        <v>0</v>
      </c>
      <c r="Y41" s="50">
        <f t="shared" si="7"/>
        <v>0</v>
      </c>
    </row>
    <row r="42" spans="10:25" ht="15.75" customHeight="1" x14ac:dyDescent="0.3">
      <c r="J42" s="51"/>
      <c r="K42" s="52">
        <f t="shared" si="4"/>
        <v>0</v>
      </c>
      <c r="L42" s="57"/>
      <c r="M42" s="57"/>
      <c r="N42" s="57"/>
      <c r="O42" s="57"/>
      <c r="P42" s="57"/>
      <c r="Q42" s="54"/>
      <c r="R42" s="52">
        <f t="shared" si="5"/>
        <v>0</v>
      </c>
      <c r="S42" s="53"/>
      <c r="T42" s="53"/>
      <c r="U42" s="53"/>
      <c r="V42" s="53"/>
      <c r="W42" s="53"/>
      <c r="X42" s="55">
        <f t="shared" si="6"/>
        <v>0</v>
      </c>
      <c r="Y42" s="55">
        <f t="shared" si="7"/>
        <v>0</v>
      </c>
    </row>
    <row r="43" spans="10:25" ht="15.75" customHeight="1" x14ac:dyDescent="0.3">
      <c r="J43" s="46"/>
      <c r="K43" s="47">
        <f t="shared" si="4"/>
        <v>0</v>
      </c>
      <c r="L43" s="56"/>
      <c r="M43" s="56"/>
      <c r="N43" s="56"/>
      <c r="O43" s="56"/>
      <c r="P43" s="56"/>
      <c r="Q43" s="49"/>
      <c r="R43" s="47">
        <f t="shared" si="5"/>
        <v>0</v>
      </c>
      <c r="S43" s="48"/>
      <c r="T43" s="48"/>
      <c r="U43" s="48"/>
      <c r="V43" s="48"/>
      <c r="W43" s="48"/>
      <c r="X43" s="50">
        <f t="shared" si="6"/>
        <v>0</v>
      </c>
      <c r="Y43" s="50">
        <f t="shared" si="7"/>
        <v>0</v>
      </c>
    </row>
    <row r="44" spans="10:25" ht="15.75" customHeight="1" x14ac:dyDescent="0.3">
      <c r="J44" s="51"/>
      <c r="K44" s="52">
        <f t="shared" si="4"/>
        <v>0</v>
      </c>
      <c r="L44" s="57"/>
      <c r="M44" s="57"/>
      <c r="N44" s="57"/>
      <c r="O44" s="57"/>
      <c r="P44" s="57"/>
      <c r="Q44" s="54"/>
      <c r="R44" s="52">
        <f t="shared" si="5"/>
        <v>0</v>
      </c>
      <c r="S44" s="53"/>
      <c r="T44" s="53"/>
      <c r="U44" s="53"/>
      <c r="V44" s="53"/>
      <c r="W44" s="53"/>
      <c r="X44" s="55">
        <f t="shared" si="6"/>
        <v>0</v>
      </c>
      <c r="Y44" s="55">
        <f t="shared" si="7"/>
        <v>0</v>
      </c>
    </row>
    <row r="45" spans="10:25" ht="15.75" customHeight="1" x14ac:dyDescent="0.3">
      <c r="J45" s="46"/>
      <c r="K45" s="47">
        <f t="shared" si="4"/>
        <v>0</v>
      </c>
      <c r="L45" s="56"/>
      <c r="M45" s="56"/>
      <c r="N45" s="56"/>
      <c r="O45" s="56"/>
      <c r="P45" s="56"/>
      <c r="Q45" s="49"/>
      <c r="R45" s="47">
        <f t="shared" si="5"/>
        <v>0</v>
      </c>
      <c r="S45" s="48"/>
      <c r="T45" s="48"/>
      <c r="U45" s="48"/>
      <c r="V45" s="48"/>
      <c r="W45" s="48"/>
      <c r="X45" s="50">
        <f t="shared" si="6"/>
        <v>0</v>
      </c>
      <c r="Y45" s="50">
        <f t="shared" si="7"/>
        <v>0</v>
      </c>
    </row>
    <row r="46" spans="10:25" ht="15.75" customHeight="1" x14ac:dyDescent="0.3">
      <c r="J46" s="51"/>
      <c r="K46" s="52">
        <f t="shared" si="4"/>
        <v>0</v>
      </c>
      <c r="L46" s="57"/>
      <c r="M46" s="57"/>
      <c r="N46" s="57"/>
      <c r="O46" s="57"/>
      <c r="P46" s="57"/>
      <c r="Q46" s="54"/>
      <c r="R46" s="52">
        <f t="shared" si="5"/>
        <v>0</v>
      </c>
      <c r="S46" s="53"/>
      <c r="T46" s="53"/>
      <c r="U46" s="53"/>
      <c r="V46" s="53"/>
      <c r="W46" s="53"/>
      <c r="X46" s="55">
        <f t="shared" si="6"/>
        <v>0</v>
      </c>
      <c r="Y46" s="55">
        <f t="shared" si="7"/>
        <v>0</v>
      </c>
    </row>
    <row r="47" spans="10:25" ht="15.75" customHeight="1" x14ac:dyDescent="0.3">
      <c r="J47" s="46"/>
      <c r="K47" s="47">
        <f t="shared" si="4"/>
        <v>0</v>
      </c>
      <c r="L47" s="56"/>
      <c r="M47" s="56"/>
      <c r="N47" s="56"/>
      <c r="O47" s="56"/>
      <c r="P47" s="56"/>
      <c r="Q47" s="49"/>
      <c r="R47" s="47">
        <f t="shared" si="5"/>
        <v>0</v>
      </c>
      <c r="S47" s="48"/>
      <c r="T47" s="48"/>
      <c r="U47" s="48"/>
      <c r="V47" s="48"/>
      <c r="W47" s="48"/>
      <c r="X47" s="50">
        <f t="shared" si="6"/>
        <v>0</v>
      </c>
      <c r="Y47" s="50">
        <f t="shared" si="7"/>
        <v>0</v>
      </c>
    </row>
    <row r="48" spans="10:25" ht="15.75" customHeight="1" x14ac:dyDescent="0.3">
      <c r="J48" s="51"/>
      <c r="K48" s="52">
        <f t="shared" si="4"/>
        <v>0</v>
      </c>
      <c r="L48" s="57"/>
      <c r="M48" s="57"/>
      <c r="N48" s="57"/>
      <c r="O48" s="57"/>
      <c r="P48" s="57"/>
      <c r="Q48" s="54"/>
      <c r="R48" s="52">
        <f t="shared" si="5"/>
        <v>0</v>
      </c>
      <c r="S48" s="53"/>
      <c r="T48" s="53"/>
      <c r="U48" s="53"/>
      <c r="V48" s="53"/>
      <c r="W48" s="53"/>
      <c r="X48" s="55">
        <f t="shared" si="6"/>
        <v>0</v>
      </c>
      <c r="Y48" s="55">
        <f t="shared" si="7"/>
        <v>0</v>
      </c>
    </row>
    <row r="49" spans="10:25" ht="15.75" customHeight="1" x14ac:dyDescent="0.3">
      <c r="J49" s="46"/>
      <c r="K49" s="47">
        <f t="shared" si="4"/>
        <v>0</v>
      </c>
      <c r="L49" s="56"/>
      <c r="M49" s="56"/>
      <c r="N49" s="56"/>
      <c r="O49" s="56"/>
      <c r="P49" s="56"/>
      <c r="Q49" s="49"/>
      <c r="R49" s="47">
        <f t="shared" si="5"/>
        <v>0</v>
      </c>
      <c r="S49" s="48"/>
      <c r="T49" s="48"/>
      <c r="U49" s="48"/>
      <c r="V49" s="48"/>
      <c r="W49" s="48"/>
      <c r="X49" s="50">
        <f t="shared" si="6"/>
        <v>0</v>
      </c>
      <c r="Y49" s="50">
        <f t="shared" si="7"/>
        <v>0</v>
      </c>
    </row>
    <row r="50" spans="10:25" ht="15.75" customHeight="1" x14ac:dyDescent="0.3">
      <c r="J50" s="51"/>
      <c r="K50" s="52">
        <f t="shared" si="4"/>
        <v>0</v>
      </c>
      <c r="L50" s="57"/>
      <c r="M50" s="57"/>
      <c r="N50" s="57"/>
      <c r="O50" s="57"/>
      <c r="P50" s="57"/>
      <c r="Q50" s="54"/>
      <c r="R50" s="52">
        <f t="shared" si="5"/>
        <v>0</v>
      </c>
      <c r="S50" s="53"/>
      <c r="T50" s="53"/>
      <c r="U50" s="53"/>
      <c r="V50" s="53"/>
      <c r="W50" s="53"/>
      <c r="X50" s="55">
        <f t="shared" si="6"/>
        <v>0</v>
      </c>
      <c r="Y50" s="55">
        <f t="shared" si="7"/>
        <v>0</v>
      </c>
    </row>
    <row r="51" spans="10:25" ht="15.75" customHeight="1" x14ac:dyDescent="0.3">
      <c r="J51" s="46"/>
      <c r="K51" s="47">
        <f t="shared" si="4"/>
        <v>0</v>
      </c>
      <c r="L51" s="56"/>
      <c r="M51" s="56"/>
      <c r="N51" s="56"/>
      <c r="O51" s="56"/>
      <c r="P51" s="56"/>
      <c r="Q51" s="49"/>
      <c r="R51" s="47">
        <f t="shared" si="5"/>
        <v>0</v>
      </c>
      <c r="S51" s="48"/>
      <c r="T51" s="48"/>
      <c r="U51" s="48"/>
      <c r="V51" s="48"/>
      <c r="W51" s="48"/>
      <c r="X51" s="50">
        <f t="shared" si="6"/>
        <v>0</v>
      </c>
      <c r="Y51" s="50">
        <f t="shared" si="7"/>
        <v>0</v>
      </c>
    </row>
    <row r="52" spans="10:25" ht="15.75" customHeight="1" x14ac:dyDescent="0.3">
      <c r="J52" s="51"/>
      <c r="K52" s="52">
        <f t="shared" si="4"/>
        <v>0</v>
      </c>
      <c r="L52" s="57"/>
      <c r="M52" s="57"/>
      <c r="N52" s="57"/>
      <c r="O52" s="57"/>
      <c r="P52" s="57"/>
      <c r="Q52" s="54"/>
      <c r="R52" s="52">
        <f t="shared" si="5"/>
        <v>0</v>
      </c>
      <c r="S52" s="53"/>
      <c r="T52" s="53"/>
      <c r="U52" s="53"/>
      <c r="V52" s="53"/>
      <c r="W52" s="53"/>
      <c r="X52" s="55">
        <f t="shared" si="6"/>
        <v>0</v>
      </c>
      <c r="Y52" s="55">
        <f t="shared" si="7"/>
        <v>0</v>
      </c>
    </row>
    <row r="53" spans="10:25" ht="15.75" customHeight="1" x14ac:dyDescent="0.3">
      <c r="J53" s="46"/>
      <c r="K53" s="47">
        <f t="shared" si="4"/>
        <v>0</v>
      </c>
      <c r="L53" s="56"/>
      <c r="M53" s="56"/>
      <c r="N53" s="56"/>
      <c r="O53" s="56"/>
      <c r="P53" s="56"/>
      <c r="Q53" s="49"/>
      <c r="R53" s="47">
        <f t="shared" si="5"/>
        <v>0</v>
      </c>
      <c r="S53" s="48"/>
      <c r="T53" s="48"/>
      <c r="U53" s="48"/>
      <c r="V53" s="48"/>
      <c r="W53" s="48"/>
      <c r="X53" s="50">
        <f t="shared" si="6"/>
        <v>0</v>
      </c>
      <c r="Y53" s="50">
        <f t="shared" si="7"/>
        <v>0</v>
      </c>
    </row>
    <row r="54" spans="10:25" ht="15.75" customHeight="1" x14ac:dyDescent="0.3">
      <c r="J54" s="51"/>
      <c r="K54" s="52">
        <f t="shared" si="4"/>
        <v>0</v>
      </c>
      <c r="L54" s="57"/>
      <c r="M54" s="57"/>
      <c r="N54" s="57"/>
      <c r="O54" s="57"/>
      <c r="P54" s="57"/>
      <c r="Q54" s="54"/>
      <c r="R54" s="52">
        <f t="shared" si="5"/>
        <v>0</v>
      </c>
      <c r="S54" s="53"/>
      <c r="T54" s="53"/>
      <c r="U54" s="53"/>
      <c r="V54" s="53"/>
      <c r="W54" s="53"/>
      <c r="X54" s="55">
        <f t="shared" si="6"/>
        <v>0</v>
      </c>
      <c r="Y54" s="55">
        <f t="shared" si="7"/>
        <v>0</v>
      </c>
    </row>
    <row r="55" spans="10:25" ht="15.75" customHeight="1" x14ac:dyDescent="0.3">
      <c r="J55" s="46"/>
      <c r="K55" s="47">
        <f t="shared" si="4"/>
        <v>0</v>
      </c>
      <c r="L55" s="56"/>
      <c r="M55" s="56"/>
      <c r="N55" s="56"/>
      <c r="O55" s="56"/>
      <c r="P55" s="56"/>
      <c r="Q55" s="49"/>
      <c r="R55" s="47">
        <f t="shared" si="5"/>
        <v>0</v>
      </c>
      <c r="S55" s="48"/>
      <c r="T55" s="48"/>
      <c r="U55" s="48"/>
      <c r="V55" s="48"/>
      <c r="W55" s="48"/>
      <c r="X55" s="50">
        <f t="shared" si="6"/>
        <v>0</v>
      </c>
      <c r="Y55" s="50">
        <f t="shared" si="7"/>
        <v>0</v>
      </c>
    </row>
    <row r="56" spans="10:25" ht="15.75" customHeight="1" x14ac:dyDescent="0.3">
      <c r="J56" s="51"/>
      <c r="K56" s="52">
        <f t="shared" si="4"/>
        <v>0</v>
      </c>
      <c r="L56" s="57"/>
      <c r="M56" s="57"/>
      <c r="N56" s="57"/>
      <c r="O56" s="57"/>
      <c r="P56" s="57"/>
      <c r="Q56" s="54"/>
      <c r="R56" s="52">
        <f t="shared" si="5"/>
        <v>0</v>
      </c>
      <c r="S56" s="53"/>
      <c r="T56" s="53"/>
      <c r="U56" s="53"/>
      <c r="V56" s="53"/>
      <c r="W56" s="53"/>
      <c r="X56" s="55">
        <f t="shared" si="6"/>
        <v>0</v>
      </c>
      <c r="Y56" s="55">
        <f t="shared" si="7"/>
        <v>0</v>
      </c>
    </row>
    <row r="57" spans="10:25" ht="15.75" customHeight="1" thickBot="1" x14ac:dyDescent="0.35">
      <c r="J57" s="46"/>
      <c r="K57" s="47">
        <f t="shared" si="4"/>
        <v>0</v>
      </c>
      <c r="L57" s="56"/>
      <c r="M57" s="56"/>
      <c r="N57" s="56"/>
      <c r="O57" s="56"/>
      <c r="P57" s="56"/>
      <c r="Q57" s="49"/>
      <c r="R57" s="47">
        <f t="shared" si="5"/>
        <v>0</v>
      </c>
      <c r="S57" s="48"/>
      <c r="T57" s="48"/>
      <c r="U57" s="48"/>
      <c r="V57" s="48"/>
      <c r="W57" s="48"/>
      <c r="X57" s="50">
        <f t="shared" si="6"/>
        <v>0</v>
      </c>
      <c r="Y57" s="50">
        <f t="shared" si="7"/>
        <v>0</v>
      </c>
    </row>
    <row r="58" spans="10:25" ht="15.75" customHeight="1" x14ac:dyDescent="0.3"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>
        <f t="shared" si="7"/>
        <v>0</v>
      </c>
    </row>
    <row r="59" spans="10:25" ht="15.75" customHeight="1" x14ac:dyDescent="0.3">
      <c r="X59" s="29">
        <f>SUM(X3:X58)</f>
        <v>0</v>
      </c>
      <c r="Y59" s="29">
        <f>SUM(Y3:Y58)</f>
        <v>0</v>
      </c>
    </row>
    <row r="60" spans="10:25" ht="15.75" customHeight="1" x14ac:dyDescent="0.3"/>
    <row r="61" spans="10:25" ht="15.75" customHeight="1" x14ac:dyDescent="0.3"/>
    <row r="62" spans="10:25" ht="15.75" customHeight="1" x14ac:dyDescent="0.3"/>
    <row r="63" spans="10:25" ht="15.75" customHeight="1" x14ac:dyDescent="0.3"/>
    <row r="64" spans="10:25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4">
    <mergeCell ref="W1:W2"/>
    <mergeCell ref="O1:P1"/>
    <mergeCell ref="B8:C8"/>
    <mergeCell ref="L1:L2"/>
    <mergeCell ref="A3:B3"/>
    <mergeCell ref="N1:N2"/>
    <mergeCell ref="T1:T2"/>
    <mergeCell ref="B7:C7"/>
    <mergeCell ref="C5:D5"/>
    <mergeCell ref="F2:H2"/>
    <mergeCell ref="V1:V2"/>
    <mergeCell ref="K1:K2"/>
    <mergeCell ref="M1:M2"/>
    <mergeCell ref="C4:D4"/>
    <mergeCell ref="A12:E12"/>
    <mergeCell ref="A5:B5"/>
    <mergeCell ref="S1:S2"/>
    <mergeCell ref="A4:B4"/>
    <mergeCell ref="U1:U2"/>
    <mergeCell ref="B6:C6"/>
    <mergeCell ref="A2:D2"/>
    <mergeCell ref="C3:D3"/>
    <mergeCell ref="J1:J2"/>
    <mergeCell ref="R1:R2"/>
  </mergeCells>
  <conditionalFormatting sqref="L3:P28">
    <cfRule type="cellIs" dxfId="18" priority="2" operator="equal">
      <formula>0</formula>
    </cfRule>
  </conditionalFormatting>
  <conditionalFormatting sqref="S3:W28">
    <cfRule type="cellIs" dxfId="17" priority="1" operator="equal">
      <formula>0</formula>
    </cfRule>
  </conditionalFormatting>
  <dataValidations count="3">
    <dataValidation type="whole" operator="greaterThanOrEqual" allowBlank="1" showInputMessage="1" showErrorMessage="1" errorTitle="Valor Inválido" error="O valor digitado deve ser um número inteiro maior ou igual a zero." promptTitle="Quantidade" prompt="Digite um número inteiro (ex: 0, 1, 2...)" sqref="L3:L58 M29:O58 M3:P28 S3:W58" xr:uid="{00000000-0002-0000-0300-000000000000}">
      <formula1>0</formula1>
    </dataValidation>
    <dataValidation type="list" sqref="C3" xr:uid="{00000000-0002-0000-0300-000001000000}">
      <formula1>"CLASSE A,CLASSE B,CLASSE C,CLASSE D"</formula1>
    </dataValidation>
    <dataValidation type="list" showInputMessage="1" showErrorMessage="1" errorTitle="Classe Inválida" error="Selecione uma das classes válidas (CLASSE A, B, C ou D)." promptTitle="Classe de Consumo" prompt="Selecione a classe de consumo deste transformador." sqref="C3" xr:uid="{00000000-0002-0000-0300-000002000000}">
      <formula1>"CLASSE A,CLASSE B,CLASSE C,CLASSE D"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1F497D"/>
  </sheetPr>
  <dimension ref="A1:L48"/>
  <sheetViews>
    <sheetView showGridLines="0" zoomScale="85" zoomScaleNormal="85" workbookViewId="0">
      <pane xSplit="2" ySplit="10" topLeftCell="C11" activePane="bottomRight" state="frozen"/>
      <selection pane="topRight"/>
      <selection pane="bottomLeft"/>
      <selection pane="bottomRight" activeCell="F4" sqref="F4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6.1093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73</v>
      </c>
      <c r="B1" s="17" t="s">
        <v>74</v>
      </c>
      <c r="C1" s="2"/>
      <c r="D1" s="2"/>
      <c r="E1" s="2"/>
      <c r="F1" s="2"/>
      <c r="G1" s="135" t="s">
        <v>75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36"/>
      <c r="H2" s="2"/>
      <c r="I2" s="2"/>
      <c r="J2" s="2"/>
      <c r="K2" s="2"/>
      <c r="L2" s="2"/>
    </row>
    <row r="3" spans="1:12" x14ac:dyDescent="0.3">
      <c r="C3" s="2"/>
      <c r="D3" s="137" t="s">
        <v>76</v>
      </c>
      <c r="E3" s="134"/>
      <c r="F3" s="91">
        <f>ATUAL!C10</f>
        <v>150</v>
      </c>
      <c r="G3" s="4">
        <f>F5/F3</f>
        <v>0</v>
      </c>
      <c r="H3" s="2"/>
      <c r="I3" s="2"/>
      <c r="J3" s="2"/>
      <c r="K3" s="2"/>
      <c r="L3" s="2"/>
    </row>
    <row r="4" spans="1:12" x14ac:dyDescent="0.3">
      <c r="C4" s="2"/>
      <c r="D4" s="133" t="s">
        <v>77</v>
      </c>
      <c r="E4" s="134"/>
      <c r="F4" s="22"/>
      <c r="G4" s="2"/>
      <c r="H4" s="2"/>
      <c r="I4" s="2"/>
      <c r="J4" s="2"/>
      <c r="K4" s="2"/>
      <c r="L4" s="2"/>
    </row>
    <row r="5" spans="1:12" ht="45" customHeight="1" x14ac:dyDescent="0.3">
      <c r="C5" s="2"/>
      <c r="D5" s="140" t="s">
        <v>78</v>
      </c>
      <c r="E5" s="134"/>
      <c r="F5" s="6">
        <f>SUM(F11:F33)</f>
        <v>0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7" t="s">
        <v>79</v>
      </c>
      <c r="B7" s="138"/>
      <c r="C7" s="134"/>
      <c r="D7" s="137" t="s">
        <v>80</v>
      </c>
      <c r="E7" s="138"/>
      <c r="F7" s="138"/>
      <c r="G7" s="138"/>
      <c r="H7" s="134"/>
      <c r="I7" s="133" t="s">
        <v>81</v>
      </c>
      <c r="J7" s="133" t="s">
        <v>82</v>
      </c>
      <c r="K7" s="138"/>
      <c r="L7" s="134"/>
    </row>
    <row r="8" spans="1:12" ht="30" customHeight="1" x14ac:dyDescent="0.3">
      <c r="A8" s="20" t="s">
        <v>28</v>
      </c>
      <c r="B8" s="139" t="s">
        <v>83</v>
      </c>
      <c r="C8" s="20" t="s">
        <v>84</v>
      </c>
      <c r="D8" s="139" t="s">
        <v>85</v>
      </c>
      <c r="E8" s="138"/>
      <c r="F8" s="134"/>
      <c r="G8" s="16" t="s">
        <v>86</v>
      </c>
      <c r="H8" s="19" t="s">
        <v>87</v>
      </c>
      <c r="I8" s="136"/>
      <c r="J8" s="20" t="s">
        <v>88</v>
      </c>
      <c r="K8" s="20" t="s">
        <v>89</v>
      </c>
      <c r="L8" s="20" t="s">
        <v>17</v>
      </c>
    </row>
    <row r="9" spans="1:12" x14ac:dyDescent="0.3">
      <c r="A9" s="21" t="s">
        <v>90</v>
      </c>
      <c r="B9" s="136"/>
      <c r="C9" s="21" t="s">
        <v>91</v>
      </c>
      <c r="D9" s="137" t="s">
        <v>92</v>
      </c>
      <c r="E9" s="138"/>
      <c r="F9" s="134"/>
      <c r="G9" s="21" t="s">
        <v>93</v>
      </c>
      <c r="H9" s="21" t="s">
        <v>94</v>
      </c>
      <c r="I9" s="21" t="s">
        <v>95</v>
      </c>
      <c r="J9" s="21" t="s">
        <v>96</v>
      </c>
      <c r="K9" s="20" t="s">
        <v>97</v>
      </c>
      <c r="L9" s="20" t="s">
        <v>98</v>
      </c>
    </row>
    <row r="10" spans="1:12" x14ac:dyDescent="0.3">
      <c r="A10" s="21"/>
      <c r="B10" s="18"/>
      <c r="C10" s="21"/>
      <c r="D10" s="23"/>
      <c r="E10" s="21" t="s">
        <v>99</v>
      </c>
      <c r="F10" s="21" t="s">
        <v>100</v>
      </c>
      <c r="G10" s="21"/>
      <c r="H10" s="21"/>
      <c r="I10" s="21"/>
      <c r="J10" s="21"/>
      <c r="K10" s="20"/>
      <c r="L10" s="20"/>
    </row>
    <row r="11" spans="1:12" x14ac:dyDescent="0.3">
      <c r="A11" s="30" t="s">
        <v>90</v>
      </c>
      <c r="B11" s="31"/>
      <c r="C11" s="32"/>
      <c r="D11" s="33">
        <f>ATUAL!K3</f>
        <v>0</v>
      </c>
      <c r="E11" s="33">
        <f>ATUAL!Y3</f>
        <v>0</v>
      </c>
      <c r="F11" s="34">
        <f t="shared" ref="F11:F33" si="0">D11+E11</f>
        <v>0</v>
      </c>
      <c r="G11" s="35">
        <f>SUMIFS(F12:F$33, B12:B$33, A11) + SUMIFS(G12:G$33, B12:B$33, A11)</f>
        <v>0</v>
      </c>
      <c r="H11" s="34">
        <f t="shared" ref="H11:H33" si="1">((D11/2)+G11)*C11</f>
        <v>0</v>
      </c>
      <c r="I11" s="36"/>
      <c r="J11" s="30" t="str">
        <f>IFERROR(VLOOKUP(I11,'BASE DE DADOS'!$A$4:$B$95,2,0)," ")</f>
        <v xml:space="preserve"> </v>
      </c>
      <c r="K11" s="34" t="str">
        <f t="shared" ref="K11:K33" si="2">IFERROR(H11*J11," ")</f>
        <v xml:space="preserve"> </v>
      </c>
      <c r="L11" s="37" t="str">
        <f t="shared" ref="L11:L33" si="3">IFERROR(IF(B11="TRAFO",K11,SUMIFS($L$11:$L$33,$A$11:$A$33,B11)+K11)," ")</f>
        <v xml:space="preserve"> </v>
      </c>
    </row>
    <row r="12" spans="1:12" x14ac:dyDescent="0.3">
      <c r="A12" s="38" t="s">
        <v>42</v>
      </c>
      <c r="B12" s="39"/>
      <c r="C12" s="40"/>
      <c r="D12" s="40">
        <f>ATUAL!K4</f>
        <v>0</v>
      </c>
      <c r="E12" s="41">
        <f>ATUAL!Y4</f>
        <v>0</v>
      </c>
      <c r="F12" s="42">
        <f t="shared" si="0"/>
        <v>0</v>
      </c>
      <c r="G12" s="40">
        <f>SUMIFS(F13:F$33, B13:B$33, A12) + SUMIFS(G13:G$33, B13:B$33, A12)</f>
        <v>0</v>
      </c>
      <c r="H12" s="42">
        <f t="shared" si="1"/>
        <v>0</v>
      </c>
      <c r="I12" s="40"/>
      <c r="J12" s="38" t="str">
        <f>IFERROR(VLOOKUP(I12,'BASE DE DADOS'!$A$4:$B$95,2,0)," ")</f>
        <v xml:space="preserve"> </v>
      </c>
      <c r="K12" s="42" t="str">
        <f t="shared" si="2"/>
        <v xml:space="preserve"> </v>
      </c>
      <c r="L12" s="43" t="str">
        <f t="shared" si="3"/>
        <v xml:space="preserve"> </v>
      </c>
    </row>
    <row r="13" spans="1:12" x14ac:dyDescent="0.3">
      <c r="A13" s="30" t="s">
        <v>43</v>
      </c>
      <c r="B13" s="31"/>
      <c r="C13" s="36"/>
      <c r="D13" s="36">
        <f>ATUAL!K5</f>
        <v>0</v>
      </c>
      <c r="E13" s="35">
        <f>ATUAL!Y5</f>
        <v>0</v>
      </c>
      <c r="F13" s="34">
        <f t="shared" si="0"/>
        <v>0</v>
      </c>
      <c r="G13" s="36">
        <f>SUMIFS(F14:F$33, B14:B$33, A13) + SUMIFS(G14:G$33, B14:B$33, A13)</f>
        <v>0</v>
      </c>
      <c r="H13" s="34">
        <f t="shared" si="1"/>
        <v>0</v>
      </c>
      <c r="I13" s="36"/>
      <c r="J13" s="30" t="str">
        <f>IFERROR(VLOOKUP(I13,'BASE DE DADOS'!$A$4:$B$95,2,0)," ")</f>
        <v xml:space="preserve"> </v>
      </c>
      <c r="K13" s="34" t="str">
        <f t="shared" si="2"/>
        <v xml:space="preserve"> </v>
      </c>
      <c r="L13" s="37" t="str">
        <f t="shared" si="3"/>
        <v xml:space="preserve"> </v>
      </c>
    </row>
    <row r="14" spans="1:12" x14ac:dyDescent="0.3">
      <c r="A14" s="38" t="s">
        <v>44</v>
      </c>
      <c r="B14" s="39"/>
      <c r="C14" s="40"/>
      <c r="D14" s="41">
        <f>ATUAL!K6</f>
        <v>0</v>
      </c>
      <c r="E14" s="41">
        <f>ATUAL!Y6</f>
        <v>0</v>
      </c>
      <c r="F14" s="42">
        <f t="shared" si="0"/>
        <v>0</v>
      </c>
      <c r="G14" s="40">
        <f>SUMIFS(F15:F$33, B15:B$33, A14) + SUMIFS(G15:G$33, B15:B$33, A14)</f>
        <v>0</v>
      </c>
      <c r="H14" s="42">
        <f t="shared" si="1"/>
        <v>0</v>
      </c>
      <c r="I14" s="40"/>
      <c r="J14" s="38" t="str">
        <f>IFERROR(VLOOKUP(I14,'BASE DE DADOS'!$A$4:$B$95,2,0)," ")</f>
        <v xml:space="preserve"> </v>
      </c>
      <c r="K14" s="42" t="str">
        <f t="shared" si="2"/>
        <v xml:space="preserve"> </v>
      </c>
      <c r="L14" s="43" t="str">
        <f t="shared" si="3"/>
        <v xml:space="preserve"> </v>
      </c>
    </row>
    <row r="15" spans="1:12" x14ac:dyDescent="0.3">
      <c r="A15" s="30" t="s">
        <v>45</v>
      </c>
      <c r="B15" s="31"/>
      <c r="C15" s="36"/>
      <c r="D15" s="35">
        <f>ATUAL!K7</f>
        <v>0</v>
      </c>
      <c r="E15" s="35">
        <f>ATUAL!Y7</f>
        <v>0</v>
      </c>
      <c r="F15" s="34">
        <f t="shared" si="0"/>
        <v>0</v>
      </c>
      <c r="G15" s="36">
        <f>SUMIFS(F16:F$33, B16:B$33, A15) + SUMIFS(G16:G$33, B16:B$33, A15)</f>
        <v>0</v>
      </c>
      <c r="H15" s="34">
        <f t="shared" si="1"/>
        <v>0</v>
      </c>
      <c r="I15" s="36"/>
      <c r="J15" s="30" t="str">
        <f>IFERROR(VLOOKUP(I15,'BASE DE DADOS'!$A$4:$B$95,2,0)," ")</f>
        <v xml:space="preserve"> </v>
      </c>
      <c r="K15" s="34" t="str">
        <f t="shared" si="2"/>
        <v xml:space="preserve"> </v>
      </c>
      <c r="L15" s="37" t="str">
        <f t="shared" si="3"/>
        <v xml:space="preserve"> </v>
      </c>
    </row>
    <row r="16" spans="1:12" x14ac:dyDescent="0.3">
      <c r="A16" s="38" t="s">
        <v>46</v>
      </c>
      <c r="B16" s="39"/>
      <c r="C16" s="40"/>
      <c r="D16" s="41">
        <f>ATUAL!K8</f>
        <v>0</v>
      </c>
      <c r="E16" s="41">
        <f>ATUAL!Y8</f>
        <v>0</v>
      </c>
      <c r="F16" s="42">
        <f t="shared" si="0"/>
        <v>0</v>
      </c>
      <c r="G16" s="40">
        <f>SUMIFS(F17:F$33, B17:B$33, A16) + SUMIFS(G17:G$33, B17:B$33, A16)</f>
        <v>0</v>
      </c>
      <c r="H16" s="42">
        <f t="shared" si="1"/>
        <v>0</v>
      </c>
      <c r="I16" s="40"/>
      <c r="J16" s="38" t="str">
        <f>IFERROR(VLOOKUP(I16,'BASE DE DADOS'!$A$4:$B$95,2,0)," ")</f>
        <v xml:space="preserve"> </v>
      </c>
      <c r="K16" s="42" t="str">
        <f t="shared" si="2"/>
        <v xml:space="preserve"> </v>
      </c>
      <c r="L16" s="43" t="str">
        <f t="shared" si="3"/>
        <v xml:space="preserve"> </v>
      </c>
    </row>
    <row r="17" spans="1:12" x14ac:dyDescent="0.3">
      <c r="A17" s="30" t="s">
        <v>47</v>
      </c>
      <c r="B17" s="31"/>
      <c r="C17" s="36"/>
      <c r="D17" s="35">
        <f>ATUAL!K9</f>
        <v>0</v>
      </c>
      <c r="E17" s="35">
        <f>ATUAL!Y9</f>
        <v>0</v>
      </c>
      <c r="F17" s="34">
        <f t="shared" si="0"/>
        <v>0</v>
      </c>
      <c r="G17" s="36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48</v>
      </c>
      <c r="B18" s="39"/>
      <c r="C18" s="40"/>
      <c r="D18" s="41">
        <f>ATUAL!K10</f>
        <v>0</v>
      </c>
      <c r="E18" s="41">
        <f>ATUAL!Y10</f>
        <v>0</v>
      </c>
      <c r="F18" s="42">
        <f t="shared" si="0"/>
        <v>0</v>
      </c>
      <c r="G18" s="40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49</v>
      </c>
      <c r="B19" s="31"/>
      <c r="C19" s="36"/>
      <c r="D19" s="35">
        <f>ATUAL!K11</f>
        <v>0</v>
      </c>
      <c r="E19" s="35">
        <f>ATUAL!Y11</f>
        <v>0</v>
      </c>
      <c r="F19" s="34">
        <f t="shared" si="0"/>
        <v>0</v>
      </c>
      <c r="G19" s="36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51</v>
      </c>
      <c r="B20" s="39"/>
      <c r="C20" s="40"/>
      <c r="D20" s="40">
        <f>ATUAL!K12</f>
        <v>0</v>
      </c>
      <c r="E20" s="41">
        <f>ATUAL!Y12</f>
        <v>0</v>
      </c>
      <c r="F20" s="42">
        <f t="shared" si="0"/>
        <v>0</v>
      </c>
      <c r="G20" s="40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56</v>
      </c>
      <c r="B21" s="31"/>
      <c r="C21" s="32"/>
      <c r="D21" s="33">
        <f>ATUAL!K13</f>
        <v>0</v>
      </c>
      <c r="E21" s="33">
        <f>ATUAL!Y13</f>
        <v>0</v>
      </c>
      <c r="F21" s="34">
        <f t="shared" si="0"/>
        <v>0</v>
      </c>
      <c r="G21" s="36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57</v>
      </c>
      <c r="B22" s="39"/>
      <c r="C22" s="40"/>
      <c r="D22" s="40">
        <f>ATUAL!K14</f>
        <v>0</v>
      </c>
      <c r="E22" s="41">
        <f>ATUAL!Y14</f>
        <v>0</v>
      </c>
      <c r="F22" s="42">
        <f t="shared" si="0"/>
        <v>0</v>
      </c>
      <c r="G22" s="40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58</v>
      </c>
      <c r="B23" s="31"/>
      <c r="C23" s="36"/>
      <c r="D23" s="36">
        <f>ATUAL!K15</f>
        <v>0</v>
      </c>
      <c r="E23" s="35">
        <f>ATUAL!Y15</f>
        <v>0</v>
      </c>
      <c r="F23" s="34">
        <f t="shared" si="0"/>
        <v>0</v>
      </c>
      <c r="G23" s="36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59</v>
      </c>
      <c r="B24" s="39"/>
      <c r="C24" s="40"/>
      <c r="D24" s="41">
        <f>ATUAL!K16</f>
        <v>0</v>
      </c>
      <c r="E24" s="41">
        <f>ATUAL!Y16</f>
        <v>0</v>
      </c>
      <c r="F24" s="42">
        <f t="shared" si="0"/>
        <v>0</v>
      </c>
      <c r="G24" s="40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60</v>
      </c>
      <c r="B25" s="31"/>
      <c r="C25" s="36"/>
      <c r="D25" s="35">
        <f>ATUAL!K17</f>
        <v>0</v>
      </c>
      <c r="E25" s="35">
        <f>ATUAL!Y17</f>
        <v>0</v>
      </c>
      <c r="F25" s="34">
        <f t="shared" si="0"/>
        <v>0</v>
      </c>
      <c r="G25" s="36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x14ac:dyDescent="0.3">
      <c r="A26" s="38" t="s">
        <v>61</v>
      </c>
      <c r="B26" s="39"/>
      <c r="C26" s="40"/>
      <c r="D26" s="41">
        <f>ATUAL!K18</f>
        <v>0</v>
      </c>
      <c r="E26" s="41">
        <f>ATUAL!Y18</f>
        <v>0</v>
      </c>
      <c r="F26" s="42">
        <f t="shared" si="0"/>
        <v>0</v>
      </c>
      <c r="G26" s="40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62</v>
      </c>
      <c r="B27" s="31"/>
      <c r="C27" s="36"/>
      <c r="D27" s="35">
        <f>ATUAL!K19</f>
        <v>0</v>
      </c>
      <c r="E27" s="35">
        <f>ATUAL!Y19</f>
        <v>0</v>
      </c>
      <c r="F27" s="34">
        <f t="shared" si="0"/>
        <v>0</v>
      </c>
      <c r="G27" s="36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63</v>
      </c>
      <c r="B28" s="39"/>
      <c r="C28" s="40"/>
      <c r="D28" s="41">
        <f>ATUAL!K20</f>
        <v>0</v>
      </c>
      <c r="E28" s="41">
        <f>ATUAL!Y20</f>
        <v>0</v>
      </c>
      <c r="F28" s="42">
        <f t="shared" si="0"/>
        <v>0</v>
      </c>
      <c r="G28" s="40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64</v>
      </c>
      <c r="B29" s="31"/>
      <c r="C29" s="36"/>
      <c r="D29" s="35">
        <f>ATUAL!K21</f>
        <v>0</v>
      </c>
      <c r="E29" s="35">
        <f>ATUAL!Y21</f>
        <v>0</v>
      </c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65</v>
      </c>
      <c r="B30" s="39"/>
      <c r="C30" s="40"/>
      <c r="D30" s="41">
        <f>ATUAL!K22</f>
        <v>0</v>
      </c>
      <c r="E30" s="41">
        <f>ATUAL!Y22</f>
        <v>0</v>
      </c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66</v>
      </c>
      <c r="B31" s="31"/>
      <c r="C31" s="36"/>
      <c r="D31" s="35">
        <f>ATUAL!K23</f>
        <v>0</v>
      </c>
      <c r="E31" s="35">
        <f>ATUAL!Y23</f>
        <v>0</v>
      </c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68</v>
      </c>
      <c r="B32" s="39"/>
      <c r="C32" s="40"/>
      <c r="D32" s="41">
        <f>ATUAL!K24</f>
        <v>0</v>
      </c>
      <c r="E32" s="41">
        <f>ATUAL!Y24</f>
        <v>0</v>
      </c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70</v>
      </c>
      <c r="B33" s="31"/>
      <c r="C33" s="36"/>
      <c r="D33" s="35">
        <f>ATUAL!K25</f>
        <v>0</v>
      </c>
      <c r="E33" s="35">
        <f>ATUAL!Y25</f>
        <v>0</v>
      </c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  <row r="47" spans="1:12" x14ac:dyDescent="0.3">
      <c r="D47">
        <f>11+13+2+2+6+2+2+3+10+2+2+7+2</f>
        <v>64</v>
      </c>
    </row>
    <row r="48" spans="1:12" x14ac:dyDescent="0.3">
      <c r="D48">
        <v>9</v>
      </c>
    </row>
  </sheetData>
  <sheetProtection algorithmName="SHA-512" hashValue="05k7Um2It2J+UF8qACDfXjYtMUhdvAKVBIChUHIHqqJOu7am5AMg/UlkQDw3vQH5V70AO1c+fKxg2TwXHDl9IQ==" saltValue="T9qHxHwfVNrYX3WbZ0F3OQ==" spinCount="100000" sheet="1" objects="1" scenarios="1"/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G3">
    <cfRule type="cellIs" dxfId="16" priority="1" operator="greaterThan">
      <formula>1.2</formula>
    </cfRule>
    <cfRule type="cellIs" dxfId="15" priority="2" operator="lessThan">
      <formula>1.2</formula>
    </cfRule>
  </conditionalFormatting>
  <conditionalFormatting sqref="K11:L33">
    <cfRule type="cellIs" dxfId="14" priority="3" operator="greaterThan">
      <formula>6.099</formula>
    </cfRule>
  </conditionalFormatting>
  <conditionalFormatting sqref="L11:L33">
    <cfRule type="cellIs" dxfId="13" priority="4" stopIfTrue="1" operator="greaterThanOrEqual">
      <formula>6</formula>
    </cfRule>
  </conditionalFormatting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4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>
    <tabColor rgb="FFE26B0A"/>
  </sheetPr>
  <dimension ref="A1:L33"/>
  <sheetViews>
    <sheetView showGridLines="0" zoomScale="85" zoomScaleNormal="85" workbookViewId="0">
      <pane xSplit="2" ySplit="10" topLeftCell="C11" activePane="bottomRight" state="frozen"/>
      <selection pane="topRight"/>
      <selection pane="bottomLeft"/>
      <selection pane="bottomRight" activeCell="F4" sqref="F4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3.886718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73</v>
      </c>
      <c r="B1" s="17" t="s">
        <v>74</v>
      </c>
      <c r="C1" s="2"/>
      <c r="D1" s="2"/>
      <c r="E1" s="2"/>
      <c r="F1" s="2"/>
      <c r="G1" s="135" t="s">
        <v>75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36"/>
      <c r="H2" s="2"/>
      <c r="I2" s="2"/>
      <c r="J2" s="2"/>
      <c r="K2" s="2"/>
      <c r="L2" s="2"/>
    </row>
    <row r="3" spans="1:12" x14ac:dyDescent="0.3">
      <c r="C3" s="2"/>
      <c r="D3" s="137" t="s">
        <v>76</v>
      </c>
      <c r="E3" s="134"/>
      <c r="F3" s="90">
        <f>'ATUAL+NC'!C10</f>
        <v>150</v>
      </c>
      <c r="G3" s="4">
        <f>F5/F3</f>
        <v>0</v>
      </c>
      <c r="H3" s="2"/>
      <c r="I3" s="2"/>
      <c r="J3" s="2"/>
      <c r="K3" s="2"/>
      <c r="L3" s="2"/>
    </row>
    <row r="4" spans="1:12" x14ac:dyDescent="0.3">
      <c r="C4" s="2"/>
      <c r="D4" s="133" t="s">
        <v>77</v>
      </c>
      <c r="E4" s="134"/>
      <c r="F4" s="5">
        <f>'CQT ATUAL'!F4</f>
        <v>0</v>
      </c>
      <c r="G4" s="2"/>
      <c r="H4" s="2"/>
      <c r="I4" s="2"/>
      <c r="J4" s="2"/>
      <c r="K4" s="2"/>
      <c r="L4" s="2"/>
    </row>
    <row r="5" spans="1:12" ht="45" customHeight="1" x14ac:dyDescent="0.3">
      <c r="C5" s="2"/>
      <c r="D5" s="140" t="s">
        <v>78</v>
      </c>
      <c r="E5" s="134"/>
      <c r="F5" s="6">
        <f>SUM(F11:F33)</f>
        <v>0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7" t="s">
        <v>79</v>
      </c>
      <c r="B7" s="138"/>
      <c r="C7" s="134"/>
      <c r="D7" s="137" t="s">
        <v>80</v>
      </c>
      <c r="E7" s="138"/>
      <c r="F7" s="138"/>
      <c r="G7" s="138"/>
      <c r="H7" s="134"/>
      <c r="I7" s="133" t="s">
        <v>81</v>
      </c>
      <c r="J7" s="133" t="s">
        <v>82</v>
      </c>
      <c r="K7" s="138"/>
      <c r="L7" s="134"/>
    </row>
    <row r="8" spans="1:12" ht="30" customHeight="1" x14ac:dyDescent="0.3">
      <c r="A8" s="20" t="s">
        <v>28</v>
      </c>
      <c r="B8" s="139" t="s">
        <v>83</v>
      </c>
      <c r="C8" s="20" t="s">
        <v>84</v>
      </c>
      <c r="D8" s="139" t="s">
        <v>85</v>
      </c>
      <c r="E8" s="138"/>
      <c r="F8" s="134"/>
      <c r="G8" s="16" t="s">
        <v>86</v>
      </c>
      <c r="H8" s="19" t="s">
        <v>87</v>
      </c>
      <c r="I8" s="136"/>
      <c r="J8" s="20" t="s">
        <v>88</v>
      </c>
      <c r="K8" s="20" t="s">
        <v>89</v>
      </c>
      <c r="L8" s="20" t="s">
        <v>17</v>
      </c>
    </row>
    <row r="9" spans="1:12" x14ac:dyDescent="0.3">
      <c r="A9" s="21" t="s">
        <v>90</v>
      </c>
      <c r="B9" s="136"/>
      <c r="C9" s="21" t="s">
        <v>91</v>
      </c>
      <c r="D9" s="137" t="s">
        <v>92</v>
      </c>
      <c r="E9" s="138"/>
      <c r="F9" s="134"/>
      <c r="G9" s="21" t="s">
        <v>93</v>
      </c>
      <c r="H9" s="21" t="s">
        <v>94</v>
      </c>
      <c r="I9" s="21" t="s">
        <v>95</v>
      </c>
      <c r="J9" s="21" t="s">
        <v>96</v>
      </c>
      <c r="K9" s="20" t="s">
        <v>97</v>
      </c>
      <c r="L9" s="20" t="s">
        <v>98</v>
      </c>
    </row>
    <row r="10" spans="1:12" x14ac:dyDescent="0.3">
      <c r="A10" s="21"/>
      <c r="B10" s="18"/>
      <c r="C10" s="21"/>
      <c r="D10" s="21" t="s">
        <v>103</v>
      </c>
      <c r="E10" s="21" t="s">
        <v>99</v>
      </c>
      <c r="F10" s="21" t="s">
        <v>100</v>
      </c>
      <c r="G10" s="21"/>
      <c r="H10" s="21"/>
      <c r="I10" s="21"/>
      <c r="J10" s="21"/>
      <c r="K10" s="20"/>
      <c r="L10" s="20"/>
    </row>
    <row r="11" spans="1:12" x14ac:dyDescent="0.3">
      <c r="A11" s="30" t="s">
        <v>90</v>
      </c>
      <c r="B11" s="32"/>
      <c r="C11" s="32"/>
      <c r="D11" s="32">
        <f>'ATUAL+NC'!K3</f>
        <v>0</v>
      </c>
      <c r="E11" s="32">
        <f>'ATUAL+NC'!Y3</f>
        <v>0</v>
      </c>
      <c r="F11" s="34">
        <f t="shared" ref="F11:F33" si="0">D11+E11</f>
        <v>0</v>
      </c>
      <c r="G11" s="35">
        <f>SUMIFS(F12:F$33, B12:B$33, A11) + SUMIFS(G12:G$33, B12:B$33, A11)</f>
        <v>0</v>
      </c>
      <c r="H11" s="34">
        <f t="shared" ref="H11:H33" si="1">((D11/2)+G11)*C11</f>
        <v>0</v>
      </c>
      <c r="I11" s="36"/>
      <c r="J11" s="30" t="str">
        <f>IFERROR(VLOOKUP(I11,'BASE DE DADOS'!$A$4:$B$95,2,0)," ")</f>
        <v xml:space="preserve"> </v>
      </c>
      <c r="K11" s="34" t="str">
        <f t="shared" ref="K11:K33" si="2">IFERROR(H11*J11," ")</f>
        <v xml:space="preserve"> </v>
      </c>
      <c r="L11" s="37" t="str">
        <f t="shared" ref="L11:L33" si="3">IFERROR(IF(B11="TRAFO",K11,SUMIFS($L$11:$L$33,$A$11:$A$33,B11)+K11)," ")</f>
        <v xml:space="preserve"> </v>
      </c>
    </row>
    <row r="12" spans="1:12" x14ac:dyDescent="0.3">
      <c r="A12" s="38" t="s">
        <v>42</v>
      </c>
      <c r="B12" s="44"/>
      <c r="C12" s="44"/>
      <c r="D12" s="44">
        <f>'ATUAL+NC'!K4</f>
        <v>0</v>
      </c>
      <c r="E12" s="44">
        <f>'ATUAL+NC'!Y4</f>
        <v>0</v>
      </c>
      <c r="F12" s="42">
        <f t="shared" si="0"/>
        <v>0</v>
      </c>
      <c r="G12" s="41">
        <f>SUMIFS(F13:F$33, B13:B$33, A12) + SUMIFS(G13:G$33, B13:B$33, A12)</f>
        <v>0</v>
      </c>
      <c r="H12" s="42">
        <f t="shared" si="1"/>
        <v>0</v>
      </c>
      <c r="I12" s="40"/>
      <c r="J12" s="38" t="str">
        <f>IFERROR(VLOOKUP(I12,'BASE DE DADOS'!$A$4:$B$95,2,0)," ")</f>
        <v xml:space="preserve"> </v>
      </c>
      <c r="K12" s="42" t="str">
        <f t="shared" si="2"/>
        <v xml:space="preserve"> </v>
      </c>
      <c r="L12" s="43" t="str">
        <f t="shared" si="3"/>
        <v xml:space="preserve"> </v>
      </c>
    </row>
    <row r="13" spans="1:12" x14ac:dyDescent="0.3">
      <c r="A13" s="30" t="s">
        <v>43</v>
      </c>
      <c r="B13" s="32"/>
      <c r="C13" s="32"/>
      <c r="D13" s="32">
        <f>'ATUAL+NC'!K5</f>
        <v>0</v>
      </c>
      <c r="E13" s="32">
        <f>'ATUAL+NC'!Y5</f>
        <v>0</v>
      </c>
      <c r="F13" s="34">
        <f t="shared" si="0"/>
        <v>0</v>
      </c>
      <c r="G13" s="35">
        <f>SUMIFS(F14:F$33, B14:B$33, A13) + SUMIFS(G14:G$33, B14:B$33, A13)</f>
        <v>0</v>
      </c>
      <c r="H13" s="34">
        <f t="shared" si="1"/>
        <v>0</v>
      </c>
      <c r="I13" s="36"/>
      <c r="J13" s="30" t="str">
        <f>IFERROR(VLOOKUP(I13,'BASE DE DADOS'!$A$4:$B$95,2,0)," ")</f>
        <v xml:space="preserve"> </v>
      </c>
      <c r="K13" s="34" t="str">
        <f t="shared" si="2"/>
        <v xml:space="preserve"> </v>
      </c>
      <c r="L13" s="37" t="str">
        <f t="shared" si="3"/>
        <v xml:space="preserve"> </v>
      </c>
    </row>
    <row r="14" spans="1:12" x14ac:dyDescent="0.3">
      <c r="A14" s="38" t="s">
        <v>44</v>
      </c>
      <c r="B14" s="44">
        <f>'CQT ATUAL'!B14</f>
        <v>0</v>
      </c>
      <c r="C14" s="44">
        <f>'CQT ATUAL'!C14</f>
        <v>0</v>
      </c>
      <c r="D14" s="44">
        <f>'ATUAL+NC'!K6</f>
        <v>0</v>
      </c>
      <c r="E14" s="44">
        <f>'ATUAL+NC'!Y6</f>
        <v>0</v>
      </c>
      <c r="F14" s="42">
        <f t="shared" si="0"/>
        <v>0</v>
      </c>
      <c r="G14" s="41">
        <f>SUMIFS(F15:F$33, B15:B$33, A14) + SUMIFS(G15:G$33, B15:B$33, A14)</f>
        <v>0</v>
      </c>
      <c r="H14" s="42">
        <f t="shared" si="1"/>
        <v>0</v>
      </c>
      <c r="I14" s="40"/>
      <c r="J14" s="38" t="str">
        <f>IFERROR(VLOOKUP(I14,'BASE DE DADOS'!$A$4:$B$95,2,0)," ")</f>
        <v xml:space="preserve"> </v>
      </c>
      <c r="K14" s="42" t="str">
        <f t="shared" si="2"/>
        <v xml:space="preserve"> </v>
      </c>
      <c r="L14" s="43" t="str">
        <f t="shared" si="3"/>
        <v xml:space="preserve"> </v>
      </c>
    </row>
    <row r="15" spans="1:12" x14ac:dyDescent="0.3">
      <c r="A15" s="30" t="s">
        <v>45</v>
      </c>
      <c r="B15" s="32">
        <f>'CQT ATUAL'!B15</f>
        <v>0</v>
      </c>
      <c r="C15" s="32">
        <f>'CQT ATUAL'!C15</f>
        <v>0</v>
      </c>
      <c r="D15" s="32">
        <f>'ATUAL+NC'!K7</f>
        <v>0</v>
      </c>
      <c r="E15" s="32">
        <f>'ATUAL+NC'!Y7</f>
        <v>0</v>
      </c>
      <c r="F15" s="34">
        <f t="shared" si="0"/>
        <v>0</v>
      </c>
      <c r="G15" s="35">
        <f>SUMIFS(F16:F$33, B16:B$33, A15) + SUMIFS(G16:G$33, B16:B$33, A15)</f>
        <v>0</v>
      </c>
      <c r="H15" s="34">
        <f t="shared" si="1"/>
        <v>0</v>
      </c>
      <c r="I15" s="36"/>
      <c r="J15" s="30" t="str">
        <f>IFERROR(VLOOKUP(I15,'BASE DE DADOS'!$A$4:$B$95,2,0)," ")</f>
        <v xml:space="preserve"> </v>
      </c>
      <c r="K15" s="34" t="str">
        <f t="shared" si="2"/>
        <v xml:space="preserve"> </v>
      </c>
      <c r="L15" s="37" t="str">
        <f t="shared" si="3"/>
        <v xml:space="preserve"> </v>
      </c>
    </row>
    <row r="16" spans="1:12" x14ac:dyDescent="0.3">
      <c r="A16" s="38" t="s">
        <v>46</v>
      </c>
      <c r="B16" s="44">
        <f>'CQT ATUAL'!B16</f>
        <v>0</v>
      </c>
      <c r="C16" s="44">
        <f>'CQT ATUAL'!C16</f>
        <v>0</v>
      </c>
      <c r="D16" s="44">
        <f>'ATUAL+NC'!K8</f>
        <v>0</v>
      </c>
      <c r="E16" s="44">
        <f>'ATUAL+NC'!Y8</f>
        <v>0</v>
      </c>
      <c r="F16" s="42">
        <f t="shared" si="0"/>
        <v>0</v>
      </c>
      <c r="G16" s="41">
        <f>SUMIFS(F17:F$33, B17:B$33, A16) + SUMIFS(G17:G$33, B17:B$33, A16)</f>
        <v>0</v>
      </c>
      <c r="H16" s="42">
        <f t="shared" si="1"/>
        <v>0</v>
      </c>
      <c r="I16" s="40"/>
      <c r="J16" s="38" t="str">
        <f>IFERROR(VLOOKUP(I16,'BASE DE DADOS'!$A$4:$B$95,2,0)," ")</f>
        <v xml:space="preserve"> </v>
      </c>
      <c r="K16" s="42" t="str">
        <f t="shared" si="2"/>
        <v xml:space="preserve"> </v>
      </c>
      <c r="L16" s="43" t="str">
        <f t="shared" si="3"/>
        <v xml:space="preserve"> </v>
      </c>
    </row>
    <row r="17" spans="1:12" x14ac:dyDescent="0.3">
      <c r="A17" s="30" t="s">
        <v>47</v>
      </c>
      <c r="B17" s="32">
        <f>'CQT ATUAL'!B17</f>
        <v>0</v>
      </c>
      <c r="C17" s="32">
        <f>'CQT ATUAL'!C17</f>
        <v>0</v>
      </c>
      <c r="D17" s="32">
        <f>'ATUAL+NC'!K9</f>
        <v>0</v>
      </c>
      <c r="E17" s="32">
        <f>'ATUAL+NC'!Y9</f>
        <v>0</v>
      </c>
      <c r="F17" s="34">
        <f t="shared" si="0"/>
        <v>0</v>
      </c>
      <c r="G17" s="35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48</v>
      </c>
      <c r="B18" s="44">
        <f>'CQT ATUAL'!B18</f>
        <v>0</v>
      </c>
      <c r="C18" s="44">
        <f>'CQT ATUAL'!C18</f>
        <v>0</v>
      </c>
      <c r="D18" s="44">
        <f>'ATUAL+NC'!K10</f>
        <v>0</v>
      </c>
      <c r="E18" s="44">
        <f>'ATUAL+NC'!Y10</f>
        <v>0</v>
      </c>
      <c r="F18" s="42">
        <f t="shared" si="0"/>
        <v>0</v>
      </c>
      <c r="G18" s="41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49</v>
      </c>
      <c r="B19" s="32">
        <f>'CQT ATUAL'!B19</f>
        <v>0</v>
      </c>
      <c r="C19" s="32">
        <f>'CQT ATUAL'!C19</f>
        <v>0</v>
      </c>
      <c r="D19" s="32">
        <f>'ATUAL+NC'!K11</f>
        <v>0</v>
      </c>
      <c r="E19" s="32">
        <f>'ATUAL+NC'!Y11</f>
        <v>0</v>
      </c>
      <c r="F19" s="34">
        <f t="shared" si="0"/>
        <v>0</v>
      </c>
      <c r="G19" s="35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51</v>
      </c>
      <c r="B20" s="44">
        <f>'CQT ATUAL'!B20</f>
        <v>0</v>
      </c>
      <c r="C20" s="44">
        <f>'CQT ATUAL'!C20</f>
        <v>0</v>
      </c>
      <c r="D20" s="44">
        <f>'ATUAL+NC'!K12</f>
        <v>0</v>
      </c>
      <c r="E20" s="44">
        <f>'ATUAL+NC'!Y12</f>
        <v>0</v>
      </c>
      <c r="F20" s="42">
        <f t="shared" si="0"/>
        <v>0</v>
      </c>
      <c r="G20" s="41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56</v>
      </c>
      <c r="B21" s="32">
        <f>'CQT ATUAL'!B21</f>
        <v>0</v>
      </c>
      <c r="C21" s="32">
        <f>'CQT ATUAL'!C21</f>
        <v>0</v>
      </c>
      <c r="D21" s="32">
        <f>'ATUAL+NC'!K13</f>
        <v>0</v>
      </c>
      <c r="E21" s="32">
        <f>'ATUAL+NC'!Y13</f>
        <v>0</v>
      </c>
      <c r="F21" s="34">
        <f t="shared" si="0"/>
        <v>0</v>
      </c>
      <c r="G21" s="35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57</v>
      </c>
      <c r="B22" s="44">
        <f>'CQT ATUAL'!B22</f>
        <v>0</v>
      </c>
      <c r="C22" s="44">
        <f>'CQT ATUAL'!C22</f>
        <v>0</v>
      </c>
      <c r="D22" s="44">
        <f>'ATUAL+NC'!K14</f>
        <v>0</v>
      </c>
      <c r="E22" s="44">
        <f>'ATUAL+NC'!Y14</f>
        <v>0</v>
      </c>
      <c r="F22" s="42">
        <f t="shared" si="0"/>
        <v>0</v>
      </c>
      <c r="G22" s="41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58</v>
      </c>
      <c r="B23" s="32">
        <f>'CQT ATUAL'!B23</f>
        <v>0</v>
      </c>
      <c r="C23" s="32">
        <f>'CQT ATUAL'!C23</f>
        <v>0</v>
      </c>
      <c r="D23" s="32">
        <f>'ATUAL+NC'!K15</f>
        <v>0</v>
      </c>
      <c r="E23" s="32">
        <f>'ATUAL+NC'!Y15</f>
        <v>0</v>
      </c>
      <c r="F23" s="34">
        <f t="shared" si="0"/>
        <v>0</v>
      </c>
      <c r="G23" s="35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59</v>
      </c>
      <c r="B24" s="44">
        <f>'CQT ATUAL'!B24</f>
        <v>0</v>
      </c>
      <c r="C24" s="44">
        <f>'CQT ATUAL'!C24</f>
        <v>0</v>
      </c>
      <c r="D24" s="44">
        <f>'ATUAL+NC'!K16</f>
        <v>0</v>
      </c>
      <c r="E24" s="44">
        <f>'ATUAL+NC'!Y16</f>
        <v>0</v>
      </c>
      <c r="F24" s="42">
        <f t="shared" si="0"/>
        <v>0</v>
      </c>
      <c r="G24" s="41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60</v>
      </c>
      <c r="B25" s="32">
        <f>'CQT ATUAL'!B25</f>
        <v>0</v>
      </c>
      <c r="C25" s="32">
        <f>'CQT ATUAL'!C25</f>
        <v>0</v>
      </c>
      <c r="D25" s="32">
        <f>'ATUAL+NC'!K17</f>
        <v>0</v>
      </c>
      <c r="E25" s="32">
        <f>'ATUAL+NC'!Y17</f>
        <v>0</v>
      </c>
      <c r="F25" s="34">
        <f t="shared" si="0"/>
        <v>0</v>
      </c>
      <c r="G25" s="35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ht="14.25" customHeight="1" x14ac:dyDescent="0.3">
      <c r="A26" s="38" t="s">
        <v>61</v>
      </c>
      <c r="B26" s="44">
        <f>'CQT ATUAL'!B26</f>
        <v>0</v>
      </c>
      <c r="C26" s="44">
        <f>'CQT ATUAL'!C26</f>
        <v>0</v>
      </c>
      <c r="D26" s="44">
        <f>'ATUAL+NC'!K18</f>
        <v>0</v>
      </c>
      <c r="E26" s="44">
        <f>'ATUAL+NC'!Y18</f>
        <v>0</v>
      </c>
      <c r="F26" s="42">
        <f t="shared" si="0"/>
        <v>0</v>
      </c>
      <c r="G26" s="41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62</v>
      </c>
      <c r="B27" s="32">
        <f>'CQT ATUAL'!B27</f>
        <v>0</v>
      </c>
      <c r="C27" s="32">
        <f>'CQT ATUAL'!C27</f>
        <v>0</v>
      </c>
      <c r="D27" s="32">
        <f>'ATUAL+NC'!K19</f>
        <v>0</v>
      </c>
      <c r="E27" s="32">
        <f>'ATUAL+NC'!Y19</f>
        <v>0</v>
      </c>
      <c r="F27" s="34">
        <f t="shared" si="0"/>
        <v>0</v>
      </c>
      <c r="G27" s="35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63</v>
      </c>
      <c r="B28" s="44">
        <f>'CQT ATUAL'!B28</f>
        <v>0</v>
      </c>
      <c r="C28" s="44">
        <f>'CQT ATUAL'!C28</f>
        <v>0</v>
      </c>
      <c r="D28" s="44">
        <f>'ATUAL+NC'!K20</f>
        <v>0</v>
      </c>
      <c r="E28" s="44">
        <f>'ATUAL+NC'!Y20</f>
        <v>0</v>
      </c>
      <c r="F28" s="42">
        <f t="shared" si="0"/>
        <v>0</v>
      </c>
      <c r="G28" s="41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64</v>
      </c>
      <c r="B29" s="32">
        <f>'CQT ATUAL'!B29</f>
        <v>0</v>
      </c>
      <c r="C29" s="32">
        <f>'CQT ATUAL'!C29</f>
        <v>0</v>
      </c>
      <c r="D29" s="32">
        <f>'ATUAL+NC'!K21</f>
        <v>0</v>
      </c>
      <c r="E29" s="32">
        <f>'ATUAL+NC'!Y21</f>
        <v>0</v>
      </c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65</v>
      </c>
      <c r="B30" s="44">
        <f>'CQT ATUAL'!B30</f>
        <v>0</v>
      </c>
      <c r="C30" s="44">
        <f>'CQT ATUAL'!C30</f>
        <v>0</v>
      </c>
      <c r="D30" s="44">
        <f>'ATUAL+NC'!K22</f>
        <v>0</v>
      </c>
      <c r="E30" s="44">
        <f>'ATUAL+NC'!Y22</f>
        <v>0</v>
      </c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66</v>
      </c>
      <c r="B31" s="32">
        <f>'CQT ATUAL'!B31</f>
        <v>0</v>
      </c>
      <c r="C31" s="32">
        <f>'CQT ATUAL'!C31</f>
        <v>0</v>
      </c>
      <c r="D31" s="32">
        <f>'ATUAL+NC'!K23</f>
        <v>0</v>
      </c>
      <c r="E31" s="32">
        <f>'ATUAL+NC'!Y23</f>
        <v>0</v>
      </c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68</v>
      </c>
      <c r="B32" s="44">
        <f>'CQT ATUAL'!B32</f>
        <v>0</v>
      </c>
      <c r="C32" s="44">
        <f>'CQT ATUAL'!C32</f>
        <v>0</v>
      </c>
      <c r="D32" s="44">
        <f>'ATUAL+NC'!K24</f>
        <v>0</v>
      </c>
      <c r="E32" s="44">
        <f>'ATUAL+NC'!Y24</f>
        <v>0</v>
      </c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70</v>
      </c>
      <c r="B33" s="32">
        <f>'CQT ATUAL'!B33</f>
        <v>0</v>
      </c>
      <c r="C33" s="32">
        <f>'CQT ATUAL'!C33</f>
        <v>0</v>
      </c>
      <c r="D33" s="32">
        <f>'ATUAL+NC'!K25</f>
        <v>0</v>
      </c>
      <c r="E33" s="32">
        <f>'ATUAL+NC'!Y25</f>
        <v>0</v>
      </c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</sheetData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B11:E33">
    <cfRule type="cellIs" dxfId="12" priority="1" operator="equal">
      <formula>0</formula>
    </cfRule>
  </conditionalFormatting>
  <conditionalFormatting sqref="G3">
    <cfRule type="cellIs" dxfId="11" priority="3" operator="greaterThan">
      <formula>1.2</formula>
    </cfRule>
    <cfRule type="cellIs" dxfId="10" priority="4" operator="lessThan">
      <formula>1.2</formula>
    </cfRule>
  </conditionalFormatting>
  <conditionalFormatting sqref="K11:L33">
    <cfRule type="cellIs" dxfId="9" priority="2" operator="greaterThan">
      <formula>6.099</formula>
    </cfRule>
  </conditionalFormatting>
  <conditionalFormatting sqref="L11:L33">
    <cfRule type="cellIs" dxfId="8" priority="5" stopIfTrue="1" operator="greaterThanOrEqual">
      <formula>6</formula>
    </cfRule>
  </conditionalFormatting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5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>
    <tabColor rgb="FF366092"/>
  </sheetPr>
  <dimension ref="A1:L33"/>
  <sheetViews>
    <sheetView showGridLines="0" zoomScale="85" zoomScaleNormal="85" workbookViewId="0">
      <pane xSplit="2" ySplit="10" topLeftCell="C11" activePane="bottomRight" state="frozen"/>
      <selection pane="topRight"/>
      <selection pane="bottomLeft"/>
      <selection pane="bottomRight" activeCell="F4" sqref="F4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3.886718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73</v>
      </c>
      <c r="B1" s="17" t="str">
        <f>'CQT ATUAL'!B1</f>
        <v>A055681851</v>
      </c>
      <c r="C1" s="2"/>
      <c r="D1" s="2"/>
      <c r="E1" s="2"/>
      <c r="F1" s="2"/>
      <c r="G1" s="135" t="s">
        <v>75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36"/>
      <c r="H2" s="2"/>
      <c r="I2" s="2"/>
      <c r="J2" s="2"/>
      <c r="K2" s="2"/>
      <c r="L2" s="2"/>
    </row>
    <row r="3" spans="1:12" x14ac:dyDescent="0.3">
      <c r="C3" s="2"/>
      <c r="D3" s="137" t="s">
        <v>76</v>
      </c>
      <c r="E3" s="134"/>
      <c r="F3" s="90">
        <f>PROJETADO!C10</f>
        <v>150</v>
      </c>
      <c r="G3" s="4">
        <f>F5/F3</f>
        <v>0</v>
      </c>
      <c r="H3" s="2"/>
      <c r="I3" s="2"/>
      <c r="J3" s="2"/>
      <c r="K3" s="2"/>
      <c r="L3" s="2"/>
    </row>
    <row r="4" spans="1:12" x14ac:dyDescent="0.3">
      <c r="C4" s="2"/>
      <c r="D4" s="133" t="s">
        <v>77</v>
      </c>
      <c r="E4" s="134"/>
      <c r="F4" s="5"/>
      <c r="G4" s="2"/>
      <c r="H4" s="2"/>
      <c r="I4" s="2"/>
      <c r="J4" s="2"/>
      <c r="K4" s="2"/>
      <c r="L4" s="2"/>
    </row>
    <row r="5" spans="1:12" ht="45" customHeight="1" x14ac:dyDescent="0.3">
      <c r="C5" s="2"/>
      <c r="D5" s="140" t="s">
        <v>78</v>
      </c>
      <c r="E5" s="134"/>
      <c r="F5" s="5">
        <f>SUM(F11:F33)</f>
        <v>0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7" t="s">
        <v>79</v>
      </c>
      <c r="B7" s="138"/>
      <c r="C7" s="134"/>
      <c r="D7" s="137" t="s">
        <v>80</v>
      </c>
      <c r="E7" s="138"/>
      <c r="F7" s="138"/>
      <c r="G7" s="138"/>
      <c r="H7" s="134"/>
      <c r="I7" s="133" t="s">
        <v>81</v>
      </c>
      <c r="J7" s="133" t="s">
        <v>82</v>
      </c>
      <c r="K7" s="138"/>
      <c r="L7" s="134"/>
    </row>
    <row r="8" spans="1:12" ht="30" customHeight="1" x14ac:dyDescent="0.3">
      <c r="A8" s="20" t="s">
        <v>28</v>
      </c>
      <c r="B8" s="139" t="s">
        <v>83</v>
      </c>
      <c r="C8" s="20" t="s">
        <v>84</v>
      </c>
      <c r="D8" s="139" t="s">
        <v>85</v>
      </c>
      <c r="E8" s="138"/>
      <c r="F8" s="134"/>
      <c r="G8" s="16" t="s">
        <v>86</v>
      </c>
      <c r="H8" s="19" t="s">
        <v>87</v>
      </c>
      <c r="I8" s="136"/>
      <c r="J8" s="20" t="s">
        <v>88</v>
      </c>
      <c r="K8" s="20" t="s">
        <v>89</v>
      </c>
      <c r="L8" s="20" t="s">
        <v>17</v>
      </c>
    </row>
    <row r="9" spans="1:12" x14ac:dyDescent="0.3">
      <c r="A9" s="21" t="s">
        <v>90</v>
      </c>
      <c r="B9" s="136"/>
      <c r="C9" s="21" t="s">
        <v>91</v>
      </c>
      <c r="D9" s="137" t="s">
        <v>92</v>
      </c>
      <c r="E9" s="138"/>
      <c r="F9" s="134"/>
      <c r="G9" s="21" t="s">
        <v>93</v>
      </c>
      <c r="H9" s="21" t="s">
        <v>94</v>
      </c>
      <c r="I9" s="21" t="s">
        <v>95</v>
      </c>
      <c r="J9" s="21" t="s">
        <v>96</v>
      </c>
      <c r="K9" s="20" t="s">
        <v>97</v>
      </c>
      <c r="L9" s="20" t="s">
        <v>98</v>
      </c>
    </row>
    <row r="10" spans="1:12" x14ac:dyDescent="0.3">
      <c r="A10" s="21"/>
      <c r="B10" s="18"/>
      <c r="C10" s="21"/>
      <c r="D10" s="21" t="s">
        <v>103</v>
      </c>
      <c r="E10" s="21" t="s">
        <v>99</v>
      </c>
      <c r="F10" s="21" t="s">
        <v>100</v>
      </c>
      <c r="G10" s="21"/>
      <c r="H10" s="21"/>
      <c r="I10" s="21"/>
      <c r="J10" s="21"/>
      <c r="K10" s="20"/>
      <c r="L10" s="20"/>
    </row>
    <row r="11" spans="1:12" x14ac:dyDescent="0.3">
      <c r="A11" s="30" t="s">
        <v>90</v>
      </c>
      <c r="B11" s="31"/>
      <c r="C11" s="32"/>
      <c r="D11" s="33">
        <f>PROJETADO!K3</f>
        <v>0</v>
      </c>
      <c r="E11" s="33">
        <f>PROJETADO!Y3</f>
        <v>0</v>
      </c>
      <c r="F11" s="34">
        <f t="shared" ref="F11:F33" si="0">D11+E11</f>
        <v>0</v>
      </c>
      <c r="G11" s="36">
        <f>SUMIFS(F12:F$33, B12:B$33, A11) + SUMIFS(G12:G$33, B12:B$33, A11)</f>
        <v>0</v>
      </c>
      <c r="H11" s="34">
        <f t="shared" ref="H11:H33" si="1">((D11/2)+G11)*C11</f>
        <v>0</v>
      </c>
      <c r="I11" s="36"/>
      <c r="J11" s="30" t="str">
        <f>IFERROR(VLOOKUP(I11,'BASE DE DADOS'!$A$4:$B$95,2,0)," ")</f>
        <v xml:space="preserve"> </v>
      </c>
      <c r="K11" s="34" t="str">
        <f t="shared" ref="K11:K33" si="2">IFERROR(H11*J11," ")</f>
        <v xml:space="preserve"> </v>
      </c>
      <c r="L11" s="37" t="str">
        <f t="shared" ref="L11:L33" si="3">IFERROR(IF(B11="TRAFO",K11,SUMIFS($L$11:$L$33,$A$11:$A$33,B11)+K11)," ")</f>
        <v xml:space="preserve"> </v>
      </c>
    </row>
    <row r="12" spans="1:12" x14ac:dyDescent="0.3">
      <c r="A12" s="38" t="s">
        <v>42</v>
      </c>
      <c r="B12" s="39"/>
      <c r="C12" s="40"/>
      <c r="D12" s="45">
        <f>PROJETADO!K4</f>
        <v>0</v>
      </c>
      <c r="E12" s="45">
        <f>PROJETADO!Y4</f>
        <v>0</v>
      </c>
      <c r="F12" s="42">
        <f t="shared" si="0"/>
        <v>0</v>
      </c>
      <c r="G12" s="40">
        <f>SUMIFS(F13:F$33, B13:B$33, A12) + SUMIFS(G13:G$33, B13:B$33, A12)</f>
        <v>0</v>
      </c>
      <c r="H12" s="42">
        <f t="shared" si="1"/>
        <v>0</v>
      </c>
      <c r="I12" s="40"/>
      <c r="J12" s="38" t="str">
        <f>IFERROR(VLOOKUP(I12,'BASE DE DADOS'!$A$4:$B$95,2,0)," ")</f>
        <v xml:space="preserve"> </v>
      </c>
      <c r="K12" s="42" t="str">
        <f t="shared" si="2"/>
        <v xml:space="preserve"> </v>
      </c>
      <c r="L12" s="43" t="str">
        <f t="shared" si="3"/>
        <v xml:space="preserve"> </v>
      </c>
    </row>
    <row r="13" spans="1:12" x14ac:dyDescent="0.3">
      <c r="A13" s="30" t="s">
        <v>43</v>
      </c>
      <c r="B13" s="31"/>
      <c r="C13" s="36"/>
      <c r="D13" s="33">
        <f>PROJETADO!K5</f>
        <v>0</v>
      </c>
      <c r="E13" s="33">
        <f>PROJETADO!Y5</f>
        <v>0</v>
      </c>
      <c r="F13" s="34">
        <f t="shared" si="0"/>
        <v>0</v>
      </c>
      <c r="G13" s="36">
        <f>SUMIFS(F14:F$33, B14:B$33, A13) + SUMIFS(G14:G$33, B14:B$33, A13)</f>
        <v>0</v>
      </c>
      <c r="H13" s="34">
        <f t="shared" si="1"/>
        <v>0</v>
      </c>
      <c r="I13" s="36"/>
      <c r="J13" s="30" t="str">
        <f>IFERROR(VLOOKUP(I13,'BASE DE DADOS'!$A$4:$B$95,2,0)," ")</f>
        <v xml:space="preserve"> </v>
      </c>
      <c r="K13" s="34" t="str">
        <f t="shared" si="2"/>
        <v xml:space="preserve"> </v>
      </c>
      <c r="L13" s="37" t="str">
        <f t="shared" si="3"/>
        <v xml:space="preserve"> </v>
      </c>
    </row>
    <row r="14" spans="1:12" x14ac:dyDescent="0.3">
      <c r="A14" s="38" t="s">
        <v>44</v>
      </c>
      <c r="B14" s="39"/>
      <c r="C14" s="40"/>
      <c r="D14" s="45">
        <f>PROJETADO!K6</f>
        <v>0</v>
      </c>
      <c r="E14" s="45">
        <f>PROJETADO!Y6</f>
        <v>0</v>
      </c>
      <c r="F14" s="42">
        <f t="shared" si="0"/>
        <v>0</v>
      </c>
      <c r="G14" s="40">
        <f>SUMIFS(F15:F$33, B15:B$33, A14) + SUMIFS(G15:G$33, B15:B$33, A14)</f>
        <v>0</v>
      </c>
      <c r="H14" s="42">
        <f t="shared" si="1"/>
        <v>0</v>
      </c>
      <c r="I14" s="40"/>
      <c r="J14" s="38" t="str">
        <f>IFERROR(VLOOKUP(I14,'BASE DE DADOS'!$A$4:$B$95,2,0)," ")</f>
        <v xml:space="preserve"> </v>
      </c>
      <c r="K14" s="42" t="str">
        <f t="shared" si="2"/>
        <v xml:space="preserve"> </v>
      </c>
      <c r="L14" s="43" t="str">
        <f t="shared" si="3"/>
        <v xml:space="preserve"> </v>
      </c>
    </row>
    <row r="15" spans="1:12" x14ac:dyDescent="0.3">
      <c r="A15" s="30" t="s">
        <v>45</v>
      </c>
      <c r="B15" s="31"/>
      <c r="C15" s="36"/>
      <c r="D15" s="33">
        <f>PROJETADO!K7</f>
        <v>0</v>
      </c>
      <c r="E15" s="33">
        <f>PROJETADO!Y7</f>
        <v>0</v>
      </c>
      <c r="F15" s="34">
        <f t="shared" si="0"/>
        <v>0</v>
      </c>
      <c r="G15" s="36">
        <f>SUMIFS(F16:F$33, B16:B$33, A15) + SUMIFS(G16:G$33, B16:B$33, A15)</f>
        <v>0</v>
      </c>
      <c r="H15" s="34">
        <f t="shared" si="1"/>
        <v>0</v>
      </c>
      <c r="I15" s="36"/>
      <c r="J15" s="30" t="str">
        <f>IFERROR(VLOOKUP(I15,'BASE DE DADOS'!$A$4:$B$95,2,0)," ")</f>
        <v xml:space="preserve"> </v>
      </c>
      <c r="K15" s="34" t="str">
        <f t="shared" si="2"/>
        <v xml:space="preserve"> </v>
      </c>
      <c r="L15" s="37" t="str">
        <f t="shared" si="3"/>
        <v xml:space="preserve"> </v>
      </c>
    </row>
    <row r="16" spans="1:12" x14ac:dyDescent="0.3">
      <c r="A16" s="38" t="s">
        <v>46</v>
      </c>
      <c r="B16" s="39"/>
      <c r="C16" s="40"/>
      <c r="D16" s="45">
        <f>PROJETADO!K8</f>
        <v>0</v>
      </c>
      <c r="E16" s="45">
        <f>PROJETADO!Y8</f>
        <v>0</v>
      </c>
      <c r="F16" s="42">
        <f t="shared" si="0"/>
        <v>0</v>
      </c>
      <c r="G16" s="40">
        <f>SUMIFS(F17:F$33, B17:B$33, A16) + SUMIFS(G17:G$33, B17:B$33, A16)</f>
        <v>0</v>
      </c>
      <c r="H16" s="42">
        <f t="shared" si="1"/>
        <v>0</v>
      </c>
      <c r="I16" s="40"/>
      <c r="J16" s="38" t="str">
        <f>IFERROR(VLOOKUP(I16,'BASE DE DADOS'!$A$4:$B$95,2,0)," ")</f>
        <v xml:space="preserve"> </v>
      </c>
      <c r="K16" s="42" t="str">
        <f t="shared" si="2"/>
        <v xml:space="preserve"> </v>
      </c>
      <c r="L16" s="43" t="str">
        <f t="shared" si="3"/>
        <v xml:space="preserve"> </v>
      </c>
    </row>
    <row r="17" spans="1:12" x14ac:dyDescent="0.3">
      <c r="A17" s="30" t="s">
        <v>47</v>
      </c>
      <c r="B17" s="31"/>
      <c r="C17" s="36"/>
      <c r="D17" s="33">
        <f>PROJETADO!K9</f>
        <v>0</v>
      </c>
      <c r="E17" s="33">
        <f>PROJETADO!Y9</f>
        <v>0</v>
      </c>
      <c r="F17" s="34">
        <f t="shared" si="0"/>
        <v>0</v>
      </c>
      <c r="G17" s="36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48</v>
      </c>
      <c r="B18" s="39"/>
      <c r="C18" s="40"/>
      <c r="D18" s="45">
        <f>PROJETADO!K10</f>
        <v>0</v>
      </c>
      <c r="E18" s="45">
        <f>PROJETADO!Y10</f>
        <v>0</v>
      </c>
      <c r="F18" s="42">
        <f t="shared" si="0"/>
        <v>0</v>
      </c>
      <c r="G18" s="40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49</v>
      </c>
      <c r="B19" s="31"/>
      <c r="C19" s="36"/>
      <c r="D19" s="33">
        <f>PROJETADO!K11</f>
        <v>0</v>
      </c>
      <c r="E19" s="33">
        <f>PROJETADO!Y11</f>
        <v>0</v>
      </c>
      <c r="F19" s="34">
        <f t="shared" si="0"/>
        <v>0</v>
      </c>
      <c r="G19" s="36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51</v>
      </c>
      <c r="B20" s="39"/>
      <c r="C20" s="40"/>
      <c r="D20" s="45">
        <f>PROJETADO!K12</f>
        <v>0</v>
      </c>
      <c r="E20" s="45">
        <f>PROJETADO!Y12</f>
        <v>0</v>
      </c>
      <c r="F20" s="42">
        <f t="shared" si="0"/>
        <v>0</v>
      </c>
      <c r="G20" s="40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56</v>
      </c>
      <c r="B21" s="31"/>
      <c r="C21" s="32"/>
      <c r="D21" s="33">
        <f>PROJETADO!K13</f>
        <v>0</v>
      </c>
      <c r="E21" s="33">
        <f>PROJETADO!Y13</f>
        <v>0</v>
      </c>
      <c r="F21" s="34">
        <f t="shared" si="0"/>
        <v>0</v>
      </c>
      <c r="G21" s="36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57</v>
      </c>
      <c r="B22" s="39"/>
      <c r="C22" s="40"/>
      <c r="D22" s="45">
        <f>PROJETADO!K14</f>
        <v>0</v>
      </c>
      <c r="E22" s="45">
        <f>PROJETADO!Y14</f>
        <v>0</v>
      </c>
      <c r="F22" s="42">
        <f t="shared" si="0"/>
        <v>0</v>
      </c>
      <c r="G22" s="40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58</v>
      </c>
      <c r="B23" s="31"/>
      <c r="C23" s="36"/>
      <c r="D23" s="33">
        <f>PROJETADO!K15</f>
        <v>0</v>
      </c>
      <c r="E23" s="33">
        <f>PROJETADO!Y15</f>
        <v>0</v>
      </c>
      <c r="F23" s="34">
        <f t="shared" si="0"/>
        <v>0</v>
      </c>
      <c r="G23" s="36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59</v>
      </c>
      <c r="B24" s="39"/>
      <c r="C24" s="40"/>
      <c r="D24" s="45">
        <f>PROJETADO!K16</f>
        <v>0</v>
      </c>
      <c r="E24" s="45">
        <f>PROJETADO!Y16</f>
        <v>0</v>
      </c>
      <c r="F24" s="42">
        <f t="shared" si="0"/>
        <v>0</v>
      </c>
      <c r="G24" s="40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60</v>
      </c>
      <c r="B25" s="31"/>
      <c r="C25" s="36"/>
      <c r="D25" s="33">
        <f>PROJETADO!K17</f>
        <v>0</v>
      </c>
      <c r="E25" s="33">
        <f>PROJETADO!Y17</f>
        <v>0</v>
      </c>
      <c r="F25" s="34">
        <f t="shared" si="0"/>
        <v>0</v>
      </c>
      <c r="G25" s="36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ht="14.25" customHeight="1" x14ac:dyDescent="0.3">
      <c r="A26" s="38" t="s">
        <v>61</v>
      </c>
      <c r="B26" s="39"/>
      <c r="C26" s="40"/>
      <c r="D26" s="45">
        <f>PROJETADO!K18</f>
        <v>0</v>
      </c>
      <c r="E26" s="45">
        <f>PROJETADO!Y18</f>
        <v>0</v>
      </c>
      <c r="F26" s="42">
        <f t="shared" si="0"/>
        <v>0</v>
      </c>
      <c r="G26" s="40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62</v>
      </c>
      <c r="B27" s="31"/>
      <c r="C27" s="36"/>
      <c r="D27" s="33">
        <f>PROJETADO!K19</f>
        <v>0</v>
      </c>
      <c r="E27" s="33">
        <f>PROJETADO!Y19</f>
        <v>0</v>
      </c>
      <c r="F27" s="34">
        <f t="shared" si="0"/>
        <v>0</v>
      </c>
      <c r="G27" s="36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63</v>
      </c>
      <c r="B28" s="39"/>
      <c r="C28" s="40"/>
      <c r="D28" s="45">
        <f>PROJETADO!K20</f>
        <v>0</v>
      </c>
      <c r="E28" s="45">
        <f>PROJETADO!Y20</f>
        <v>0</v>
      </c>
      <c r="F28" s="42">
        <f t="shared" si="0"/>
        <v>0</v>
      </c>
      <c r="G28" s="40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64</v>
      </c>
      <c r="B29" s="31"/>
      <c r="C29" s="36"/>
      <c r="D29" s="33">
        <f>PROJETADO!K21</f>
        <v>0</v>
      </c>
      <c r="E29" s="33">
        <f>PROJETADO!Y21</f>
        <v>0</v>
      </c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65</v>
      </c>
      <c r="B30" s="39"/>
      <c r="C30" s="40"/>
      <c r="D30" s="45">
        <f>PROJETADO!K22</f>
        <v>0</v>
      </c>
      <c r="E30" s="45">
        <f>PROJETADO!Y22</f>
        <v>0</v>
      </c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66</v>
      </c>
      <c r="B31" s="31"/>
      <c r="C31" s="36"/>
      <c r="D31" s="33">
        <f>PROJETADO!K23</f>
        <v>0</v>
      </c>
      <c r="E31" s="33">
        <f>PROJETADO!Y23</f>
        <v>0</v>
      </c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68</v>
      </c>
      <c r="B32" s="39"/>
      <c r="C32" s="40"/>
      <c r="D32" s="45">
        <f>PROJETADO!K24</f>
        <v>0</v>
      </c>
      <c r="E32" s="45">
        <f>PROJETADO!Y24</f>
        <v>0</v>
      </c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70</v>
      </c>
      <c r="B33" s="31"/>
      <c r="C33" s="36"/>
      <c r="D33" s="33">
        <f>PROJETADO!K25</f>
        <v>0</v>
      </c>
      <c r="E33" s="33">
        <f>PROJETADO!Y25</f>
        <v>0</v>
      </c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</sheetData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G3">
    <cfRule type="cellIs" dxfId="7" priority="2" operator="greaterThan">
      <formula>1.2</formula>
    </cfRule>
    <cfRule type="cellIs" dxfId="6" priority="3" operator="lessThan">
      <formula>1.2</formula>
    </cfRule>
  </conditionalFormatting>
  <conditionalFormatting sqref="K11:L33">
    <cfRule type="cellIs" dxfId="5" priority="1" operator="greaterThan">
      <formula>6.099</formula>
    </cfRule>
  </conditionalFormatting>
  <conditionalFormatting sqref="L11:L33">
    <cfRule type="cellIs" dxfId="4" priority="4" stopIfTrue="1" operator="greaterThanOrEqual">
      <formula>6</formula>
    </cfRule>
  </conditionalFormatting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6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>
    <tabColor rgb="FFB1A0C7"/>
  </sheetPr>
  <dimension ref="A1:L48"/>
  <sheetViews>
    <sheetView showGridLines="0" topLeftCell="E2" zoomScale="85" zoomScaleNormal="85" workbookViewId="0">
      <pane xSplit="2" ySplit="10" topLeftCell="C11" activePane="bottomRight" state="frozen"/>
      <selection pane="topRight"/>
      <selection pane="bottomLeft"/>
      <selection pane="bottomRight" activeCell="I13" sqref="I13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2.886718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73</v>
      </c>
      <c r="B1" s="17" t="s">
        <v>105</v>
      </c>
      <c r="C1" s="2"/>
      <c r="D1" s="2"/>
      <c r="E1" s="2"/>
      <c r="F1" s="2"/>
      <c r="G1" s="135" t="s">
        <v>75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36"/>
      <c r="H2" s="2"/>
      <c r="I2" s="2"/>
      <c r="J2" s="2"/>
      <c r="K2" s="2"/>
      <c r="L2" s="2"/>
    </row>
    <row r="3" spans="1:12" x14ac:dyDescent="0.3">
      <c r="C3" s="2"/>
      <c r="D3" s="137" t="s">
        <v>76</v>
      </c>
      <c r="E3" s="134"/>
      <c r="F3" s="3">
        <v>45</v>
      </c>
      <c r="G3" s="4">
        <f>F5/F3</f>
        <v>1.1933333333333334</v>
      </c>
      <c r="H3" s="2"/>
      <c r="I3" s="2"/>
      <c r="J3" s="2"/>
      <c r="K3" s="2"/>
      <c r="L3" s="2"/>
    </row>
    <row r="4" spans="1:12" x14ac:dyDescent="0.3">
      <c r="C4" s="2"/>
      <c r="D4" s="133" t="s">
        <v>77</v>
      </c>
      <c r="E4" s="134"/>
      <c r="F4" s="22" t="s">
        <v>106</v>
      </c>
      <c r="G4" s="2"/>
      <c r="H4" s="2"/>
      <c r="I4" s="2"/>
      <c r="J4" s="2"/>
      <c r="K4" s="2"/>
      <c r="L4" s="2"/>
    </row>
    <row r="5" spans="1:12" ht="45" customHeight="1" x14ac:dyDescent="0.3">
      <c r="C5" s="2"/>
      <c r="D5" s="140" t="s">
        <v>78</v>
      </c>
      <c r="E5" s="134"/>
      <c r="F5" s="6">
        <f>SUM(F11:F33)</f>
        <v>53.7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7" t="s">
        <v>79</v>
      </c>
      <c r="B7" s="138"/>
      <c r="C7" s="134"/>
      <c r="D7" s="137" t="s">
        <v>80</v>
      </c>
      <c r="E7" s="138"/>
      <c r="F7" s="138"/>
      <c r="G7" s="138"/>
      <c r="H7" s="134"/>
      <c r="I7" s="133" t="s">
        <v>81</v>
      </c>
      <c r="J7" s="133" t="s">
        <v>82</v>
      </c>
      <c r="K7" s="138"/>
      <c r="L7" s="134"/>
    </row>
    <row r="8" spans="1:12" ht="30" customHeight="1" x14ac:dyDescent="0.3">
      <c r="A8" s="20" t="s">
        <v>28</v>
      </c>
      <c r="B8" s="139" t="s">
        <v>83</v>
      </c>
      <c r="C8" s="20" t="s">
        <v>84</v>
      </c>
      <c r="D8" s="139" t="s">
        <v>85</v>
      </c>
      <c r="E8" s="138"/>
      <c r="F8" s="134"/>
      <c r="G8" s="16" t="s">
        <v>86</v>
      </c>
      <c r="H8" s="19" t="s">
        <v>87</v>
      </c>
      <c r="I8" s="136"/>
      <c r="J8" s="20" t="s">
        <v>88</v>
      </c>
      <c r="K8" s="20" t="s">
        <v>89</v>
      </c>
      <c r="L8" s="20" t="s">
        <v>17</v>
      </c>
    </row>
    <row r="9" spans="1:12" x14ac:dyDescent="0.3">
      <c r="A9" s="21" t="s">
        <v>90</v>
      </c>
      <c r="B9" s="136"/>
      <c r="C9" s="21" t="s">
        <v>91</v>
      </c>
      <c r="D9" s="137" t="s">
        <v>92</v>
      </c>
      <c r="E9" s="138"/>
      <c r="F9" s="134"/>
      <c r="G9" s="21" t="s">
        <v>93</v>
      </c>
      <c r="H9" s="21" t="s">
        <v>94</v>
      </c>
      <c r="I9" s="21" t="s">
        <v>95</v>
      </c>
      <c r="J9" s="21" t="s">
        <v>96</v>
      </c>
      <c r="K9" s="20" t="s">
        <v>97</v>
      </c>
      <c r="L9" s="20" t="s">
        <v>98</v>
      </c>
    </row>
    <row r="10" spans="1:12" x14ac:dyDescent="0.3">
      <c r="A10" s="21"/>
      <c r="B10" s="18"/>
      <c r="C10" s="21"/>
      <c r="D10" s="23"/>
      <c r="E10" s="21" t="s">
        <v>99</v>
      </c>
      <c r="F10" s="21" t="s">
        <v>100</v>
      </c>
      <c r="G10" s="21"/>
      <c r="H10" s="21"/>
      <c r="I10" s="21"/>
      <c r="J10" s="21"/>
      <c r="K10" s="20"/>
      <c r="L10" s="20"/>
    </row>
    <row r="11" spans="1:12" x14ac:dyDescent="0.3">
      <c r="A11" s="30" t="s">
        <v>90</v>
      </c>
      <c r="B11" s="31" t="s">
        <v>41</v>
      </c>
      <c r="C11" s="32">
        <v>0.05</v>
      </c>
      <c r="D11" s="33">
        <v>8</v>
      </c>
      <c r="E11" s="33">
        <v>0.15</v>
      </c>
      <c r="F11" s="34">
        <f t="shared" ref="F11:F33" si="0">D11+E11</f>
        <v>8.15</v>
      </c>
      <c r="G11" s="36">
        <f>SUMIFS(F12:F$33, B12:B$33, A11) + SUMIFS(G12:G$33, B12:B$33, A11)</f>
        <v>45.55</v>
      </c>
      <c r="H11" s="34">
        <f t="shared" ref="H11:H33" si="1">((D11/2)+G11)*C11</f>
        <v>2.4775</v>
      </c>
      <c r="I11" s="36" t="s">
        <v>107</v>
      </c>
      <c r="J11" s="30">
        <f>IFERROR(VLOOKUP(I11,'BASE DE DADOS'!$A$4:$B$95,2,0)," ")</f>
        <v>8.2400000000000001E-2</v>
      </c>
      <c r="K11" s="34">
        <f t="shared" ref="K11:K33" si="2">IFERROR(H11*J11," ")</f>
        <v>0.20414599999999999</v>
      </c>
      <c r="L11" s="37">
        <f t="shared" ref="L11:L33" si="3">IFERROR(IF(B11="TRAFO",K11,SUMIFS($L$11:$L$33,$A$11:$A$33,B11)+K11)," ")</f>
        <v>0.20414599999999999</v>
      </c>
    </row>
    <row r="12" spans="1:12" x14ac:dyDescent="0.3">
      <c r="A12" s="38" t="s">
        <v>42</v>
      </c>
      <c r="B12" s="39" t="s">
        <v>90</v>
      </c>
      <c r="C12" s="40">
        <v>0.57999999999999996</v>
      </c>
      <c r="D12" s="40">
        <v>7.2</v>
      </c>
      <c r="E12" s="41">
        <v>0.3</v>
      </c>
      <c r="F12" s="42">
        <f t="shared" si="0"/>
        <v>7.5</v>
      </c>
      <c r="G12" s="40">
        <f>SUMIFS(F13:F$33, B13:B$33, A12) + SUMIFS(G13:G$33, B13:B$33, A12)</f>
        <v>38.049999999999997</v>
      </c>
      <c r="H12" s="42">
        <f t="shared" si="1"/>
        <v>24.156999999999996</v>
      </c>
      <c r="I12" s="40" t="s">
        <v>107</v>
      </c>
      <c r="J12" s="38">
        <f>IFERROR(VLOOKUP(I12,'BASE DE DADOS'!$A$4:$B$95,2,0)," ")</f>
        <v>8.2400000000000001E-2</v>
      </c>
      <c r="K12" s="42">
        <f t="shared" si="2"/>
        <v>1.9905367999999997</v>
      </c>
      <c r="L12" s="43">
        <f t="shared" si="3"/>
        <v>2.1946827999999998</v>
      </c>
    </row>
    <row r="13" spans="1:12" x14ac:dyDescent="0.3">
      <c r="A13" s="30" t="s">
        <v>43</v>
      </c>
      <c r="B13" s="31" t="s">
        <v>42</v>
      </c>
      <c r="C13" s="36">
        <v>0.12</v>
      </c>
      <c r="D13" s="36">
        <v>4.8000000000000007</v>
      </c>
      <c r="E13" s="35">
        <v>0</v>
      </c>
      <c r="F13" s="34">
        <f t="shared" si="0"/>
        <v>4.8000000000000007</v>
      </c>
      <c r="G13" s="36">
        <f>SUMIFS(F14:F$33, B14:B$33, A13) + SUMIFS(G14:G$33, B14:B$33, A13)</f>
        <v>33.25</v>
      </c>
      <c r="H13" s="34">
        <f t="shared" si="1"/>
        <v>4.2779999999999996</v>
      </c>
      <c r="I13" s="36" t="s">
        <v>108</v>
      </c>
      <c r="J13" s="30">
        <f>IFERROR(VLOOKUP(I13,'BASE DE DADOS'!$A$4:$B$95,2,0)," ")</f>
        <v>0.19639999999999999</v>
      </c>
      <c r="K13" s="34">
        <f t="shared" si="2"/>
        <v>0.84019919999999992</v>
      </c>
      <c r="L13" s="37">
        <f t="shared" si="3"/>
        <v>3.0348819999999996</v>
      </c>
    </row>
    <row r="14" spans="1:12" x14ac:dyDescent="0.3">
      <c r="A14" s="38" t="s">
        <v>44</v>
      </c>
      <c r="B14" s="39" t="s">
        <v>43</v>
      </c>
      <c r="C14" s="40">
        <v>0.14000000000000001</v>
      </c>
      <c r="D14" s="41">
        <v>7.2</v>
      </c>
      <c r="E14" s="41">
        <v>0</v>
      </c>
      <c r="F14" s="42">
        <f t="shared" si="0"/>
        <v>7.2</v>
      </c>
      <c r="G14" s="40">
        <f>SUMIFS(F15:F$33, B15:B$33, A14) + SUMIFS(G15:G$33, B15:B$33, A14)</f>
        <v>26.05</v>
      </c>
      <c r="H14" s="42">
        <f t="shared" si="1"/>
        <v>4.1510000000000007</v>
      </c>
      <c r="I14" s="40" t="s">
        <v>108</v>
      </c>
      <c r="J14" s="38">
        <f>IFERROR(VLOOKUP(I14,'BASE DE DADOS'!$A$4:$B$95,2,0)," ")</f>
        <v>0.19639999999999999</v>
      </c>
      <c r="K14" s="42">
        <f t="shared" si="2"/>
        <v>0.8152564000000001</v>
      </c>
      <c r="L14" s="43">
        <f t="shared" si="3"/>
        <v>3.8501383999999996</v>
      </c>
    </row>
    <row r="15" spans="1:12" x14ac:dyDescent="0.3">
      <c r="A15" s="30" t="s">
        <v>45</v>
      </c>
      <c r="B15" s="31" t="s">
        <v>44</v>
      </c>
      <c r="C15" s="36">
        <v>0.43</v>
      </c>
      <c r="D15" s="35">
        <v>10.4</v>
      </c>
      <c r="E15" s="35">
        <v>0.15</v>
      </c>
      <c r="F15" s="34">
        <f t="shared" si="0"/>
        <v>10.55</v>
      </c>
      <c r="G15" s="36">
        <f>SUMIFS(F16:F$33, B16:B$33, A15) + SUMIFS(G16:G$33, B16:B$33, A15)</f>
        <v>0</v>
      </c>
      <c r="H15" s="34">
        <f t="shared" si="1"/>
        <v>2.2360000000000002</v>
      </c>
      <c r="I15" s="36" t="s">
        <v>109</v>
      </c>
      <c r="J15" s="30">
        <f>IFERROR(VLOOKUP(I15,'BASE DE DADOS'!$A$4:$B$95,2,0)," ")</f>
        <v>0.15440000000000001</v>
      </c>
      <c r="K15" s="34">
        <f t="shared" si="2"/>
        <v>0.34523840000000006</v>
      </c>
      <c r="L15" s="37">
        <f t="shared" si="3"/>
        <v>4.1953768</v>
      </c>
    </row>
    <row r="16" spans="1:12" x14ac:dyDescent="0.3">
      <c r="A16" s="38" t="s">
        <v>46</v>
      </c>
      <c r="B16" s="39" t="s">
        <v>44</v>
      </c>
      <c r="C16" s="40">
        <f>(25+45)/100</f>
        <v>0.7</v>
      </c>
      <c r="D16" s="41">
        <v>15.2</v>
      </c>
      <c r="E16" s="41">
        <v>0.3</v>
      </c>
      <c r="F16" s="42">
        <f t="shared" si="0"/>
        <v>15.5</v>
      </c>
      <c r="G16" s="40">
        <f>SUMIFS(F17:F$33, B17:B$33, A16) + SUMIFS(G17:G$33, B17:B$33, A16)</f>
        <v>0</v>
      </c>
      <c r="H16" s="42">
        <f t="shared" si="1"/>
        <v>5.3199999999999994</v>
      </c>
      <c r="I16" s="40" t="s">
        <v>110</v>
      </c>
      <c r="J16" s="38">
        <f>IFERROR(VLOOKUP(I16,'BASE DE DADOS'!$A$4:$B$95,2,0)," ")</f>
        <v>0.15440000000000001</v>
      </c>
      <c r="K16" s="42">
        <f t="shared" si="2"/>
        <v>0.82140799999999992</v>
      </c>
      <c r="L16" s="43">
        <f t="shared" si="3"/>
        <v>4.6715463999999995</v>
      </c>
    </row>
    <row r="17" spans="1:12" x14ac:dyDescent="0.3">
      <c r="A17" s="30" t="s">
        <v>47</v>
      </c>
      <c r="B17" s="31"/>
      <c r="C17" s="36"/>
      <c r="D17" s="35"/>
      <c r="E17" s="35"/>
      <c r="F17" s="34">
        <f t="shared" si="0"/>
        <v>0</v>
      </c>
      <c r="G17" s="36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48</v>
      </c>
      <c r="B18" s="39"/>
      <c r="C18" s="40"/>
      <c r="D18" s="41"/>
      <c r="E18" s="41"/>
      <c r="F18" s="42">
        <f t="shared" si="0"/>
        <v>0</v>
      </c>
      <c r="G18" s="40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49</v>
      </c>
      <c r="B19" s="31"/>
      <c r="C19" s="36"/>
      <c r="D19" s="35"/>
      <c r="E19" s="35"/>
      <c r="F19" s="34">
        <f t="shared" si="0"/>
        <v>0</v>
      </c>
      <c r="G19" s="36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51</v>
      </c>
      <c r="B20" s="39"/>
      <c r="C20" s="40"/>
      <c r="D20" s="40"/>
      <c r="E20" s="41"/>
      <c r="F20" s="42">
        <f t="shared" si="0"/>
        <v>0</v>
      </c>
      <c r="G20" s="40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56</v>
      </c>
      <c r="B21" s="31"/>
      <c r="C21" s="32"/>
      <c r="D21" s="33"/>
      <c r="E21" s="33"/>
      <c r="F21" s="34">
        <f t="shared" si="0"/>
        <v>0</v>
      </c>
      <c r="G21" s="36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57</v>
      </c>
      <c r="B22" s="39"/>
      <c r="C22" s="40"/>
      <c r="D22" s="40"/>
      <c r="E22" s="41"/>
      <c r="F22" s="42">
        <f t="shared" si="0"/>
        <v>0</v>
      </c>
      <c r="G22" s="40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58</v>
      </c>
      <c r="B23" s="31"/>
      <c r="C23" s="36"/>
      <c r="D23" s="36"/>
      <c r="E23" s="35"/>
      <c r="F23" s="34">
        <f t="shared" si="0"/>
        <v>0</v>
      </c>
      <c r="G23" s="36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59</v>
      </c>
      <c r="B24" s="39"/>
      <c r="C24" s="40"/>
      <c r="D24" s="41"/>
      <c r="E24" s="41"/>
      <c r="F24" s="42">
        <f t="shared" si="0"/>
        <v>0</v>
      </c>
      <c r="G24" s="40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60</v>
      </c>
      <c r="B25" s="31"/>
      <c r="C25" s="36"/>
      <c r="D25" s="35"/>
      <c r="E25" s="35"/>
      <c r="F25" s="34">
        <f t="shared" si="0"/>
        <v>0</v>
      </c>
      <c r="G25" s="36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x14ac:dyDescent="0.3">
      <c r="A26" s="38" t="s">
        <v>61</v>
      </c>
      <c r="B26" s="39"/>
      <c r="C26" s="40"/>
      <c r="D26" s="41"/>
      <c r="E26" s="41"/>
      <c r="F26" s="42">
        <f t="shared" si="0"/>
        <v>0</v>
      </c>
      <c r="G26" s="40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62</v>
      </c>
      <c r="B27" s="31"/>
      <c r="C27" s="36"/>
      <c r="D27" s="35"/>
      <c r="E27" s="35"/>
      <c r="F27" s="34">
        <f t="shared" si="0"/>
        <v>0</v>
      </c>
      <c r="G27" s="36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63</v>
      </c>
      <c r="B28" s="39"/>
      <c r="C28" s="40"/>
      <c r="D28" s="41"/>
      <c r="E28" s="41"/>
      <c r="F28" s="42">
        <f t="shared" si="0"/>
        <v>0</v>
      </c>
      <c r="G28" s="40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64</v>
      </c>
      <c r="B29" s="31"/>
      <c r="C29" s="36"/>
      <c r="D29" s="35"/>
      <c r="E29" s="35"/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65</v>
      </c>
      <c r="B30" s="39"/>
      <c r="C30" s="40"/>
      <c r="D30" s="41"/>
      <c r="E30" s="41"/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66</v>
      </c>
      <c r="B31" s="31"/>
      <c r="C31" s="36"/>
      <c r="D31" s="35"/>
      <c r="E31" s="35"/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68</v>
      </c>
      <c r="B32" s="39"/>
      <c r="C32" s="40"/>
      <c r="D32" s="41"/>
      <c r="E32" s="41"/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70</v>
      </c>
      <c r="B33" s="31"/>
      <c r="C33" s="36"/>
      <c r="D33" s="35"/>
      <c r="E33" s="35"/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  <row r="47" spans="1:12" x14ac:dyDescent="0.3">
      <c r="D47">
        <f>11+13+2+2+6+2+2+3+10+2+2+7+2</f>
        <v>64</v>
      </c>
    </row>
    <row r="48" spans="1:12" x14ac:dyDescent="0.3">
      <c r="D48">
        <v>9</v>
      </c>
    </row>
  </sheetData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G3">
    <cfRule type="cellIs" dxfId="3" priority="1" operator="greaterThan">
      <formula>1.2</formula>
    </cfRule>
    <cfRule type="cellIs" dxfId="2" priority="2" operator="lessThan">
      <formula>1.2</formula>
    </cfRule>
  </conditionalFormatting>
  <conditionalFormatting sqref="K11:L33">
    <cfRule type="cellIs" dxfId="1" priority="3" operator="greaterThan">
      <formula>6.099</formula>
    </cfRule>
  </conditionalFormatting>
  <conditionalFormatting sqref="L11:L33">
    <cfRule type="cellIs" dxfId="0" priority="4" stopIfTrue="1" operator="greaterThanOrEqual">
      <formula>6</formula>
    </cfRule>
  </conditionalFormatting>
  <pageMargins left="0.511811024" right="0.511811024" top="0.78740157499999996" bottom="0.78740157499999996" header="0.31496062000000002" footer="0.31496062000000002"/>
  <headerFooter>
    <oddHeader>&amp;C&amp;"Arial"&amp;1 &amp;K000000 INTERNAL#_x000D_</oddHead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7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>
    <tabColor rgb="FF595959"/>
  </sheetPr>
  <dimension ref="A1:AMJ132"/>
  <sheetViews>
    <sheetView zoomScale="90" zoomScaleNormal="90" workbookViewId="0">
      <selection activeCell="G6" sqref="G6"/>
    </sheetView>
  </sheetViews>
  <sheetFormatPr defaultColWidth="9.109375" defaultRowHeight="14.4" x14ac:dyDescent="0.3"/>
  <cols>
    <col min="1" max="1" width="26.5546875" style="2" customWidth="1"/>
    <col min="2" max="2" width="13.44140625" style="2" customWidth="1"/>
    <col min="3" max="3" width="9.109375" style="2" customWidth="1"/>
    <col min="4" max="4" width="9.44140625" style="2" customWidth="1"/>
    <col min="5" max="14" width="6" style="2" customWidth="1"/>
    <col min="15" max="15" width="6.44140625" style="2" customWidth="1"/>
    <col min="16" max="16" width="34.44140625" style="2" customWidth="1"/>
    <col min="17" max="17" width="21.88671875" style="2" customWidth="1"/>
    <col min="18" max="18" width="20.44140625" style="2" customWidth="1"/>
    <col min="19" max="1024" width="9.109375" style="2" customWidth="1"/>
  </cols>
  <sheetData>
    <row r="1" spans="1:20" ht="48" customHeight="1" x14ac:dyDescent="0.3">
      <c r="A1" s="139" t="s">
        <v>111</v>
      </c>
      <c r="B1" s="134"/>
      <c r="D1" s="139" t="s">
        <v>112</v>
      </c>
      <c r="E1" s="133" t="s">
        <v>113</v>
      </c>
      <c r="F1" s="138"/>
      <c r="G1" s="138"/>
      <c r="H1" s="138"/>
      <c r="I1" s="138"/>
      <c r="J1" s="138"/>
      <c r="K1" s="138"/>
      <c r="L1" s="138"/>
      <c r="M1" s="138"/>
      <c r="N1" s="134"/>
      <c r="P1" s="20" t="s">
        <v>114</v>
      </c>
      <c r="Q1" s="20" t="s">
        <v>115</v>
      </c>
      <c r="R1" s="19" t="s">
        <v>116</v>
      </c>
      <c r="T1" s="20" t="s">
        <v>79</v>
      </c>
    </row>
    <row r="2" spans="1:20" x14ac:dyDescent="0.3">
      <c r="A2" s="133" t="s">
        <v>117</v>
      </c>
      <c r="B2" s="133" t="s">
        <v>118</v>
      </c>
      <c r="D2" s="141"/>
      <c r="E2" s="137" t="s">
        <v>119</v>
      </c>
      <c r="F2" s="138"/>
      <c r="G2" s="138"/>
      <c r="H2" s="138"/>
      <c r="I2" s="138"/>
      <c r="J2" s="138"/>
      <c r="K2" s="138"/>
      <c r="L2" s="138"/>
      <c r="M2" s="138"/>
      <c r="N2" s="134"/>
      <c r="P2" s="7" t="s">
        <v>120</v>
      </c>
      <c r="Q2" s="8">
        <v>0.02</v>
      </c>
      <c r="R2" s="9">
        <v>1.1040000000000001</v>
      </c>
      <c r="T2" s="7" t="s">
        <v>41</v>
      </c>
    </row>
    <row r="3" spans="1:20" x14ac:dyDescent="0.3">
      <c r="A3" s="136"/>
      <c r="B3" s="136"/>
      <c r="D3" s="136"/>
      <c r="E3" s="10">
        <v>0.01</v>
      </c>
      <c r="F3" s="10">
        <v>0.02</v>
      </c>
      <c r="G3" s="10">
        <v>0.03</v>
      </c>
      <c r="H3" s="10">
        <v>0.04</v>
      </c>
      <c r="I3" s="10">
        <v>0.05</v>
      </c>
      <c r="J3" s="10">
        <v>0.06</v>
      </c>
      <c r="K3" s="10">
        <v>0.08</v>
      </c>
      <c r="L3" s="10">
        <v>0.1</v>
      </c>
      <c r="M3" s="10">
        <v>0.12</v>
      </c>
      <c r="N3" s="10">
        <v>0.15</v>
      </c>
      <c r="P3" s="7" t="s">
        <v>121</v>
      </c>
      <c r="Q3" s="8">
        <v>0.04</v>
      </c>
      <c r="R3" s="9">
        <v>1.2170000000000001</v>
      </c>
      <c r="T3" s="9" t="s">
        <v>90</v>
      </c>
    </row>
    <row r="4" spans="1:20" x14ac:dyDescent="0.3">
      <c r="A4" s="9" t="s">
        <v>104</v>
      </c>
      <c r="B4" s="9">
        <v>5.7299999999999997E-2</v>
      </c>
      <c r="D4" s="21">
        <v>5</v>
      </c>
      <c r="E4" s="11">
        <v>1.0509999999999999</v>
      </c>
      <c r="F4" s="11">
        <v>1.1040000000000001</v>
      </c>
      <c r="G4" s="11">
        <v>1.159</v>
      </c>
      <c r="H4" s="11">
        <v>1.2170000000000001</v>
      </c>
      <c r="I4" s="11">
        <v>1.276</v>
      </c>
      <c r="J4" s="11">
        <v>1.3380000000000001</v>
      </c>
      <c r="K4" s="11">
        <v>1.4690000000000001</v>
      </c>
      <c r="L4" s="11">
        <v>1.611</v>
      </c>
      <c r="M4" s="11">
        <v>1.762</v>
      </c>
      <c r="N4" s="11">
        <v>2.0110000000000001</v>
      </c>
      <c r="P4" s="7" t="s">
        <v>122</v>
      </c>
      <c r="Q4" s="8">
        <v>0.02</v>
      </c>
      <c r="R4" s="9">
        <v>1.1040000000000001</v>
      </c>
      <c r="T4" s="9" t="s">
        <v>42</v>
      </c>
    </row>
    <row r="5" spans="1:20" x14ac:dyDescent="0.3">
      <c r="A5" s="9" t="s">
        <v>123</v>
      </c>
      <c r="B5" s="9">
        <v>8.9099999999999999E-2</v>
      </c>
      <c r="P5" s="7" t="s">
        <v>124</v>
      </c>
      <c r="Q5" s="8">
        <v>0.03</v>
      </c>
      <c r="R5" s="9">
        <v>1.159</v>
      </c>
      <c r="T5" s="9" t="s">
        <v>43</v>
      </c>
    </row>
    <row r="6" spans="1:20" x14ac:dyDescent="0.3">
      <c r="A6" s="9" t="s">
        <v>125</v>
      </c>
      <c r="B6" s="9">
        <v>0.1784</v>
      </c>
      <c r="P6" s="7" t="s">
        <v>126</v>
      </c>
      <c r="Q6" s="8">
        <v>3.5000000000000003E-2</v>
      </c>
      <c r="R6" s="9">
        <v>1.2170000000000001</v>
      </c>
      <c r="T6" s="9" t="s">
        <v>44</v>
      </c>
    </row>
    <row r="7" spans="1:20" x14ac:dyDescent="0.3">
      <c r="A7" s="9" t="s">
        <v>101</v>
      </c>
      <c r="B7" s="9">
        <v>0.1784</v>
      </c>
      <c r="P7" s="7" t="s">
        <v>127</v>
      </c>
      <c r="Q7" s="8">
        <v>0.02</v>
      </c>
      <c r="R7" s="9">
        <v>1.1040000000000001</v>
      </c>
      <c r="T7" s="9" t="s">
        <v>45</v>
      </c>
    </row>
    <row r="8" spans="1:20" x14ac:dyDescent="0.3">
      <c r="A8" s="9" t="s">
        <v>128</v>
      </c>
      <c r="B8" s="9">
        <v>0.24160000000000001</v>
      </c>
      <c r="P8" s="7" t="s">
        <v>129</v>
      </c>
      <c r="Q8" s="8">
        <v>0.03</v>
      </c>
      <c r="R8" s="9">
        <v>1.159</v>
      </c>
      <c r="T8" s="9" t="s">
        <v>46</v>
      </c>
    </row>
    <row r="9" spans="1:20" x14ac:dyDescent="0.3">
      <c r="A9" s="9" t="s">
        <v>102</v>
      </c>
      <c r="B9" s="12">
        <v>0.23</v>
      </c>
      <c r="P9" s="7" t="s">
        <v>130</v>
      </c>
      <c r="Q9" s="8">
        <v>0.04</v>
      </c>
      <c r="R9" s="9">
        <v>1.2170000000000001</v>
      </c>
      <c r="T9" s="9" t="s">
        <v>47</v>
      </c>
    </row>
    <row r="10" spans="1:20" x14ac:dyDescent="0.3">
      <c r="A10" s="9" t="s">
        <v>131</v>
      </c>
      <c r="B10" s="12">
        <v>0.23</v>
      </c>
      <c r="P10" s="7" t="s">
        <v>132</v>
      </c>
      <c r="Q10" s="8">
        <v>0.04</v>
      </c>
      <c r="R10" s="9">
        <v>1.2170000000000001</v>
      </c>
      <c r="T10" s="9" t="s">
        <v>48</v>
      </c>
    </row>
    <row r="11" spans="1:20" x14ac:dyDescent="0.3">
      <c r="A11" s="9" t="s">
        <v>133</v>
      </c>
      <c r="B11" s="12">
        <v>0.11749999999999999</v>
      </c>
      <c r="P11" s="7" t="s">
        <v>134</v>
      </c>
      <c r="Q11" s="8">
        <v>3.5000000000000003E-2</v>
      </c>
      <c r="R11" s="9">
        <v>1.2170000000000001</v>
      </c>
      <c r="T11" s="9" t="s">
        <v>49</v>
      </c>
    </row>
    <row r="12" spans="1:20" x14ac:dyDescent="0.3">
      <c r="A12" s="9" t="s">
        <v>135</v>
      </c>
      <c r="B12" s="12">
        <v>8.5000000000000006E-2</v>
      </c>
      <c r="P12" s="7" t="s">
        <v>136</v>
      </c>
      <c r="Q12" s="8">
        <v>3.5000000000000003E-2</v>
      </c>
      <c r="R12" s="9">
        <v>1.2170000000000001</v>
      </c>
      <c r="T12" s="9" t="s">
        <v>51</v>
      </c>
    </row>
    <row r="13" spans="1:20" x14ac:dyDescent="0.3">
      <c r="A13" s="9" t="s">
        <v>137</v>
      </c>
      <c r="B13" s="12">
        <v>8.5000000000000006E-2</v>
      </c>
      <c r="P13" s="7" t="s">
        <v>138</v>
      </c>
      <c r="Q13" s="8">
        <v>0.02</v>
      </c>
      <c r="R13" s="9">
        <v>1.1040000000000001</v>
      </c>
      <c r="T13" s="9" t="s">
        <v>56</v>
      </c>
    </row>
    <row r="14" spans="1:20" x14ac:dyDescent="0.3">
      <c r="A14" s="9" t="s">
        <v>139</v>
      </c>
      <c r="B14" s="24">
        <v>0.17929999999999999</v>
      </c>
      <c r="P14" s="7" t="s">
        <v>140</v>
      </c>
      <c r="Q14" s="8">
        <v>0.04</v>
      </c>
      <c r="R14" s="9">
        <v>1.2170000000000001</v>
      </c>
      <c r="T14" s="9"/>
    </row>
    <row r="15" spans="1:20" x14ac:dyDescent="0.3">
      <c r="A15" s="9" t="s">
        <v>141</v>
      </c>
      <c r="B15" s="24">
        <v>0.13239999999999999</v>
      </c>
      <c r="P15" s="7" t="s">
        <v>142</v>
      </c>
      <c r="Q15" s="8">
        <v>0.03</v>
      </c>
      <c r="R15" s="9">
        <v>1.159</v>
      </c>
      <c r="T15" s="9"/>
    </row>
    <row r="16" spans="1:20" x14ac:dyDescent="0.3">
      <c r="A16" s="9" t="s">
        <v>143</v>
      </c>
      <c r="B16" s="24">
        <v>9.1499999999999998E-2</v>
      </c>
      <c r="P16" s="7" t="s">
        <v>144</v>
      </c>
      <c r="Q16" s="8">
        <v>0.03</v>
      </c>
      <c r="R16" s="9">
        <v>1.159</v>
      </c>
      <c r="T16" s="9"/>
    </row>
    <row r="17" spans="1:20" x14ac:dyDescent="0.3">
      <c r="A17" s="9" t="s">
        <v>145</v>
      </c>
      <c r="B17" s="24">
        <v>5.2299999999999999E-2</v>
      </c>
      <c r="P17" s="7" t="s">
        <v>146</v>
      </c>
      <c r="Q17" s="8">
        <v>0.03</v>
      </c>
      <c r="R17" s="9">
        <v>1.159</v>
      </c>
      <c r="T17" s="9" t="s">
        <v>57</v>
      </c>
    </row>
    <row r="18" spans="1:20" x14ac:dyDescent="0.3">
      <c r="A18" s="9" t="s">
        <v>147</v>
      </c>
      <c r="B18" s="12">
        <v>5.0799999999999998E-2</v>
      </c>
      <c r="P18" s="7" t="s">
        <v>148</v>
      </c>
      <c r="Q18" s="8">
        <v>0.03</v>
      </c>
      <c r="R18" s="9">
        <v>1.159</v>
      </c>
      <c r="T18" s="9" t="s">
        <v>58</v>
      </c>
    </row>
    <row r="19" spans="1:20" x14ac:dyDescent="0.3">
      <c r="A19" s="9" t="s">
        <v>149</v>
      </c>
      <c r="B19" s="24">
        <v>0.84</v>
      </c>
      <c r="P19" s="7" t="s">
        <v>150</v>
      </c>
      <c r="Q19" s="8">
        <v>3.5000000000000003E-2</v>
      </c>
      <c r="R19" s="9">
        <v>1.2170000000000001</v>
      </c>
      <c r="T19" s="9" t="s">
        <v>59</v>
      </c>
    </row>
    <row r="20" spans="1:20" x14ac:dyDescent="0.3">
      <c r="A20" s="9" t="s">
        <v>151</v>
      </c>
      <c r="B20" s="24">
        <v>0.50600000000000001</v>
      </c>
      <c r="P20" s="7" t="s">
        <v>152</v>
      </c>
      <c r="Q20" s="8">
        <v>3.5000000000000003E-2</v>
      </c>
      <c r="R20" s="9">
        <v>1.2170000000000001</v>
      </c>
      <c r="T20" s="9"/>
    </row>
    <row r="21" spans="1:20" x14ac:dyDescent="0.3">
      <c r="A21" s="9" t="s">
        <v>153</v>
      </c>
      <c r="B21" s="24">
        <v>0.33400000000000002</v>
      </c>
      <c r="P21" s="7" t="s">
        <v>154</v>
      </c>
      <c r="Q21" s="8">
        <v>0.04</v>
      </c>
      <c r="R21" s="9">
        <v>1.2170000000000001</v>
      </c>
      <c r="T21" s="9"/>
    </row>
    <row r="22" spans="1:20" x14ac:dyDescent="0.3">
      <c r="A22" s="9" t="s">
        <v>155</v>
      </c>
      <c r="B22" s="24">
        <v>0.1699</v>
      </c>
      <c r="P22" s="7" t="s">
        <v>156</v>
      </c>
      <c r="Q22" s="8">
        <v>0.04</v>
      </c>
      <c r="R22" s="9">
        <v>1.2170000000000001</v>
      </c>
      <c r="T22" s="9"/>
    </row>
    <row r="23" spans="1:20" x14ac:dyDescent="0.3">
      <c r="A23" s="9" t="s">
        <v>157</v>
      </c>
      <c r="B23" s="24">
        <v>8.5000000000000006E-2</v>
      </c>
      <c r="P23" s="7" t="s">
        <v>158</v>
      </c>
      <c r="Q23" s="8">
        <v>0.04</v>
      </c>
      <c r="R23" s="9">
        <v>1.2170000000000001</v>
      </c>
      <c r="T23" s="9"/>
    </row>
    <row r="24" spans="1:20" x14ac:dyDescent="0.3">
      <c r="A24" s="9" t="s">
        <v>159</v>
      </c>
      <c r="B24" s="24">
        <v>5.7299999999999997E-2</v>
      </c>
      <c r="P24" s="7" t="s">
        <v>160</v>
      </c>
      <c r="Q24" s="8">
        <v>2.5000000000000001E-2</v>
      </c>
      <c r="R24" s="9">
        <v>1.159</v>
      </c>
      <c r="T24" s="9"/>
    </row>
    <row r="25" spans="1:20" x14ac:dyDescent="0.3">
      <c r="A25" s="9" t="s">
        <v>161</v>
      </c>
      <c r="B25" s="24">
        <v>3.4799999999999998E-2</v>
      </c>
      <c r="P25" s="7" t="s">
        <v>162</v>
      </c>
      <c r="Q25" s="8">
        <v>0.02</v>
      </c>
      <c r="R25" s="9">
        <v>1.1040000000000001</v>
      </c>
      <c r="T25" s="9"/>
    </row>
    <row r="26" spans="1:20" x14ac:dyDescent="0.3">
      <c r="A26" s="9" t="s">
        <v>163</v>
      </c>
      <c r="B26" s="24">
        <v>2.0799999999999999E-2</v>
      </c>
      <c r="P26" s="7" t="s">
        <v>164</v>
      </c>
      <c r="Q26" s="8">
        <v>0.03</v>
      </c>
      <c r="R26" s="9">
        <v>1.159</v>
      </c>
      <c r="T26" s="9"/>
    </row>
    <row r="27" spans="1:20" x14ac:dyDescent="0.3">
      <c r="A27" s="9" t="s">
        <v>165</v>
      </c>
      <c r="B27" s="12">
        <v>0.31590000000000001</v>
      </c>
      <c r="P27" s="7" t="s">
        <v>166</v>
      </c>
      <c r="Q27" s="8">
        <v>0.04</v>
      </c>
      <c r="R27" s="9">
        <v>1.2170000000000001</v>
      </c>
      <c r="T27" s="9" t="s">
        <v>60</v>
      </c>
    </row>
    <row r="28" spans="1:20" x14ac:dyDescent="0.3">
      <c r="A28" s="9" t="s">
        <v>167</v>
      </c>
      <c r="B28" s="12">
        <v>0.19800000000000001</v>
      </c>
      <c r="P28" s="7" t="s">
        <v>168</v>
      </c>
      <c r="Q28" s="8">
        <v>2.5000000000000001E-2</v>
      </c>
      <c r="R28" s="9">
        <v>1.159</v>
      </c>
      <c r="T28" s="9" t="s">
        <v>61</v>
      </c>
    </row>
    <row r="29" spans="1:20" x14ac:dyDescent="0.3">
      <c r="A29" s="9" t="s">
        <v>169</v>
      </c>
      <c r="B29" s="12">
        <v>0.12479999999999999</v>
      </c>
      <c r="P29" s="7" t="s">
        <v>170</v>
      </c>
      <c r="Q29" s="8">
        <v>0.02</v>
      </c>
      <c r="R29" s="9">
        <v>1.1040000000000001</v>
      </c>
      <c r="T29" s="9" t="s">
        <v>62</v>
      </c>
    </row>
    <row r="30" spans="1:20" x14ac:dyDescent="0.3">
      <c r="A30" s="9" t="s">
        <v>171</v>
      </c>
      <c r="B30" s="12">
        <v>9.9000000000000005E-2</v>
      </c>
      <c r="P30" s="7" t="s">
        <v>172</v>
      </c>
      <c r="Q30" s="8">
        <v>3.5000000000000003E-2</v>
      </c>
      <c r="R30" s="9">
        <v>1.2170000000000001</v>
      </c>
      <c r="T30" s="9" t="s">
        <v>63</v>
      </c>
    </row>
    <row r="31" spans="1:20" x14ac:dyDescent="0.3">
      <c r="A31" s="9" t="s">
        <v>173</v>
      </c>
      <c r="B31" s="12">
        <v>6.2399999999999997E-2</v>
      </c>
      <c r="P31" s="7" t="s">
        <v>174</v>
      </c>
      <c r="Q31" s="8">
        <v>0.05</v>
      </c>
      <c r="R31" s="7">
        <v>1.276</v>
      </c>
      <c r="T31" s="9" t="s">
        <v>64</v>
      </c>
    </row>
    <row r="32" spans="1:20" x14ac:dyDescent="0.3">
      <c r="A32" s="9" t="s">
        <v>175</v>
      </c>
      <c r="B32" s="12">
        <v>0.71079999999999999</v>
      </c>
      <c r="F32" s="13"/>
      <c r="G32" s="13"/>
      <c r="H32" s="13"/>
      <c r="I32" s="13"/>
      <c r="J32" s="13"/>
      <c r="M32" s="14"/>
      <c r="P32" s="7" t="s">
        <v>176</v>
      </c>
      <c r="Q32" s="8">
        <v>0.02</v>
      </c>
      <c r="R32" s="9">
        <v>1.1040000000000001</v>
      </c>
      <c r="T32" s="9" t="s">
        <v>65</v>
      </c>
    </row>
    <row r="33" spans="1:20" x14ac:dyDescent="0.3">
      <c r="A33" s="9" t="s">
        <v>177</v>
      </c>
      <c r="B33" s="12">
        <v>0.53400000000000003</v>
      </c>
      <c r="P33" s="7" t="s">
        <v>178</v>
      </c>
      <c r="Q33" s="8">
        <v>0.03</v>
      </c>
      <c r="R33" s="9">
        <v>1.159</v>
      </c>
      <c r="T33" s="9" t="s">
        <v>66</v>
      </c>
    </row>
    <row r="34" spans="1:20" x14ac:dyDescent="0.3">
      <c r="A34" s="9" t="s">
        <v>179</v>
      </c>
      <c r="B34" s="12">
        <v>0.44550000000000001</v>
      </c>
      <c r="P34" s="7" t="s">
        <v>180</v>
      </c>
      <c r="Q34" s="8">
        <v>3.5000000000000003E-2</v>
      </c>
      <c r="R34" s="9">
        <v>1.2170000000000001</v>
      </c>
      <c r="T34" s="9" t="s">
        <v>68</v>
      </c>
    </row>
    <row r="35" spans="1:20" x14ac:dyDescent="0.3">
      <c r="A35" s="9" t="s">
        <v>181</v>
      </c>
      <c r="B35" s="12">
        <v>0.3357</v>
      </c>
      <c r="P35" s="7" t="s">
        <v>182</v>
      </c>
      <c r="Q35" s="8">
        <v>0.02</v>
      </c>
      <c r="R35" s="9">
        <v>1.1040000000000001</v>
      </c>
      <c r="T35" s="9" t="s">
        <v>70</v>
      </c>
    </row>
    <row r="36" spans="1:20" x14ac:dyDescent="0.3">
      <c r="A36" s="9" t="s">
        <v>183</v>
      </c>
      <c r="B36" s="12">
        <v>0.29699999999999999</v>
      </c>
      <c r="P36" s="7" t="s">
        <v>184</v>
      </c>
      <c r="Q36" s="8">
        <v>3.5000000000000003E-2</v>
      </c>
      <c r="R36" s="9">
        <v>1.2170000000000001</v>
      </c>
    </row>
    <row r="37" spans="1:20" x14ac:dyDescent="0.3">
      <c r="A37" s="9" t="s">
        <v>185</v>
      </c>
      <c r="B37" s="12">
        <v>1.8955</v>
      </c>
      <c r="P37" s="7" t="s">
        <v>186</v>
      </c>
      <c r="Q37" s="8">
        <v>0.03</v>
      </c>
      <c r="R37" s="9">
        <v>1.159</v>
      </c>
    </row>
    <row r="38" spans="1:20" x14ac:dyDescent="0.3">
      <c r="A38" s="9" t="s">
        <v>187</v>
      </c>
      <c r="B38" s="12">
        <v>1.1880999999999999</v>
      </c>
      <c r="P38" s="7" t="s">
        <v>188</v>
      </c>
      <c r="Q38" s="8">
        <v>0.04</v>
      </c>
      <c r="R38" s="9">
        <v>1.2170000000000001</v>
      </c>
    </row>
    <row r="39" spans="1:20" x14ac:dyDescent="0.3">
      <c r="A39" s="9" t="s">
        <v>189</v>
      </c>
      <c r="B39" s="12">
        <v>0.96840000000000004</v>
      </c>
      <c r="P39" s="7" t="s">
        <v>190</v>
      </c>
      <c r="Q39" s="8">
        <v>0.03</v>
      </c>
      <c r="R39" s="9">
        <v>1.159</v>
      </c>
    </row>
    <row r="40" spans="1:20" x14ac:dyDescent="0.3">
      <c r="A40" s="9" t="s">
        <v>191</v>
      </c>
      <c r="B40" s="12">
        <v>0.89100000000000001</v>
      </c>
      <c r="P40" s="7" t="s">
        <v>192</v>
      </c>
      <c r="Q40" s="8">
        <v>0.04</v>
      </c>
      <c r="R40" s="9">
        <v>1.2170000000000001</v>
      </c>
    </row>
    <row r="41" spans="1:20" x14ac:dyDescent="0.3">
      <c r="A41" s="9" t="s">
        <v>193</v>
      </c>
      <c r="B41" s="12">
        <v>0.22</v>
      </c>
      <c r="P41" s="7" t="s">
        <v>194</v>
      </c>
      <c r="Q41" s="8">
        <v>0.03</v>
      </c>
      <c r="R41" s="9">
        <v>1.159</v>
      </c>
    </row>
    <row r="42" spans="1:20" x14ac:dyDescent="0.3">
      <c r="A42" s="9" t="s">
        <v>195</v>
      </c>
      <c r="B42" s="12">
        <v>0.1489</v>
      </c>
      <c r="H42" s="15"/>
      <c r="P42" s="7" t="s">
        <v>196</v>
      </c>
      <c r="Q42" s="8">
        <v>0.04</v>
      </c>
      <c r="R42" s="9">
        <v>1.2170000000000001</v>
      </c>
    </row>
    <row r="43" spans="1:20" x14ac:dyDescent="0.3">
      <c r="A43" s="9" t="s">
        <v>197</v>
      </c>
      <c r="B43" s="12">
        <v>0.65080000000000005</v>
      </c>
      <c r="P43" s="7" t="s">
        <v>198</v>
      </c>
      <c r="Q43" s="8">
        <v>0.03</v>
      </c>
      <c r="R43" s="9">
        <v>1.159</v>
      </c>
    </row>
    <row r="44" spans="1:20" x14ac:dyDescent="0.3">
      <c r="A44" s="9" t="s">
        <v>199</v>
      </c>
      <c r="B44" s="12">
        <v>0.49049999999999999</v>
      </c>
      <c r="H44" s="15"/>
      <c r="P44" s="7" t="s">
        <v>200</v>
      </c>
      <c r="Q44" s="8">
        <v>3.5000000000000003E-2</v>
      </c>
      <c r="R44" s="9">
        <v>1.2170000000000001</v>
      </c>
    </row>
    <row r="45" spans="1:20" x14ac:dyDescent="0.3">
      <c r="A45" s="9" t="s">
        <v>201</v>
      </c>
      <c r="B45" s="12">
        <v>0.4662</v>
      </c>
      <c r="H45" s="15"/>
      <c r="P45" s="7" t="s">
        <v>202</v>
      </c>
      <c r="Q45" s="8">
        <v>0.04</v>
      </c>
      <c r="R45" s="9">
        <v>1.2170000000000001</v>
      </c>
    </row>
    <row r="46" spans="1:20" x14ac:dyDescent="0.3">
      <c r="A46" s="9" t="s">
        <v>203</v>
      </c>
      <c r="B46" s="12">
        <v>0.33500000000000002</v>
      </c>
      <c r="H46" s="15"/>
      <c r="P46" s="7" t="s">
        <v>204</v>
      </c>
      <c r="Q46" s="8">
        <v>0.03</v>
      </c>
      <c r="R46" s="9">
        <v>1.159</v>
      </c>
    </row>
    <row r="47" spans="1:20" x14ac:dyDescent="0.3">
      <c r="A47" s="9" t="s">
        <v>205</v>
      </c>
      <c r="B47" s="12">
        <v>1.3201000000000001</v>
      </c>
      <c r="P47" s="7" t="s">
        <v>206</v>
      </c>
      <c r="Q47" s="8">
        <v>0.04</v>
      </c>
      <c r="R47" s="9">
        <v>1.2170000000000001</v>
      </c>
    </row>
    <row r="48" spans="1:20" x14ac:dyDescent="0.3">
      <c r="A48" s="9" t="s">
        <v>207</v>
      </c>
      <c r="B48" s="12">
        <v>1.4181999999999999</v>
      </c>
      <c r="P48" s="7" t="s">
        <v>208</v>
      </c>
      <c r="Q48" s="8">
        <v>0.04</v>
      </c>
      <c r="R48" s="9">
        <v>1.2170000000000001</v>
      </c>
    </row>
    <row r="49" spans="1:18" x14ac:dyDescent="0.3">
      <c r="A49" s="9" t="s">
        <v>209</v>
      </c>
      <c r="B49" s="12">
        <v>0.89339999999999997</v>
      </c>
      <c r="P49" s="7" t="s">
        <v>210</v>
      </c>
      <c r="Q49" s="8">
        <v>0.04</v>
      </c>
      <c r="R49" s="9">
        <v>1.2170000000000001</v>
      </c>
    </row>
    <row r="50" spans="1:18" x14ac:dyDescent="0.3">
      <c r="A50" s="9" t="s">
        <v>211</v>
      </c>
      <c r="B50" s="9">
        <v>5.6599999999999998E-2</v>
      </c>
      <c r="P50" s="7" t="s">
        <v>212</v>
      </c>
      <c r="Q50" s="8">
        <v>3.5000000000000003E-2</v>
      </c>
      <c r="R50" s="9">
        <v>1.2170000000000001</v>
      </c>
    </row>
    <row r="51" spans="1:18" x14ac:dyDescent="0.3">
      <c r="A51" s="9" t="s">
        <v>107</v>
      </c>
      <c r="B51" s="9">
        <v>8.2400000000000001E-2</v>
      </c>
      <c r="P51" s="7" t="s">
        <v>213</v>
      </c>
      <c r="Q51" s="8">
        <v>3.5000000000000003E-2</v>
      </c>
      <c r="R51" s="9">
        <v>1.2170000000000001</v>
      </c>
    </row>
    <row r="52" spans="1:18" x14ac:dyDescent="0.3">
      <c r="A52" s="9" t="s">
        <v>110</v>
      </c>
      <c r="B52" s="9">
        <v>0.15440000000000001</v>
      </c>
      <c r="P52" s="7" t="s">
        <v>214</v>
      </c>
      <c r="Q52" s="8">
        <v>0.03</v>
      </c>
      <c r="R52" s="9">
        <v>1.159</v>
      </c>
    </row>
    <row r="53" spans="1:18" x14ac:dyDescent="0.3">
      <c r="A53" s="9" t="s">
        <v>109</v>
      </c>
      <c r="B53" s="9">
        <v>0.15440000000000001</v>
      </c>
      <c r="P53" s="7" t="s">
        <v>215</v>
      </c>
      <c r="Q53" s="8">
        <v>0.03</v>
      </c>
      <c r="R53" s="9">
        <v>1.159</v>
      </c>
    </row>
    <row r="54" spans="1:18" x14ac:dyDescent="0.3">
      <c r="A54" s="9" t="s">
        <v>216</v>
      </c>
      <c r="B54" s="9">
        <v>0.2054</v>
      </c>
      <c r="P54" s="7" t="s">
        <v>217</v>
      </c>
      <c r="Q54" s="8">
        <v>0.03</v>
      </c>
      <c r="R54" s="9">
        <v>1.159</v>
      </c>
    </row>
    <row r="55" spans="1:18" x14ac:dyDescent="0.3">
      <c r="A55" s="9" t="s">
        <v>108</v>
      </c>
      <c r="B55" s="12">
        <v>0.19639999999999999</v>
      </c>
      <c r="P55" s="7" t="s">
        <v>218</v>
      </c>
      <c r="Q55" s="8">
        <v>0.04</v>
      </c>
      <c r="R55" s="9">
        <v>1.2170000000000001</v>
      </c>
    </row>
    <row r="56" spans="1:18" x14ac:dyDescent="0.3">
      <c r="A56" s="9" t="s">
        <v>219</v>
      </c>
      <c r="B56" s="12">
        <v>0.19639999999999999</v>
      </c>
      <c r="P56" s="7" t="s">
        <v>220</v>
      </c>
      <c r="Q56" s="8">
        <v>0.04</v>
      </c>
      <c r="R56" s="9">
        <v>1.2170000000000001</v>
      </c>
    </row>
    <row r="57" spans="1:18" x14ac:dyDescent="0.3">
      <c r="A57" s="9" t="s">
        <v>221</v>
      </c>
      <c r="B57" s="12">
        <v>0.106</v>
      </c>
      <c r="P57" s="7" t="s">
        <v>222</v>
      </c>
      <c r="Q57" s="8">
        <v>0.03</v>
      </c>
      <c r="R57" s="9">
        <v>1.159</v>
      </c>
    </row>
    <row r="58" spans="1:18" x14ac:dyDescent="0.3">
      <c r="A58" s="9" t="s">
        <v>223</v>
      </c>
      <c r="B58" s="12">
        <v>7.9799999999999996E-2</v>
      </c>
      <c r="P58" s="7" t="s">
        <v>224</v>
      </c>
      <c r="Q58" s="8">
        <v>0.04</v>
      </c>
      <c r="R58" s="9">
        <v>1.2170000000000001</v>
      </c>
    </row>
    <row r="59" spans="1:18" x14ac:dyDescent="0.3">
      <c r="A59" s="9" t="s">
        <v>225</v>
      </c>
      <c r="B59" s="12">
        <v>7.9799999999999996E-2</v>
      </c>
      <c r="P59" s="7" t="s">
        <v>226</v>
      </c>
      <c r="Q59" s="8">
        <v>3.5000000000000003E-2</v>
      </c>
      <c r="R59" s="9">
        <v>1.2170000000000001</v>
      </c>
    </row>
    <row r="60" spans="1:18" x14ac:dyDescent="0.3">
      <c r="A60" s="9" t="s">
        <v>227</v>
      </c>
      <c r="B60" s="24">
        <v>0.158</v>
      </c>
      <c r="P60" s="7" t="s">
        <v>228</v>
      </c>
      <c r="Q60" s="8">
        <v>0.04</v>
      </c>
      <c r="R60" s="9">
        <v>1.2170000000000001</v>
      </c>
    </row>
    <row r="61" spans="1:18" x14ac:dyDescent="0.3">
      <c r="A61" s="9" t="s">
        <v>229</v>
      </c>
      <c r="B61" s="24">
        <v>0.1198</v>
      </c>
      <c r="P61" s="7" t="s">
        <v>230</v>
      </c>
      <c r="Q61" s="8">
        <v>0.03</v>
      </c>
      <c r="R61" s="9">
        <v>1.159</v>
      </c>
    </row>
    <row r="62" spans="1:18" x14ac:dyDescent="0.3">
      <c r="A62" s="9" t="s">
        <v>231</v>
      </c>
      <c r="B62" s="24">
        <v>8.6699999999999999E-2</v>
      </c>
      <c r="P62" s="7" t="s">
        <v>232</v>
      </c>
      <c r="Q62" s="8">
        <v>0.04</v>
      </c>
      <c r="R62" s="9">
        <v>1.2170000000000001</v>
      </c>
    </row>
    <row r="63" spans="1:18" x14ac:dyDescent="0.3">
      <c r="A63" s="9" t="s">
        <v>233</v>
      </c>
      <c r="B63" s="24">
        <v>5.4600000000000003E-2</v>
      </c>
      <c r="P63" s="7" t="s">
        <v>234</v>
      </c>
      <c r="Q63" s="8">
        <v>0.04</v>
      </c>
      <c r="R63" s="9">
        <v>1.2170000000000001</v>
      </c>
    </row>
    <row r="64" spans="1:18" x14ac:dyDescent="0.3">
      <c r="A64" s="9" t="s">
        <v>235</v>
      </c>
      <c r="B64" s="12">
        <v>5.1799999999999999E-2</v>
      </c>
      <c r="P64" s="7" t="s">
        <v>236</v>
      </c>
      <c r="Q64" s="8">
        <v>0.02</v>
      </c>
      <c r="R64" s="9">
        <v>1.1040000000000001</v>
      </c>
    </row>
    <row r="65" spans="1:18" x14ac:dyDescent="0.3">
      <c r="A65" s="9" t="s">
        <v>237</v>
      </c>
      <c r="B65" s="12">
        <v>0.65069999999999995</v>
      </c>
      <c r="P65" s="7" t="s">
        <v>238</v>
      </c>
      <c r="Q65" s="8">
        <v>0.04</v>
      </c>
      <c r="R65" s="9">
        <v>1.2170000000000001</v>
      </c>
    </row>
    <row r="66" spans="1:18" x14ac:dyDescent="0.3">
      <c r="A66" s="9" t="s">
        <v>239</v>
      </c>
      <c r="B66" s="12">
        <v>0.41920000000000002</v>
      </c>
      <c r="P66" s="7" t="s">
        <v>240</v>
      </c>
      <c r="Q66" s="8">
        <v>0.03</v>
      </c>
      <c r="R66" s="9">
        <v>1.159</v>
      </c>
    </row>
    <row r="67" spans="1:18" x14ac:dyDescent="0.3">
      <c r="A67" s="9" t="s">
        <v>241</v>
      </c>
      <c r="B67" s="12">
        <v>0.28110000000000002</v>
      </c>
      <c r="P67" s="7" t="s">
        <v>242</v>
      </c>
      <c r="Q67" s="8">
        <v>0.03</v>
      </c>
      <c r="R67" s="9">
        <v>1.159</v>
      </c>
    </row>
    <row r="68" spans="1:18" x14ac:dyDescent="0.3">
      <c r="A68" s="9" t="s">
        <v>243</v>
      </c>
      <c r="B68" s="12">
        <v>0.14879999999999999</v>
      </c>
      <c r="P68" s="7" t="s">
        <v>244</v>
      </c>
      <c r="Q68" s="8">
        <v>0.04</v>
      </c>
      <c r="R68" s="9">
        <v>1.2170000000000001</v>
      </c>
    </row>
    <row r="69" spans="1:18" x14ac:dyDescent="0.3">
      <c r="A69" s="9" t="s">
        <v>245</v>
      </c>
      <c r="B69" s="12">
        <v>8.0100000000000005E-2</v>
      </c>
      <c r="P69" s="7" t="s">
        <v>246</v>
      </c>
      <c r="Q69" s="8">
        <v>0.04</v>
      </c>
      <c r="R69" s="9">
        <v>1.2170000000000001</v>
      </c>
    </row>
    <row r="70" spans="1:18" x14ac:dyDescent="0.3">
      <c r="A70" s="9" t="s">
        <v>247</v>
      </c>
      <c r="B70" s="12">
        <v>5.7799999999999997E-2</v>
      </c>
      <c r="P70" s="7" t="s">
        <v>248</v>
      </c>
      <c r="Q70" s="8">
        <v>0.04</v>
      </c>
      <c r="R70" s="9">
        <v>1.2170000000000001</v>
      </c>
    </row>
    <row r="71" spans="1:18" x14ac:dyDescent="0.3">
      <c r="A71" s="9" t="s">
        <v>249</v>
      </c>
      <c r="B71" s="12">
        <v>3.9699999999999999E-2</v>
      </c>
      <c r="P71" s="7" t="s">
        <v>250</v>
      </c>
      <c r="Q71" s="8">
        <v>0.04</v>
      </c>
      <c r="R71" s="9">
        <v>1.2170000000000001</v>
      </c>
    </row>
    <row r="72" spans="1:18" x14ac:dyDescent="0.3">
      <c r="A72" s="9" t="s">
        <v>251</v>
      </c>
      <c r="B72" s="12">
        <v>2.69E-2</v>
      </c>
      <c r="P72" s="7" t="s">
        <v>252</v>
      </c>
      <c r="Q72" s="8">
        <v>0.02</v>
      </c>
      <c r="R72" s="9">
        <v>1.1040000000000001</v>
      </c>
    </row>
    <row r="73" spans="1:18" x14ac:dyDescent="0.3">
      <c r="A73" s="9" t="s">
        <v>253</v>
      </c>
      <c r="B73" s="12">
        <v>0.31290000000000001</v>
      </c>
      <c r="P73" s="7" t="s">
        <v>254</v>
      </c>
      <c r="Q73" s="8">
        <v>0.03</v>
      </c>
      <c r="R73" s="9">
        <v>1.159</v>
      </c>
    </row>
    <row r="74" spans="1:18" x14ac:dyDescent="0.3">
      <c r="A74" s="9" t="s">
        <v>255</v>
      </c>
      <c r="B74" s="12">
        <v>0.21629999999999999</v>
      </c>
      <c r="P74" s="7" t="s">
        <v>256</v>
      </c>
      <c r="Q74" s="8">
        <v>4.4999999999999998E-2</v>
      </c>
      <c r="R74" s="7">
        <v>1.276</v>
      </c>
    </row>
    <row r="75" spans="1:18" x14ac:dyDescent="0.3">
      <c r="A75" s="9" t="s">
        <v>257</v>
      </c>
      <c r="B75" s="12">
        <v>0.15559999999999999</v>
      </c>
      <c r="P75" s="7" t="s">
        <v>258</v>
      </c>
      <c r="Q75" s="8">
        <v>2.5000000000000001E-2</v>
      </c>
      <c r="R75" s="9">
        <v>1.159</v>
      </c>
    </row>
    <row r="76" spans="1:18" x14ac:dyDescent="0.3">
      <c r="A76" s="9" t="s">
        <v>259</v>
      </c>
      <c r="B76" s="12">
        <v>0.1338</v>
      </c>
      <c r="P76" s="7" t="s">
        <v>260</v>
      </c>
      <c r="Q76" s="8">
        <v>0.04</v>
      </c>
      <c r="R76" s="9">
        <v>1.2170000000000001</v>
      </c>
    </row>
    <row r="77" spans="1:18" x14ac:dyDescent="0.3">
      <c r="A77" s="9" t="s">
        <v>261</v>
      </c>
      <c r="B77" s="12">
        <v>0.1024</v>
      </c>
      <c r="P77" s="7" t="s">
        <v>262</v>
      </c>
      <c r="Q77" s="8">
        <v>0.04</v>
      </c>
      <c r="R77" s="9">
        <v>1.2170000000000001</v>
      </c>
    </row>
    <row r="78" spans="1:18" x14ac:dyDescent="0.3">
      <c r="A78" s="9" t="s">
        <v>263</v>
      </c>
      <c r="B78" s="12">
        <v>0.70389999999999997</v>
      </c>
      <c r="P78" s="7" t="s">
        <v>264</v>
      </c>
      <c r="Q78" s="8">
        <v>0.03</v>
      </c>
      <c r="R78" s="9">
        <v>1.159</v>
      </c>
    </row>
    <row r="79" spans="1:18" x14ac:dyDescent="0.3">
      <c r="A79" s="9" t="s">
        <v>265</v>
      </c>
      <c r="B79" s="12">
        <v>0.55910000000000004</v>
      </c>
      <c r="P79" s="7" t="s">
        <v>266</v>
      </c>
      <c r="Q79" s="8">
        <v>0.03</v>
      </c>
      <c r="R79" s="9">
        <v>1.159</v>
      </c>
    </row>
    <row r="80" spans="1:18" x14ac:dyDescent="0.3">
      <c r="A80" s="9" t="s">
        <v>267</v>
      </c>
      <c r="B80" s="12">
        <v>0.48670000000000002</v>
      </c>
      <c r="P80" s="7" t="s">
        <v>268</v>
      </c>
      <c r="Q80" s="8">
        <v>0.03</v>
      </c>
      <c r="R80" s="9">
        <v>1.159</v>
      </c>
    </row>
    <row r="81" spans="1:18" x14ac:dyDescent="0.3">
      <c r="A81" s="9" t="s">
        <v>269</v>
      </c>
      <c r="B81" s="12">
        <v>0.3957</v>
      </c>
      <c r="P81" s="7" t="s">
        <v>270</v>
      </c>
      <c r="Q81" s="8">
        <v>0.04</v>
      </c>
      <c r="R81" s="9">
        <v>1.2170000000000001</v>
      </c>
    </row>
    <row r="82" spans="1:18" x14ac:dyDescent="0.3">
      <c r="A82" s="9" t="s">
        <v>271</v>
      </c>
      <c r="B82" s="12">
        <v>0.36299999999999999</v>
      </c>
      <c r="P82" s="7" t="s">
        <v>272</v>
      </c>
      <c r="Q82" s="8">
        <v>0.05</v>
      </c>
      <c r="R82" s="7">
        <v>1.276</v>
      </c>
    </row>
    <row r="83" spans="1:18" x14ac:dyDescent="0.3">
      <c r="A83" s="9" t="s">
        <v>273</v>
      </c>
      <c r="B83" s="12">
        <v>1.8771</v>
      </c>
      <c r="P83" s="7" t="s">
        <v>274</v>
      </c>
      <c r="Q83" s="8">
        <v>0.05</v>
      </c>
      <c r="R83" s="7">
        <v>1.276</v>
      </c>
    </row>
    <row r="84" spans="1:18" x14ac:dyDescent="0.3">
      <c r="A84" s="9" t="s">
        <v>275</v>
      </c>
      <c r="B84" s="12">
        <v>1.2978000000000001</v>
      </c>
      <c r="P84" s="7" t="s">
        <v>276</v>
      </c>
      <c r="Q84" s="8">
        <v>0.04</v>
      </c>
      <c r="R84" s="9">
        <v>1.2170000000000001</v>
      </c>
    </row>
    <row r="85" spans="1:18" x14ac:dyDescent="0.3">
      <c r="A85" s="9" t="s">
        <v>277</v>
      </c>
      <c r="B85" s="12">
        <v>1.1157999999999999</v>
      </c>
      <c r="P85" s="7" t="s">
        <v>278</v>
      </c>
      <c r="Q85" s="8">
        <v>3.5000000000000003E-2</v>
      </c>
      <c r="R85" s="9">
        <v>1.2170000000000001</v>
      </c>
    </row>
    <row r="86" spans="1:18" x14ac:dyDescent="0.3">
      <c r="A86" s="9" t="s">
        <v>279</v>
      </c>
      <c r="B86" s="12">
        <v>1.0504</v>
      </c>
      <c r="P86" s="7" t="s">
        <v>280</v>
      </c>
      <c r="Q86" s="8">
        <v>0.04</v>
      </c>
      <c r="R86" s="9">
        <v>1.2170000000000001</v>
      </c>
    </row>
    <row r="87" spans="1:18" x14ac:dyDescent="0.3">
      <c r="A87" s="9" t="s">
        <v>281</v>
      </c>
      <c r="B87" s="12">
        <v>0.2195</v>
      </c>
      <c r="P87" s="7" t="s">
        <v>282</v>
      </c>
      <c r="Q87" s="8">
        <v>0.04</v>
      </c>
      <c r="R87" s="9">
        <v>1.2170000000000001</v>
      </c>
    </row>
    <row r="88" spans="1:18" x14ac:dyDescent="0.3">
      <c r="A88" s="9" t="s">
        <v>283</v>
      </c>
      <c r="B88" s="12">
        <v>0.1608</v>
      </c>
      <c r="P88" s="7" t="s">
        <v>284</v>
      </c>
      <c r="Q88" s="8">
        <v>2.5000000000000001E-2</v>
      </c>
      <c r="R88" s="9">
        <v>1.159</v>
      </c>
    </row>
    <row r="89" spans="1:18" x14ac:dyDescent="0.3">
      <c r="A89" s="9" t="s">
        <v>285</v>
      </c>
      <c r="B89" s="12">
        <v>0.62109999999999999</v>
      </c>
      <c r="P89" s="7" t="s">
        <v>286</v>
      </c>
      <c r="Q89" s="8">
        <v>0.04</v>
      </c>
      <c r="R89" s="9">
        <v>1.2170000000000001</v>
      </c>
    </row>
    <row r="90" spans="1:18" x14ac:dyDescent="0.3">
      <c r="A90" s="9" t="s">
        <v>287</v>
      </c>
      <c r="B90" s="12">
        <v>0.49390000000000001</v>
      </c>
      <c r="P90" s="7" t="s">
        <v>288</v>
      </c>
      <c r="Q90" s="8">
        <v>3.5000000000000003E-2</v>
      </c>
      <c r="R90" s="9">
        <v>1.2170000000000001</v>
      </c>
    </row>
    <row r="91" spans="1:18" x14ac:dyDescent="0.3">
      <c r="A91" s="9" t="s">
        <v>289</v>
      </c>
      <c r="B91" s="12">
        <v>0.46939999999999998</v>
      </c>
      <c r="P91" s="7" t="s">
        <v>290</v>
      </c>
      <c r="Q91" s="8">
        <v>3.5000000000000003E-2</v>
      </c>
      <c r="R91" s="9">
        <v>1.2170000000000001</v>
      </c>
    </row>
    <row r="92" spans="1:18" x14ac:dyDescent="0.3">
      <c r="A92" s="9" t="s">
        <v>291</v>
      </c>
      <c r="B92" s="12">
        <v>0.36180000000000001</v>
      </c>
      <c r="P92" s="7" t="s">
        <v>292</v>
      </c>
      <c r="Q92" s="8">
        <v>4.4999999999999998E-2</v>
      </c>
      <c r="R92" s="7">
        <v>1.276</v>
      </c>
    </row>
    <row r="93" spans="1:18" x14ac:dyDescent="0.3">
      <c r="A93" s="9" t="s">
        <v>293</v>
      </c>
      <c r="B93" s="12">
        <v>1.3954</v>
      </c>
      <c r="P93" s="7" t="s">
        <v>294</v>
      </c>
      <c r="Q93" s="8">
        <v>0.04</v>
      </c>
      <c r="R93" s="9">
        <v>1.2170000000000001</v>
      </c>
    </row>
    <row r="94" spans="1:18" x14ac:dyDescent="0.3">
      <c r="A94" s="9" t="s">
        <v>295</v>
      </c>
      <c r="B94" s="12">
        <v>1.3954</v>
      </c>
      <c r="P94" s="7" t="s">
        <v>296</v>
      </c>
      <c r="Q94" s="8">
        <v>0.04</v>
      </c>
      <c r="R94" s="9">
        <v>1.2170000000000001</v>
      </c>
    </row>
    <row r="95" spans="1:18" x14ac:dyDescent="0.3">
      <c r="A95" s="9" t="s">
        <v>297</v>
      </c>
      <c r="B95" s="12">
        <v>0.9647</v>
      </c>
      <c r="P95" s="7" t="s">
        <v>298</v>
      </c>
      <c r="Q95" s="8">
        <v>0.02</v>
      </c>
      <c r="R95" s="9">
        <v>1.1040000000000001</v>
      </c>
    </row>
    <row r="96" spans="1:18" x14ac:dyDescent="0.3">
      <c r="P96" s="7" t="s">
        <v>299</v>
      </c>
      <c r="Q96" s="8">
        <v>3.5000000000000003E-2</v>
      </c>
      <c r="R96" s="9">
        <v>1.2170000000000001</v>
      </c>
    </row>
    <row r="97" spans="16:18" x14ac:dyDescent="0.3">
      <c r="P97" s="7" t="s">
        <v>300</v>
      </c>
      <c r="Q97" s="8">
        <v>0.03</v>
      </c>
      <c r="R97" s="9">
        <v>1.159</v>
      </c>
    </row>
    <row r="98" spans="16:18" x14ac:dyDescent="0.3">
      <c r="P98" s="7" t="s">
        <v>301</v>
      </c>
      <c r="Q98" s="8">
        <v>0.03</v>
      </c>
      <c r="R98" s="9">
        <v>1.159</v>
      </c>
    </row>
    <row r="99" spans="16:18" x14ac:dyDescent="0.3">
      <c r="P99" s="7" t="s">
        <v>302</v>
      </c>
      <c r="Q99" s="8">
        <v>3.5000000000000003E-2</v>
      </c>
      <c r="R99" s="9">
        <v>1.2170000000000001</v>
      </c>
    </row>
    <row r="100" spans="16:18" x14ac:dyDescent="0.3">
      <c r="P100" s="7" t="s">
        <v>303</v>
      </c>
      <c r="Q100" s="8">
        <v>0.03</v>
      </c>
      <c r="R100" s="9">
        <v>1.159</v>
      </c>
    </row>
    <row r="101" spans="16:18" x14ac:dyDescent="0.3">
      <c r="P101" s="7" t="s">
        <v>304</v>
      </c>
      <c r="Q101" s="8">
        <v>0.04</v>
      </c>
      <c r="R101" s="9">
        <v>1.2170000000000001</v>
      </c>
    </row>
    <row r="102" spans="16:18" x14ac:dyDescent="0.3">
      <c r="P102" s="7" t="s">
        <v>305</v>
      </c>
      <c r="Q102" s="8">
        <v>0.04</v>
      </c>
      <c r="R102" s="9">
        <v>1.2170000000000001</v>
      </c>
    </row>
    <row r="103" spans="16:18" x14ac:dyDescent="0.3">
      <c r="P103" s="7" t="s">
        <v>306</v>
      </c>
      <c r="Q103" s="8">
        <v>0.02</v>
      </c>
      <c r="R103" s="9">
        <v>1.1040000000000001</v>
      </c>
    </row>
    <row r="104" spans="16:18" x14ac:dyDescent="0.3">
      <c r="P104" s="7" t="s">
        <v>307</v>
      </c>
      <c r="Q104" s="8">
        <v>0.04</v>
      </c>
      <c r="R104" s="9">
        <v>1.2170000000000001</v>
      </c>
    </row>
    <row r="105" spans="16:18" x14ac:dyDescent="0.3">
      <c r="P105" s="7" t="s">
        <v>308</v>
      </c>
      <c r="Q105" s="8">
        <v>0.02</v>
      </c>
      <c r="R105" s="9">
        <v>1.1040000000000001</v>
      </c>
    </row>
    <row r="106" spans="16:18" x14ac:dyDescent="0.3">
      <c r="P106" s="7" t="s">
        <v>309</v>
      </c>
      <c r="Q106" s="8">
        <v>0.04</v>
      </c>
      <c r="R106" s="9">
        <v>1.2170000000000001</v>
      </c>
    </row>
    <row r="107" spans="16:18" x14ac:dyDescent="0.3">
      <c r="P107" s="7" t="s">
        <v>310</v>
      </c>
      <c r="Q107" s="8">
        <v>0.04</v>
      </c>
      <c r="R107" s="9">
        <v>1.2170000000000001</v>
      </c>
    </row>
    <row r="108" spans="16:18" x14ac:dyDescent="0.3">
      <c r="P108" s="7" t="s">
        <v>311</v>
      </c>
      <c r="Q108" s="8">
        <v>4.4999999999999998E-2</v>
      </c>
      <c r="R108" s="7">
        <v>1.276</v>
      </c>
    </row>
    <row r="109" spans="16:18" x14ac:dyDescent="0.3">
      <c r="P109" s="7" t="s">
        <v>312</v>
      </c>
      <c r="Q109" s="8">
        <v>3.5000000000000003E-2</v>
      </c>
      <c r="R109" s="9">
        <v>1.2170000000000001</v>
      </c>
    </row>
    <row r="110" spans="16:18" x14ac:dyDescent="0.3">
      <c r="P110" s="7" t="s">
        <v>313</v>
      </c>
      <c r="Q110" s="8">
        <v>0.03</v>
      </c>
      <c r="R110" s="9">
        <v>1.159</v>
      </c>
    </row>
    <row r="111" spans="16:18" x14ac:dyDescent="0.3">
      <c r="P111" s="7" t="s">
        <v>314</v>
      </c>
      <c r="Q111" s="8">
        <v>0.03</v>
      </c>
      <c r="R111" s="9">
        <v>1.159</v>
      </c>
    </row>
    <row r="112" spans="16:18" x14ac:dyDescent="0.3">
      <c r="P112" s="7" t="s">
        <v>315</v>
      </c>
      <c r="Q112" s="8">
        <v>0.03</v>
      </c>
      <c r="R112" s="9">
        <v>1.159</v>
      </c>
    </row>
    <row r="113" spans="16:18" x14ac:dyDescent="0.3">
      <c r="P113" s="7" t="s">
        <v>316</v>
      </c>
      <c r="Q113" s="8">
        <v>0.02</v>
      </c>
      <c r="R113" s="9">
        <v>1.1040000000000001</v>
      </c>
    </row>
    <row r="114" spans="16:18" x14ac:dyDescent="0.3">
      <c r="P114" s="7" t="s">
        <v>317</v>
      </c>
      <c r="Q114" s="8">
        <v>0.03</v>
      </c>
      <c r="R114" s="9">
        <v>1.159</v>
      </c>
    </row>
    <row r="115" spans="16:18" x14ac:dyDescent="0.3">
      <c r="P115" s="7" t="s">
        <v>318</v>
      </c>
      <c r="Q115" s="8">
        <v>0.03</v>
      </c>
      <c r="R115" s="9">
        <v>1.159</v>
      </c>
    </row>
    <row r="116" spans="16:18" x14ac:dyDescent="0.3">
      <c r="P116" s="7" t="s">
        <v>319</v>
      </c>
      <c r="Q116" s="8">
        <v>0.03</v>
      </c>
      <c r="R116" s="9">
        <v>1.159</v>
      </c>
    </row>
    <row r="117" spans="16:18" x14ac:dyDescent="0.3">
      <c r="P117" s="7" t="s">
        <v>320</v>
      </c>
      <c r="Q117" s="8">
        <v>0.03</v>
      </c>
      <c r="R117" s="9">
        <v>1.159</v>
      </c>
    </row>
    <row r="118" spans="16:18" x14ac:dyDescent="0.3">
      <c r="P118" s="7" t="s">
        <v>321</v>
      </c>
      <c r="Q118" s="8">
        <v>3.5000000000000003E-2</v>
      </c>
      <c r="R118" s="9">
        <v>1.2170000000000001</v>
      </c>
    </row>
    <row r="119" spans="16:18" x14ac:dyDescent="0.3">
      <c r="P119" s="7" t="s">
        <v>322</v>
      </c>
      <c r="Q119" s="8">
        <v>3.5000000000000003E-2</v>
      </c>
      <c r="R119" s="9">
        <v>1.2170000000000001</v>
      </c>
    </row>
    <row r="120" spans="16:18" x14ac:dyDescent="0.3">
      <c r="P120" s="7" t="s">
        <v>323</v>
      </c>
      <c r="Q120" s="8">
        <v>0.03</v>
      </c>
      <c r="R120" s="9">
        <v>1.159</v>
      </c>
    </row>
    <row r="121" spans="16:18" x14ac:dyDescent="0.3">
      <c r="P121" s="7" t="s">
        <v>324</v>
      </c>
      <c r="Q121" s="8">
        <v>4.4999999999999998E-2</v>
      </c>
      <c r="R121" s="7">
        <v>1.276</v>
      </c>
    </row>
    <row r="132" spans="16:18" x14ac:dyDescent="0.3">
      <c r="P132" s="7" t="s">
        <v>325</v>
      </c>
      <c r="Q132" s="8">
        <v>0.03</v>
      </c>
      <c r="R132" s="9">
        <v>1.159</v>
      </c>
    </row>
  </sheetData>
  <autoFilter ref="P1:R142" xr:uid="{00000000-0009-0000-0000-000008000000}"/>
  <mergeCells count="6">
    <mergeCell ref="D1:D3"/>
    <mergeCell ref="A2:A3"/>
    <mergeCell ref="B2:B3"/>
    <mergeCell ref="A1:B1"/>
    <mergeCell ref="E2:N2"/>
    <mergeCell ref="E1:N1"/>
  </mergeCells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CAPA-RESUMO</vt:lpstr>
      <vt:lpstr>ATUAL</vt:lpstr>
      <vt:lpstr>ATUAL+NC</vt:lpstr>
      <vt:lpstr>PROJETADO</vt:lpstr>
      <vt:lpstr>CQT ATUAL</vt:lpstr>
      <vt:lpstr>CQT ATUAL+NC</vt:lpstr>
      <vt:lpstr>CQT PROJETADO</vt:lpstr>
      <vt:lpstr>Planilha1</vt:lpstr>
      <vt:lpstr>BASE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Rodrigues Bizzo , Enel</dc:creator>
  <cp:lastModifiedBy>Jonatas da Rocha Lampa</cp:lastModifiedBy>
  <cp:revision>18</cp:revision>
  <dcterms:created xsi:type="dcterms:W3CDTF">2019-06-27T21:57:56Z</dcterms:created>
  <dcterms:modified xsi:type="dcterms:W3CDTF">2026-10-03T14:19:12Z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ENEL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MSIP_Label_797ad33d-ed35-43c0-b526-22bc83c17deb_Enabled">
    <vt:lpwstr>true</vt:lpwstr>
  </property>
  <property fmtid="{D5CDD505-2E9C-101B-9397-08002B2CF9AE}" pid="10" name="MSIP_Label_797ad33d-ed35-43c0-b526-22bc83c17deb_SetDate">
    <vt:lpwstr>2026-06-01T15:04:01Z</vt:lpwstr>
  </property>
  <property fmtid="{D5CDD505-2E9C-101B-9397-08002B2CF9AE}" pid="11" name="MSIP_Label_797ad33d-ed35-43c0-b526-22bc83c17deb_Method">
    <vt:lpwstr>Standard</vt:lpwstr>
  </property>
  <property fmtid="{D5CDD505-2E9C-101B-9397-08002B2CF9AE}" pid="12" name="MSIP_Label_797ad33d-ed35-43c0-b526-22bc83c17deb_Name">
    <vt:lpwstr>797ad33d-ed35-43c0-b526-22bc83c17deb</vt:lpwstr>
  </property>
  <property fmtid="{D5CDD505-2E9C-101B-9397-08002B2CF9AE}" pid="13" name="MSIP_Label_797ad33d-ed35-43c0-b526-22bc83c17deb_SiteId">
    <vt:lpwstr>d539d4bf-5610-471a-afc2-1c76685cfefa</vt:lpwstr>
  </property>
  <property fmtid="{D5CDD505-2E9C-101B-9397-08002B2CF9AE}" pid="14" name="MSIP_Label_797ad33d-ed35-43c0-b526-22bc83c17deb_ActionId">
    <vt:lpwstr>1f8915bd-872f-4cbe-87cd-a2ee8381e1ee</vt:lpwstr>
  </property>
  <property fmtid="{D5CDD505-2E9C-101B-9397-08002B2CF9AE}" pid="15" name="MSIP_Label_797ad33d-ed35-43c0-b526-22bc83c17deb_ContentBits">
    <vt:lpwstr>1</vt:lpwstr>
  </property>
  <property fmtid="{D5CDD505-2E9C-101B-9397-08002B2CF9AE}" pid="16" name="MSIP_Label_797ad33d-ed35-43c0-b526-22bc83c17deb_Tag">
    <vt:lpwstr>10, 3, 0, 1</vt:lpwstr>
  </property>
</Properties>
</file>