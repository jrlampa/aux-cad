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im3brasil-my.sharepoint.com/personal/jonatas_lampa_im3brasil_com_br/Documents/AUX CAD LIGHT/"/>
    </mc:Choice>
  </mc:AlternateContent>
  <xr:revisionPtr revIDLastSave="0" documentId="8_{8610CA43-9B1C-4156-9DF1-282B0F4B2FF3}" xr6:coauthVersionLast="47" xr6:coauthVersionMax="47" xr10:uidLastSave="{00000000-0000-0000-0000-000000000000}"/>
  <bookViews>
    <workbookView xWindow="7524" yWindow="12852" windowWidth="23256" windowHeight="12456" tabRatio="843" firstSheet="1" activeTab="4" xr2:uid="{00000000-000D-0000-FFFF-FFFF00000000}"/>
  </bookViews>
  <sheets>
    <sheet name="DB" sheetId="1" state="hidden" r:id="rId1"/>
    <sheet name="COORDENADAS" sheetId="2" r:id="rId2"/>
    <sheet name="SUGESTAO_CORTES" sheetId="3" state="hidden" r:id="rId3"/>
    <sheet name="RAMAL" sheetId="4" r:id="rId4"/>
    <sheet name="PROJ1" sheetId="5" r:id="rId5"/>
    <sheet name="LADO 1" sheetId="6" r:id="rId6"/>
    <sheet name="LADO 2" sheetId="7" r:id="rId7"/>
    <sheet name="LADO 3" sheetId="14" r:id="rId8"/>
    <sheet name="LADO 4" sheetId="15" r:id="rId9"/>
    <sheet name="GERAL PROJ" sheetId="8" r:id="rId10"/>
    <sheet name="LADO 1 PROJ" sheetId="9" r:id="rId11"/>
    <sheet name="LADO 2 PROJ" sheetId="10" r:id="rId12"/>
    <sheet name="GERAL PROJ2" sheetId="11" r:id="rId13"/>
    <sheet name="LADO 1 PROJ2" sheetId="12" r:id="rId14"/>
    <sheet name="LADO 2 PROJ2" sheetId="13" r:id="rId15"/>
  </sheets>
  <definedNames>
    <definedName name="ATUAL_CARGA_TOTAL">RAMAL!$AB$12</definedName>
    <definedName name="ATUAL_CORRENTE_MAXIMA">RAMAL!$AB$6</definedName>
    <definedName name="ATUAL_DEMANDA_MAXIMA">RAMAL!$AB$8</definedName>
    <definedName name="ATUAL_DMDI_MEDIO">RAMAL!$AB$18</definedName>
    <definedName name="ATUAL_ENTRADAS_RAMAIS">RAMAL!$A$18:$U$217</definedName>
    <definedName name="ATUAL_FATOR_LEITURA_TRAFO">RAMAL!$AB$14</definedName>
    <definedName name="AUX_CLAN">DB!$C$35:$F$335</definedName>
    <definedName name="COEF_VA">DB!$AA$1:$AG$32</definedName>
    <definedName name="coin_dualtol" localSheetId="3" hidden="1">"0.0000001"</definedName>
    <definedName name="coin_presolve1" localSheetId="3" hidden="1">1</definedName>
    <definedName name="coin_primaltol" localSheetId="3" hidden="1">"0.0000001"</definedName>
    <definedName name="CONDUTORES" localSheetId="9">CABOS[]</definedName>
    <definedName name="CONDUTORES" localSheetId="12">CABOS[]</definedName>
    <definedName name="CONDUTORES" localSheetId="10">CABOS[]</definedName>
    <definedName name="CONDUTORES" localSheetId="13">CABOS[]</definedName>
    <definedName name="CONDUTORES" localSheetId="6">CABOS[]</definedName>
    <definedName name="CONDUTORES" localSheetId="11">CABOS[]</definedName>
    <definedName name="CONDUTORES" localSheetId="14">CABOS[]</definedName>
    <definedName name="CONDUTORES" localSheetId="7">CABOS[]</definedName>
    <definedName name="CONDUTORES" localSheetId="8">CABOS[]</definedName>
    <definedName name="CONDUTORES">CABOS[]</definedName>
    <definedName name="COORD">COORDENADAS!$B$2:$D$68</definedName>
    <definedName name="DadosExternos_1" localSheetId="1" hidden="1">COORDENADAS!$I$2:$L$48</definedName>
    <definedName name="DEM_ATUAL">DB!$K$7</definedName>
    <definedName name="DMDI">RAMAL!$AA$30</definedName>
    <definedName name="fator_potencia">DB!$K$2</definedName>
    <definedName name="QT_MT">DB!$K$4</definedName>
    <definedName name="QT_MTTR">DB!$K$10</definedName>
    <definedName name="QT_MTTR2">DB!$K$19</definedName>
    <definedName name="QT_MTTR3">DB!$K$26</definedName>
    <definedName name="QT_TR">DB!$K$8</definedName>
    <definedName name="RAMA_PROJ1">#REF!</definedName>
    <definedName name="RAMA_PROJ2">#REF!</definedName>
    <definedName name="RAMAIS_ATUAL">RAMAL!$A$18:$Y$217</definedName>
    <definedName name="RAMAIS_PROJ1">#REF!</definedName>
    <definedName name="solver_adj" localSheetId="4" hidden="1">PROJ1!$T$29:$T$35</definedName>
    <definedName name="solver_cvg" localSheetId="4" hidden="1">0.0001</definedName>
    <definedName name="solver_cvg" localSheetId="3" hidden="1">"0.0001"</definedName>
    <definedName name="solver_drv" localSheetId="4" hidden="1">1</definedName>
    <definedName name="solver_eng" localSheetId="4" hidden="1">3</definedName>
    <definedName name="solver_eng" localSheetId="3" hidden="1">0</definedName>
    <definedName name="solver_est" localSheetId="4" hidden="1">1</definedName>
    <definedName name="solver_est" localSheetId="3" hidden="1">1</definedName>
    <definedName name="solver_itr" localSheetId="4" hidden="1">2147483647</definedName>
    <definedName name="solver_kiv" localSheetId="3" hidden="1">2E+30</definedName>
    <definedName name="solver_lhs1" localSheetId="4" hidden="1">PROJ1!$T$29:$T$35</definedName>
    <definedName name="solver_lhs1" localSheetId="3" hidden="1">RAMAL!$AA$30</definedName>
    <definedName name="solver_lhs2" localSheetId="4" hidden="1">PROJ1!$T$29:$T$35</definedName>
    <definedName name="solver_lhs3" localSheetId="4" hidden="1">PROJ1!$T$29:$T$35</definedName>
    <definedName name="solver_lhs4" localSheetId="4" hidden="1">PROJ1!$T$21:$T$29</definedName>
    <definedName name="solver_lhs5" localSheetId="4" hidden="1">PROJ1!$T$21:$T$29</definedName>
    <definedName name="solver_lhs6" localSheetId="4" hidden="1">PROJ1!$T$21:$T$29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msl" localSheetId="3" hidden="1">0</definedName>
    <definedName name="solver_neg" localSheetId="4" hidden="1">1</definedName>
    <definedName name="solver_neg" localSheetId="3" hidden="1">1</definedName>
    <definedName name="solver_nod" localSheetId="4" hidden="1">2147483647</definedName>
    <definedName name="solver_num" localSheetId="4" hidden="1">3</definedName>
    <definedName name="solver_num" localSheetId="3" hidden="1">0</definedName>
    <definedName name="solver_nwt" localSheetId="4" hidden="1">1</definedName>
    <definedName name="solver_nwt" localSheetId="3" hidden="1">1</definedName>
    <definedName name="solver_opt" localSheetId="4" hidden="1">PROJ1!$Q$33</definedName>
    <definedName name="solver_pre" localSheetId="4" hidden="1">0.000001</definedName>
    <definedName name="solver_pre" localSheetId="3" hidden="1">"0.000001"</definedName>
    <definedName name="solver_rbv" localSheetId="4" hidden="1">1</definedName>
    <definedName name="solver_rbv" localSheetId="3" hidden="1">1</definedName>
    <definedName name="solver_rel1" localSheetId="4" hidden="1">1</definedName>
    <definedName name="solver_rel1" localSheetId="3" hidden="1">2</definedName>
    <definedName name="solver_rel2" localSheetId="4" hidden="1">4</definedName>
    <definedName name="solver_rel3" localSheetId="4" hidden="1">3</definedName>
    <definedName name="solver_rel4" localSheetId="4" hidden="1">1</definedName>
    <definedName name="solver_rel5" localSheetId="4" hidden="1">4</definedName>
    <definedName name="solver_rel6" localSheetId="4" hidden="1">3</definedName>
    <definedName name="solver_rhs1" localSheetId="4" hidden="1">3</definedName>
    <definedName name="solver_rhs1" localSheetId="3" hidden="1">1.63</definedName>
    <definedName name="solver_rhs2" localSheetId="4" hidden="1">"número inteiro"</definedName>
    <definedName name="solver_rhs3" localSheetId="4" hidden="1">1</definedName>
    <definedName name="solver_rhs4" localSheetId="4" hidden="1">3</definedName>
    <definedName name="solver_rhs5" localSheetId="4" hidden="1">"número inteiro"</definedName>
    <definedName name="solver_rhs6" localSheetId="4" hidden="1">1</definedName>
    <definedName name="solver_rlx" localSheetId="4" hidden="1">2</definedName>
    <definedName name="solver_rlx" localSheetId="3" hidden="1">0</definedName>
    <definedName name="solver_rsd" localSheetId="4" hidden="1">0</definedName>
    <definedName name="solver_rxv" localSheetId="3" hidden="1">1</definedName>
    <definedName name="solver_scl" localSheetId="4" hidden="1">1</definedName>
    <definedName name="solver_scl" localSheetId="3" hidden="1">0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ms" localSheetId="3" hidden="1">0</definedName>
    <definedName name="solver_tol" localSheetId="4" hidden="1">0.01</definedName>
    <definedName name="solver_tol" localSheetId="3" hidden="1">0</definedName>
    <definedName name="solver_typ" localSheetId="4" hidden="1">3</definedName>
    <definedName name="solver_typ" localSheetId="3" hidden="1">3</definedName>
    <definedName name="solver_val" localSheetId="4" hidden="1">117</definedName>
    <definedName name="solver_val" localSheetId="3" hidden="1">0</definedName>
    <definedName name="solver_ver" localSheetId="4" hidden="1">3</definedName>
    <definedName name="T_LINHA_MONO">DB!$M$14</definedName>
    <definedName name="T_LINHA_TRF">DB!$M$13</definedName>
    <definedName name="TAB_CLAN_DMDI">DB!$A$35:$B$416</definedName>
    <definedName name="TAB_MINI_CABO">PROJ1!$R$4:$S$6</definedName>
    <definedName name="TR_ATUAL">DB!$K$6</definedName>
  </definedNames>
  <calcPr calcId="181029"/>
  <extLst>
    <ext xmlns:x15="http://schemas.microsoft.com/office/spreadsheetml/2010/11/main" uri="{FCE2AD5D-F65C-4FA6-A056-5C36A1767C68}">
      <x15:dataModel>
        <x15:modelTables>
          <x15:modelTable id="LDA CARMETIBA - ZNA 19165_utm_23s_3d6c5762-4614-4992-9090-eac9916d2ed8" name="LDA CARMETIBA - ZNA 19165_utm_23s" connection="Consulta - LDA CARMETIBA - ZNA 19165_utm_23s"/>
        </x15:modelTables>
      </x15:dataModel>
    </ext>
  </extLst>
</workbook>
</file>

<file path=xl/calcChain.xml><?xml version="1.0" encoding="utf-8"?>
<calcChain xmlns="http://schemas.openxmlformats.org/spreadsheetml/2006/main">
  <c r="B26" i="6" l="1"/>
  <c r="E26" i="6" s="1"/>
  <c r="E24" i="6"/>
  <c r="E25" i="6"/>
  <c r="U38" i="5"/>
  <c r="U37" i="5"/>
  <c r="U35" i="5"/>
  <c r="U34" i="5"/>
  <c r="U33" i="5"/>
  <c r="J13" i="14" s="1"/>
  <c r="AC13" i="14" s="1"/>
  <c r="U32" i="5"/>
  <c r="U36" i="5"/>
  <c r="J10" i="15"/>
  <c r="Z10" i="15" s="1"/>
  <c r="M51" i="5"/>
  <c r="M50" i="5"/>
  <c r="M49" i="5"/>
  <c r="M48" i="5"/>
  <c r="M47" i="5"/>
  <c r="M46" i="5"/>
  <c r="M45" i="5"/>
  <c r="J16" i="1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9" i="5"/>
  <c r="S3" i="5"/>
  <c r="N45" i="5"/>
  <c r="N46" i="5"/>
  <c r="N47" i="5"/>
  <c r="N48" i="5"/>
  <c r="N49" i="5"/>
  <c r="N50" i="5"/>
  <c r="N51" i="5"/>
  <c r="AC25" i="15"/>
  <c r="Z25" i="15"/>
  <c r="V25" i="15"/>
  <c r="T25" i="15"/>
  <c r="O25" i="15"/>
  <c r="I25" i="15"/>
  <c r="H25" i="15"/>
  <c r="G25" i="15"/>
  <c r="F25" i="15"/>
  <c r="E25" i="15"/>
  <c r="AC24" i="15"/>
  <c r="Z24" i="15"/>
  <c r="V24" i="15"/>
  <c r="T24" i="15"/>
  <c r="O24" i="15"/>
  <c r="I24" i="15"/>
  <c r="H24" i="15"/>
  <c r="G24" i="15"/>
  <c r="F24" i="15"/>
  <c r="E24" i="15"/>
  <c r="AC23" i="15"/>
  <c r="Z23" i="15"/>
  <c r="V23" i="15"/>
  <c r="T23" i="15"/>
  <c r="G23" i="15"/>
  <c r="F23" i="15"/>
  <c r="E23" i="15"/>
  <c r="V22" i="15"/>
  <c r="T22" i="15"/>
  <c r="B22" i="15"/>
  <c r="J22" i="15" s="1"/>
  <c r="AC22" i="15" s="1"/>
  <c r="AF21" i="15"/>
  <c r="V21" i="15"/>
  <c r="T21" i="15"/>
  <c r="V20" i="15"/>
  <c r="T20" i="15"/>
  <c r="V19" i="15"/>
  <c r="T19" i="15"/>
  <c r="V18" i="15"/>
  <c r="T18" i="15"/>
  <c r="V17" i="15"/>
  <c r="T17" i="15"/>
  <c r="O17" i="15"/>
  <c r="J17" i="15"/>
  <c r="I17" i="15"/>
  <c r="H17" i="15"/>
  <c r="G17" i="15"/>
  <c r="F17" i="15"/>
  <c r="E17" i="15"/>
  <c r="D17" i="15"/>
  <c r="C17" i="15"/>
  <c r="V16" i="15"/>
  <c r="T16" i="15"/>
  <c r="I16" i="15"/>
  <c r="H16" i="15"/>
  <c r="G16" i="15"/>
  <c r="F16" i="15"/>
  <c r="E16" i="15"/>
  <c r="D16" i="15"/>
  <c r="C16" i="15"/>
  <c r="V15" i="15"/>
  <c r="T15" i="15"/>
  <c r="V14" i="15"/>
  <c r="T14" i="15"/>
  <c r="V13" i="15"/>
  <c r="T13" i="15"/>
  <c r="V12" i="15"/>
  <c r="T12" i="15"/>
  <c r="V11" i="15"/>
  <c r="T11" i="15"/>
  <c r="J11" i="15"/>
  <c r="Z11" i="15" s="1"/>
  <c r="V10" i="15"/>
  <c r="T10" i="15"/>
  <c r="V9" i="15"/>
  <c r="T9" i="15"/>
  <c r="V8" i="15"/>
  <c r="T8" i="15"/>
  <c r="B8" i="15"/>
  <c r="C8" i="15" s="1"/>
  <c r="AC25" i="14"/>
  <c r="Z25" i="14"/>
  <c r="V25" i="14"/>
  <c r="T25" i="14"/>
  <c r="O25" i="14"/>
  <c r="I25" i="14"/>
  <c r="H25" i="14"/>
  <c r="G25" i="14"/>
  <c r="F25" i="14"/>
  <c r="E25" i="14"/>
  <c r="AC24" i="14"/>
  <c r="Z24" i="14"/>
  <c r="V24" i="14"/>
  <c r="T24" i="14"/>
  <c r="O24" i="14"/>
  <c r="I24" i="14"/>
  <c r="X24" i="14" s="1"/>
  <c r="K24" i="14" s="1"/>
  <c r="H24" i="14"/>
  <c r="G24" i="14"/>
  <c r="F24" i="14"/>
  <c r="E24" i="14"/>
  <c r="AC23" i="14"/>
  <c r="Z23" i="14"/>
  <c r="V23" i="14"/>
  <c r="T23" i="14"/>
  <c r="G23" i="14"/>
  <c r="F23" i="14"/>
  <c r="E23" i="14"/>
  <c r="V22" i="14"/>
  <c r="T22" i="14"/>
  <c r="B22" i="14"/>
  <c r="J22" i="14" s="1"/>
  <c r="AF21" i="14"/>
  <c r="V21" i="14"/>
  <c r="T21" i="14"/>
  <c r="V20" i="14"/>
  <c r="T20" i="14"/>
  <c r="V19" i="14"/>
  <c r="T19" i="14"/>
  <c r="V18" i="14"/>
  <c r="T18" i="14"/>
  <c r="V17" i="14"/>
  <c r="T17" i="14"/>
  <c r="O17" i="14"/>
  <c r="J17" i="14"/>
  <c r="I17" i="14"/>
  <c r="H17" i="14"/>
  <c r="G17" i="14"/>
  <c r="F17" i="14"/>
  <c r="E17" i="14"/>
  <c r="D17" i="14"/>
  <c r="C17" i="14"/>
  <c r="V16" i="14"/>
  <c r="T16" i="14"/>
  <c r="O16" i="14"/>
  <c r="J16" i="14"/>
  <c r="AC16" i="14" s="1"/>
  <c r="I16" i="14"/>
  <c r="H16" i="14"/>
  <c r="G16" i="14"/>
  <c r="F16" i="14"/>
  <c r="E16" i="14"/>
  <c r="D16" i="14"/>
  <c r="C16" i="14"/>
  <c r="V15" i="14"/>
  <c r="T15" i="14"/>
  <c r="V14" i="14"/>
  <c r="T14" i="14"/>
  <c r="V13" i="14"/>
  <c r="T13" i="14"/>
  <c r="V12" i="14"/>
  <c r="T12" i="14"/>
  <c r="V11" i="14"/>
  <c r="T11" i="14"/>
  <c r="V10" i="14"/>
  <c r="T10" i="14"/>
  <c r="V9" i="14"/>
  <c r="T9" i="14"/>
  <c r="C9" i="14"/>
  <c r="V8" i="14"/>
  <c r="T8" i="14"/>
  <c r="B8" i="14"/>
  <c r="D8" i="14" s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2" i="1"/>
  <c r="B22" i="7"/>
  <c r="C21" i="6"/>
  <c r="B8" i="6"/>
  <c r="B20" i="6"/>
  <c r="B22" i="6"/>
  <c r="G22" i="6" s="1"/>
  <c r="B23" i="6"/>
  <c r="J23" i="6" s="1"/>
  <c r="B27" i="6"/>
  <c r="H5" i="5"/>
  <c r="AC25" i="7"/>
  <c r="Z25" i="7"/>
  <c r="V25" i="7"/>
  <c r="T25" i="7"/>
  <c r="G25" i="7"/>
  <c r="F25" i="7"/>
  <c r="AC24" i="7"/>
  <c r="Z24" i="7"/>
  <c r="V24" i="7"/>
  <c r="T24" i="7"/>
  <c r="G24" i="7"/>
  <c r="F24" i="7"/>
  <c r="AC26" i="6"/>
  <c r="Z26" i="6"/>
  <c r="V26" i="6"/>
  <c r="T26" i="6"/>
  <c r="T21" i="6"/>
  <c r="V21" i="6"/>
  <c r="T22" i="6"/>
  <c r="V22" i="6"/>
  <c r="T23" i="6"/>
  <c r="V23" i="6"/>
  <c r="Z24" i="6"/>
  <c r="T24" i="6"/>
  <c r="V24" i="6"/>
  <c r="AC24" i="6"/>
  <c r="Z25" i="6"/>
  <c r="T25" i="6"/>
  <c r="V25" i="6"/>
  <c r="G26" i="6" l="1"/>
  <c r="J12" i="15"/>
  <c r="Z12" i="15" s="1"/>
  <c r="D8" i="15"/>
  <c r="J8" i="14"/>
  <c r="AC8" i="14" s="1"/>
  <c r="J8" i="15"/>
  <c r="Z8" i="15" s="1"/>
  <c r="J18" i="15"/>
  <c r="Z18" i="15" s="1"/>
  <c r="O22" i="15"/>
  <c r="H22" i="15"/>
  <c r="G22" i="15"/>
  <c r="X24" i="15"/>
  <c r="K24" i="15" s="1"/>
  <c r="G14" i="15"/>
  <c r="F14" i="15"/>
  <c r="E14" i="15"/>
  <c r="D14" i="15"/>
  <c r="C14" i="15"/>
  <c r="J14" i="15"/>
  <c r="H14" i="15"/>
  <c r="I14" i="15"/>
  <c r="D20" i="15"/>
  <c r="C20" i="15"/>
  <c r="J20" i="15"/>
  <c r="J19" i="15"/>
  <c r="D19" i="15"/>
  <c r="C19" i="15"/>
  <c r="J15" i="15"/>
  <c r="C15" i="15"/>
  <c r="D15" i="15"/>
  <c r="D21" i="15"/>
  <c r="J13" i="15"/>
  <c r="G13" i="15"/>
  <c r="F13" i="15"/>
  <c r="E13" i="15"/>
  <c r="D13" i="15"/>
  <c r="AC11" i="15"/>
  <c r="C13" i="15"/>
  <c r="J21" i="15"/>
  <c r="X17" i="15"/>
  <c r="C18" i="15"/>
  <c r="J9" i="15"/>
  <c r="C9" i="15"/>
  <c r="C12" i="15"/>
  <c r="D18" i="15"/>
  <c r="X25" i="15"/>
  <c r="C21" i="15"/>
  <c r="D9" i="15"/>
  <c r="H13" i="15"/>
  <c r="X16" i="15"/>
  <c r="I13" i="15"/>
  <c r="D12" i="15"/>
  <c r="AC10" i="15"/>
  <c r="Z22" i="15"/>
  <c r="AC17" i="15"/>
  <c r="Z17" i="15"/>
  <c r="Z16" i="15"/>
  <c r="C22" i="15"/>
  <c r="C10" i="15"/>
  <c r="D22" i="15"/>
  <c r="D10" i="15"/>
  <c r="E22" i="15"/>
  <c r="AC16" i="15"/>
  <c r="F22" i="15"/>
  <c r="I22" i="15"/>
  <c r="X22" i="15" s="1"/>
  <c r="C11" i="15"/>
  <c r="D11" i="15"/>
  <c r="H22" i="14"/>
  <c r="O22" i="14"/>
  <c r="E22" i="14"/>
  <c r="F22" i="14"/>
  <c r="J20" i="14"/>
  <c r="AC20" i="14" s="1"/>
  <c r="J10" i="14"/>
  <c r="Z10" i="14" s="1"/>
  <c r="J11" i="14"/>
  <c r="Z11" i="14" s="1"/>
  <c r="D10" i="14"/>
  <c r="X17" i="14"/>
  <c r="Y17" i="14" s="1"/>
  <c r="J15" i="14"/>
  <c r="D15" i="14"/>
  <c r="C15" i="14"/>
  <c r="J21" i="14"/>
  <c r="D21" i="14"/>
  <c r="C21" i="14"/>
  <c r="J19" i="14"/>
  <c r="D19" i="14"/>
  <c r="C19" i="14"/>
  <c r="C18" i="14"/>
  <c r="D9" i="14"/>
  <c r="J9" i="14"/>
  <c r="Z13" i="14"/>
  <c r="D14" i="14"/>
  <c r="C14" i="14"/>
  <c r="X16" i="14"/>
  <c r="D18" i="14"/>
  <c r="J12" i="14"/>
  <c r="X25" i="14"/>
  <c r="Y24" i="14"/>
  <c r="AA24" i="14" s="1"/>
  <c r="S24" i="14" s="1"/>
  <c r="J14" i="14"/>
  <c r="AC17" i="14"/>
  <c r="Z17" i="14"/>
  <c r="L24" i="14"/>
  <c r="M24" i="14" s="1"/>
  <c r="C12" i="14"/>
  <c r="AC22" i="14"/>
  <c r="Z22" i="14"/>
  <c r="J18" i="14"/>
  <c r="D12" i="14"/>
  <c r="C13" i="14"/>
  <c r="D13" i="14"/>
  <c r="Z16" i="14"/>
  <c r="C22" i="14"/>
  <c r="C10" i="14"/>
  <c r="D22" i="14"/>
  <c r="G22" i="14"/>
  <c r="C20" i="14"/>
  <c r="I22" i="14"/>
  <c r="X22" i="14" s="1"/>
  <c r="C11" i="14"/>
  <c r="D20" i="14"/>
  <c r="D11" i="14"/>
  <c r="C8" i="14"/>
  <c r="G24" i="6"/>
  <c r="G25" i="6"/>
  <c r="D21" i="6"/>
  <c r="F24" i="6"/>
  <c r="I23" i="6"/>
  <c r="X23" i="6" s="1"/>
  <c r="K23" i="6" s="1"/>
  <c r="H23" i="6"/>
  <c r="J21" i="6"/>
  <c r="AC21" i="6" s="1"/>
  <c r="F25" i="6"/>
  <c r="G23" i="6"/>
  <c r="F26" i="6"/>
  <c r="I22" i="6"/>
  <c r="X22" i="6" s="1"/>
  <c r="K22" i="6" s="1"/>
  <c r="E23" i="6"/>
  <c r="C23" i="6"/>
  <c r="F22" i="6"/>
  <c r="H22" i="6"/>
  <c r="E22" i="6"/>
  <c r="D22" i="6"/>
  <c r="D23" i="6"/>
  <c r="C22" i="6"/>
  <c r="J22" i="6"/>
  <c r="Z22" i="6" s="1"/>
  <c r="F23" i="6"/>
  <c r="AC25" i="6"/>
  <c r="AC23" i="6"/>
  <c r="Z23" i="6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X19" i="4"/>
  <c r="Y19" i="4" s="1"/>
  <c r="F4" i="2" s="1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Y110" i="4" s="1"/>
  <c r="X111" i="4"/>
  <c r="X112" i="4"/>
  <c r="X113" i="4"/>
  <c r="X114" i="4"/>
  <c r="X115" i="4"/>
  <c r="X116" i="4"/>
  <c r="X117" i="4"/>
  <c r="X118" i="4"/>
  <c r="X119" i="4"/>
  <c r="X120" i="4"/>
  <c r="Y120" i="4" s="1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Y134" i="4" s="1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Y148" i="4" s="1"/>
  <c r="X149" i="4"/>
  <c r="X150" i="4"/>
  <c r="X151" i="4"/>
  <c r="X152" i="4"/>
  <c r="Y152" i="4" s="1"/>
  <c r="X153" i="4"/>
  <c r="X154" i="4"/>
  <c r="X155" i="4"/>
  <c r="X156" i="4"/>
  <c r="X157" i="4"/>
  <c r="Y157" i="4" s="1"/>
  <c r="X158" i="4"/>
  <c r="X159" i="4"/>
  <c r="X160" i="4"/>
  <c r="X161" i="4"/>
  <c r="X162" i="4"/>
  <c r="X163" i="4"/>
  <c r="X164" i="4"/>
  <c r="X165" i="4"/>
  <c r="X166" i="4"/>
  <c r="X167" i="4"/>
  <c r="Y167" i="4" s="1"/>
  <c r="X168" i="4"/>
  <c r="X169" i="4"/>
  <c r="Y169" i="4" s="1"/>
  <c r="X170" i="4"/>
  <c r="Y170" i="4" s="1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Y187" i="4" s="1"/>
  <c r="X188" i="4"/>
  <c r="X189" i="4"/>
  <c r="X190" i="4"/>
  <c r="Y190" i="4" s="1"/>
  <c r="X191" i="4"/>
  <c r="Y191" i="4" s="1"/>
  <c r="X192" i="4"/>
  <c r="Y192" i="4" s="1"/>
  <c r="X193" i="4"/>
  <c r="Y193" i="4" s="1"/>
  <c r="X194" i="4"/>
  <c r="Y194" i="4" s="1"/>
  <c r="X195" i="4"/>
  <c r="Y195" i="4" s="1"/>
  <c r="X196" i="4"/>
  <c r="Y196" i="4" s="1"/>
  <c r="X197" i="4"/>
  <c r="Y197" i="4" s="1"/>
  <c r="X198" i="4"/>
  <c r="X199" i="4"/>
  <c r="X200" i="4"/>
  <c r="Y200" i="4" s="1"/>
  <c r="X201" i="4"/>
  <c r="X202" i="4"/>
  <c r="Y202" i="4" s="1"/>
  <c r="X203" i="4"/>
  <c r="Y203" i="4" s="1"/>
  <c r="X204" i="4"/>
  <c r="Y204" i="4" s="1"/>
  <c r="X205" i="4"/>
  <c r="Y205" i="4" s="1"/>
  <c r="X206" i="4"/>
  <c r="Y206" i="4" s="1"/>
  <c r="X207" i="4"/>
  <c r="Y207" i="4" s="1"/>
  <c r="X208" i="4"/>
  <c r="Y208" i="4" s="1"/>
  <c r="X209" i="4"/>
  <c r="Y209" i="4" s="1"/>
  <c r="X210" i="4"/>
  <c r="Y210" i="4" s="1"/>
  <c r="X211" i="4"/>
  <c r="Y211" i="4" s="1"/>
  <c r="X212" i="4"/>
  <c r="Y212" i="4" s="1"/>
  <c r="X213" i="4"/>
  <c r="Y213" i="4" s="1"/>
  <c r="X214" i="4"/>
  <c r="X215" i="4"/>
  <c r="Y215" i="4" s="1"/>
  <c r="X216" i="4"/>
  <c r="Y216" i="4" s="1"/>
  <c r="X217" i="4"/>
  <c r="Y217" i="4" s="1"/>
  <c r="X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213" i="4"/>
  <c r="V214" i="4"/>
  <c r="Y214" i="4"/>
  <c r="V215" i="4"/>
  <c r="V216" i="4"/>
  <c r="V217" i="4"/>
  <c r="V205" i="4"/>
  <c r="V206" i="4"/>
  <c r="V207" i="4"/>
  <c r="V208" i="4"/>
  <c r="V209" i="4"/>
  <c r="V210" i="4"/>
  <c r="V211" i="4"/>
  <c r="V212" i="4"/>
  <c r="V194" i="4"/>
  <c r="V195" i="4"/>
  <c r="V196" i="4"/>
  <c r="V197" i="4"/>
  <c r="V198" i="4"/>
  <c r="V199" i="4"/>
  <c r="V200" i="4"/>
  <c r="V201" i="4"/>
  <c r="Y201" i="4"/>
  <c r="V202" i="4"/>
  <c r="V203" i="4"/>
  <c r="V204" i="4"/>
  <c r="V179" i="4"/>
  <c r="V180" i="4"/>
  <c r="V181" i="4"/>
  <c r="V182" i="4"/>
  <c r="V183" i="4"/>
  <c r="V184" i="4"/>
  <c r="V185" i="4"/>
  <c r="V186" i="4"/>
  <c r="V187" i="4"/>
  <c r="V188" i="4"/>
  <c r="Y188" i="4"/>
  <c r="V189" i="4"/>
  <c r="Y189" i="4"/>
  <c r="V190" i="4"/>
  <c r="V191" i="4"/>
  <c r="V192" i="4"/>
  <c r="V193" i="4"/>
  <c r="V169" i="4"/>
  <c r="V170" i="4"/>
  <c r="V171" i="4"/>
  <c r="V172" i="4"/>
  <c r="V173" i="4"/>
  <c r="V174" i="4"/>
  <c r="V175" i="4"/>
  <c r="V176" i="4"/>
  <c r="V177" i="4"/>
  <c r="V178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Y146" i="4"/>
  <c r="V147" i="4"/>
  <c r="V148" i="4"/>
  <c r="V149" i="4"/>
  <c r="V150" i="4"/>
  <c r="V151" i="4"/>
  <c r="V152" i="4"/>
  <c r="AC12" i="15" l="1"/>
  <c r="Z8" i="14"/>
  <c r="AC8" i="15"/>
  <c r="AC18" i="15"/>
  <c r="Y24" i="15"/>
  <c r="AA24" i="15" s="1"/>
  <c r="S24" i="15" s="1"/>
  <c r="L24" i="15"/>
  <c r="M24" i="15" s="1"/>
  <c r="L16" i="15"/>
  <c r="M16" i="15" s="1"/>
  <c r="K22" i="15"/>
  <c r="Y22" i="15"/>
  <c r="AA22" i="15" s="1"/>
  <c r="S22" i="15" s="1"/>
  <c r="AC13" i="15"/>
  <c r="Z13" i="15"/>
  <c r="AC19" i="15"/>
  <c r="Z19" i="15"/>
  <c r="AC14" i="15"/>
  <c r="Z14" i="15"/>
  <c r="AC20" i="15"/>
  <c r="Z20" i="15"/>
  <c r="Y17" i="15"/>
  <c r="AA17" i="15" s="1"/>
  <c r="S17" i="15" s="1"/>
  <c r="K17" i="15"/>
  <c r="K16" i="15"/>
  <c r="Y16" i="15"/>
  <c r="AA16" i="15" s="1"/>
  <c r="S16" i="15" s="1"/>
  <c r="Y25" i="15"/>
  <c r="AA25" i="15" s="1"/>
  <c r="S25" i="15" s="1"/>
  <c r="K25" i="15"/>
  <c r="L25" i="15"/>
  <c r="M25" i="15" s="1"/>
  <c r="L22" i="15"/>
  <c r="M22" i="15" s="1"/>
  <c r="X14" i="15"/>
  <c r="Z9" i="15"/>
  <c r="AC9" i="15"/>
  <c r="X13" i="15"/>
  <c r="AC21" i="15"/>
  <c r="Z21" i="15"/>
  <c r="AC15" i="15"/>
  <c r="Z15" i="15"/>
  <c r="L17" i="15"/>
  <c r="M17" i="15" s="1"/>
  <c r="Z20" i="14"/>
  <c r="AC11" i="14"/>
  <c r="AC10" i="14"/>
  <c r="K17" i="14"/>
  <c r="L16" i="14"/>
  <c r="M16" i="14" s="1"/>
  <c r="AA17" i="14"/>
  <c r="S17" i="14" s="1"/>
  <c r="L17" i="14"/>
  <c r="M17" i="14" s="1"/>
  <c r="Y25" i="14"/>
  <c r="AA25" i="14" s="1"/>
  <c r="S25" i="14" s="1"/>
  <c r="K25" i="14"/>
  <c r="K22" i="14"/>
  <c r="Y22" i="14"/>
  <c r="AA22" i="14" s="1"/>
  <c r="S22" i="14" s="1"/>
  <c r="AC21" i="14"/>
  <c r="Z21" i="14"/>
  <c r="AC15" i="14"/>
  <c r="Z15" i="14"/>
  <c r="K16" i="14"/>
  <c r="Y16" i="14"/>
  <c r="AA16" i="14" s="1"/>
  <c r="S16" i="14" s="1"/>
  <c r="Z18" i="14"/>
  <c r="AC18" i="14"/>
  <c r="AC12" i="14"/>
  <c r="Z12" i="14"/>
  <c r="Z19" i="14"/>
  <c r="AC19" i="14"/>
  <c r="AC9" i="14"/>
  <c r="Z9" i="14"/>
  <c r="L22" i="14"/>
  <c r="M22" i="14" s="1"/>
  <c r="L25" i="14"/>
  <c r="M25" i="14" s="1"/>
  <c r="AC14" i="14"/>
  <c r="Z14" i="14"/>
  <c r="AC22" i="6"/>
  <c r="Z21" i="6"/>
  <c r="L23" i="6"/>
  <c r="M23" i="6" s="1"/>
  <c r="L22" i="6"/>
  <c r="M22" i="6" s="1"/>
  <c r="AC23" i="13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L13" i="15" l="1"/>
  <c r="M13" i="15" s="1"/>
  <c r="K13" i="15"/>
  <c r="Y13" i="15"/>
  <c r="AA13" i="15" s="1"/>
  <c r="S13" i="15" s="1"/>
  <c r="Y14" i="15"/>
  <c r="AA14" i="15" s="1"/>
  <c r="S14" i="15" s="1"/>
  <c r="K14" i="15"/>
  <c r="L14" i="15"/>
  <c r="M14" i="15" s="1"/>
  <c r="C9" i="7"/>
  <c r="D9" i="7"/>
  <c r="J9" i="7"/>
  <c r="Z9" i="7" s="1"/>
  <c r="T9" i="7"/>
  <c r="V9" i="7"/>
  <c r="C10" i="7"/>
  <c r="D10" i="7"/>
  <c r="J10" i="7"/>
  <c r="Z10" i="7" s="1"/>
  <c r="T10" i="7"/>
  <c r="V10" i="7"/>
  <c r="C11" i="7"/>
  <c r="D11" i="7"/>
  <c r="J11" i="7"/>
  <c r="Z11" i="7" s="1"/>
  <c r="T11" i="7"/>
  <c r="V11" i="7"/>
  <c r="C12" i="7"/>
  <c r="D12" i="7"/>
  <c r="J12" i="7"/>
  <c r="Z12" i="7" s="1"/>
  <c r="T12" i="7"/>
  <c r="V12" i="7"/>
  <c r="C13" i="7"/>
  <c r="D13" i="7"/>
  <c r="J13" i="7"/>
  <c r="Z13" i="7" s="1"/>
  <c r="T13" i="7"/>
  <c r="V13" i="7"/>
  <c r="C14" i="7"/>
  <c r="D14" i="7"/>
  <c r="J14" i="7"/>
  <c r="Z14" i="7" s="1"/>
  <c r="T14" i="7"/>
  <c r="V14" i="7"/>
  <c r="C15" i="7"/>
  <c r="D15" i="7"/>
  <c r="J15" i="7"/>
  <c r="T15" i="7"/>
  <c r="V15" i="7"/>
  <c r="C16" i="7"/>
  <c r="D16" i="7"/>
  <c r="J16" i="7"/>
  <c r="AC16" i="7" s="1"/>
  <c r="T16" i="7"/>
  <c r="V16" i="7"/>
  <c r="C17" i="7"/>
  <c r="D17" i="7"/>
  <c r="F17" i="7"/>
  <c r="G17" i="7"/>
  <c r="J17" i="7"/>
  <c r="Z17" i="7" s="1"/>
  <c r="T17" i="7"/>
  <c r="V17" i="7"/>
  <c r="C18" i="7"/>
  <c r="D18" i="7"/>
  <c r="J18" i="7"/>
  <c r="Z18" i="7" s="1"/>
  <c r="T18" i="7"/>
  <c r="V18" i="7"/>
  <c r="C19" i="7"/>
  <c r="D19" i="7"/>
  <c r="J19" i="7"/>
  <c r="Z19" i="7" s="1"/>
  <c r="T19" i="7"/>
  <c r="V19" i="7"/>
  <c r="C20" i="7"/>
  <c r="D20" i="7"/>
  <c r="J20" i="7"/>
  <c r="Z20" i="7" s="1"/>
  <c r="T20" i="7"/>
  <c r="V20" i="7"/>
  <c r="C21" i="7"/>
  <c r="D21" i="7"/>
  <c r="J21" i="7"/>
  <c r="Z21" i="7" s="1"/>
  <c r="T21" i="7"/>
  <c r="V21" i="7"/>
  <c r="C22" i="7"/>
  <c r="D22" i="7"/>
  <c r="E22" i="7"/>
  <c r="F22" i="7"/>
  <c r="G22" i="7"/>
  <c r="H22" i="7"/>
  <c r="I22" i="7"/>
  <c r="J22" i="7"/>
  <c r="Z22" i="7" s="1"/>
  <c r="O22" i="7"/>
  <c r="T22" i="7"/>
  <c r="V22" i="7"/>
  <c r="F23" i="7"/>
  <c r="G23" i="7"/>
  <c r="T23" i="7"/>
  <c r="V23" i="7"/>
  <c r="Z23" i="7"/>
  <c r="AC23" i="7"/>
  <c r="B8" i="7"/>
  <c r="C15" i="6"/>
  <c r="D15" i="6"/>
  <c r="J15" i="6"/>
  <c r="T15" i="6"/>
  <c r="V15" i="6"/>
  <c r="C16" i="6"/>
  <c r="D16" i="6"/>
  <c r="J16" i="6"/>
  <c r="T16" i="6"/>
  <c r="V16" i="6"/>
  <c r="C17" i="6"/>
  <c r="D17" i="6"/>
  <c r="J17" i="6"/>
  <c r="T17" i="6"/>
  <c r="V17" i="6"/>
  <c r="C18" i="6"/>
  <c r="D18" i="6"/>
  <c r="J18" i="6"/>
  <c r="T18" i="6"/>
  <c r="V18" i="6"/>
  <c r="C19" i="6"/>
  <c r="D19" i="6"/>
  <c r="J19" i="6"/>
  <c r="T19" i="6"/>
  <c r="V19" i="6"/>
  <c r="C20" i="6"/>
  <c r="D20" i="6"/>
  <c r="J20" i="6"/>
  <c r="T20" i="6"/>
  <c r="V20" i="6"/>
  <c r="N28" i="5" l="1"/>
  <c r="Z20" i="6"/>
  <c r="AC20" i="6"/>
  <c r="Z16" i="6"/>
  <c r="AC16" i="6"/>
  <c r="Z15" i="6"/>
  <c r="AC15" i="6"/>
  <c r="AC18" i="6"/>
  <c r="Z18" i="6"/>
  <c r="AC17" i="6"/>
  <c r="Z17" i="6"/>
  <c r="AC19" i="6"/>
  <c r="Z19" i="6"/>
  <c r="AC11" i="7"/>
  <c r="X22" i="7"/>
  <c r="Z16" i="7"/>
  <c r="AC19" i="7"/>
  <c r="AC12" i="7"/>
  <c r="AC20" i="7"/>
  <c r="AC15" i="7"/>
  <c r="Z15" i="7"/>
  <c r="AC22" i="7"/>
  <c r="AC18" i="7"/>
  <c r="AC14" i="7"/>
  <c r="AC10" i="7"/>
  <c r="AC21" i="7"/>
  <c r="AC17" i="7"/>
  <c r="AC13" i="7"/>
  <c r="AC9" i="7"/>
  <c r="L22" i="7" l="1"/>
  <c r="M22" i="7" s="1"/>
  <c r="K22" i="7"/>
  <c r="AF21" i="7" l="1"/>
  <c r="C10" i="9" l="1"/>
  <c r="J10" i="9"/>
  <c r="Z10" i="9" s="1"/>
  <c r="T10" i="9"/>
  <c r="V10" i="9"/>
  <c r="W10" i="9"/>
  <c r="C11" i="9"/>
  <c r="J11" i="9"/>
  <c r="Z11" i="9" s="1"/>
  <c r="T11" i="9"/>
  <c r="V11" i="9"/>
  <c r="W11" i="9"/>
  <c r="C12" i="9"/>
  <c r="J12" i="9"/>
  <c r="AC12" i="9" s="1"/>
  <c r="T12" i="9"/>
  <c r="V12" i="9"/>
  <c r="W12" i="9"/>
  <c r="C13" i="9"/>
  <c r="J13" i="9"/>
  <c r="Z13" i="9" s="1"/>
  <c r="T13" i="9"/>
  <c r="V13" i="9"/>
  <c r="W13" i="9"/>
  <c r="C14" i="9"/>
  <c r="J14" i="9"/>
  <c r="Z14" i="9" s="1"/>
  <c r="T14" i="9"/>
  <c r="V14" i="9"/>
  <c r="W14" i="9"/>
  <c r="C15" i="9"/>
  <c r="D15" i="9"/>
  <c r="J15" i="9"/>
  <c r="Z15" i="9" s="1"/>
  <c r="T15" i="9"/>
  <c r="V15" i="9"/>
  <c r="W15" i="9"/>
  <c r="C16" i="9"/>
  <c r="D16" i="9"/>
  <c r="F16" i="9"/>
  <c r="G16" i="9"/>
  <c r="H16" i="9"/>
  <c r="I16" i="9"/>
  <c r="J16" i="9"/>
  <c r="Z16" i="9" s="1"/>
  <c r="T16" i="9"/>
  <c r="V16" i="9"/>
  <c r="W16" i="9"/>
  <c r="C17" i="9"/>
  <c r="D17" i="9"/>
  <c r="F17" i="9"/>
  <c r="G17" i="9"/>
  <c r="H17" i="9"/>
  <c r="I17" i="9"/>
  <c r="J17" i="9"/>
  <c r="Z17" i="9" s="1"/>
  <c r="T17" i="9"/>
  <c r="V17" i="9"/>
  <c r="W17" i="9"/>
  <c r="C18" i="9"/>
  <c r="D18" i="9"/>
  <c r="F18" i="9"/>
  <c r="G18" i="9"/>
  <c r="H18" i="9"/>
  <c r="I18" i="9"/>
  <c r="J18" i="9"/>
  <c r="Z18" i="9" s="1"/>
  <c r="O18" i="9"/>
  <c r="T18" i="9"/>
  <c r="V18" i="9"/>
  <c r="W18" i="9"/>
  <c r="C19" i="9"/>
  <c r="D19" i="9"/>
  <c r="F19" i="9"/>
  <c r="G19" i="9"/>
  <c r="H19" i="9"/>
  <c r="I19" i="9"/>
  <c r="J19" i="9"/>
  <c r="O19" i="9"/>
  <c r="T19" i="9"/>
  <c r="V19" i="9"/>
  <c r="W19" i="9"/>
  <c r="C20" i="9"/>
  <c r="D20" i="9"/>
  <c r="F20" i="9"/>
  <c r="G20" i="9"/>
  <c r="H20" i="9"/>
  <c r="I20" i="9"/>
  <c r="J20" i="9"/>
  <c r="O20" i="9"/>
  <c r="T20" i="9"/>
  <c r="V20" i="9"/>
  <c r="W20" i="9"/>
  <c r="C21" i="9"/>
  <c r="D21" i="9"/>
  <c r="F21" i="9"/>
  <c r="G21" i="9"/>
  <c r="H21" i="9"/>
  <c r="I21" i="9"/>
  <c r="J21" i="9"/>
  <c r="O21" i="9"/>
  <c r="T21" i="9"/>
  <c r="V21" i="9"/>
  <c r="W21" i="9"/>
  <c r="C22" i="9"/>
  <c r="D22" i="9"/>
  <c r="F22" i="9"/>
  <c r="G22" i="9"/>
  <c r="H22" i="9"/>
  <c r="I22" i="9"/>
  <c r="J22" i="9"/>
  <c r="Z22" i="9" s="1"/>
  <c r="O22" i="9"/>
  <c r="T22" i="9"/>
  <c r="V22" i="9"/>
  <c r="W22" i="9"/>
  <c r="F23" i="9"/>
  <c r="G23" i="9"/>
  <c r="T23" i="9"/>
  <c r="V23" i="9"/>
  <c r="W23" i="9"/>
  <c r="Z23" i="9"/>
  <c r="AC23" i="9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2" i="3"/>
  <c r="R4" i="2"/>
  <c r="R3" i="2"/>
  <c r="G24" i="2"/>
  <c r="G28" i="2"/>
  <c r="G44" i="2"/>
  <c r="G49" i="2"/>
  <c r="X17" i="9" l="1"/>
  <c r="X18" i="9"/>
  <c r="K18" i="9" s="1"/>
  <c r="X16" i="9"/>
  <c r="G26" i="2"/>
  <c r="G45" i="2"/>
  <c r="G25" i="2"/>
  <c r="G63" i="2"/>
  <c r="G3" i="2"/>
  <c r="G52" i="2"/>
  <c r="G29" i="2"/>
  <c r="G9" i="2"/>
  <c r="G48" i="2"/>
  <c r="G47" i="2"/>
  <c r="G27" i="2"/>
  <c r="G23" i="2"/>
  <c r="G46" i="2"/>
  <c r="G43" i="2"/>
  <c r="G34" i="2"/>
  <c r="G53" i="2"/>
  <c r="G33" i="2"/>
  <c r="G51" i="2"/>
  <c r="G30" i="2"/>
  <c r="G59" i="2"/>
  <c r="G39" i="2"/>
  <c r="G58" i="2"/>
  <c r="G38" i="2"/>
  <c r="G55" i="2"/>
  <c r="G35" i="2"/>
  <c r="AC13" i="9"/>
  <c r="AC22" i="9"/>
  <c r="X22" i="9"/>
  <c r="AC21" i="9"/>
  <c r="X21" i="9"/>
  <c r="AC20" i="9"/>
  <c r="Z19" i="9"/>
  <c r="AC19" i="9"/>
  <c r="AC18" i="9"/>
  <c r="Z20" i="9"/>
  <c r="X19" i="9"/>
  <c r="X20" i="9"/>
  <c r="AC17" i="9"/>
  <c r="AC15" i="9"/>
  <c r="AC16" i="9"/>
  <c r="AC14" i="9"/>
  <c r="Z21" i="9"/>
  <c r="AC11" i="9"/>
  <c r="Z12" i="9"/>
  <c r="AC10" i="9"/>
  <c r="Q4" i="2"/>
  <c r="G54" i="2"/>
  <c r="Q3" i="2"/>
  <c r="G36" i="2"/>
  <c r="G57" i="2"/>
  <c r="G16" i="2"/>
  <c r="G14" i="2"/>
  <c r="G37" i="2"/>
  <c r="G56" i="2"/>
  <c r="G15" i="2"/>
  <c r="G13" i="2"/>
  <c r="G50" i="2"/>
  <c r="G8" i="2"/>
  <c r="G10" i="2"/>
  <c r="G18" i="2"/>
  <c r="G11" i="2"/>
  <c r="G12" i="2"/>
  <c r="G7" i="2"/>
  <c r="G19" i="2"/>
  <c r="G60" i="2"/>
  <c r="G40" i="2"/>
  <c r="G20" i="2"/>
  <c r="G32" i="2"/>
  <c r="G17" i="2"/>
  <c r="G31" i="2"/>
  <c r="G61" i="2"/>
  <c r="G41" i="2"/>
  <c r="G22" i="2"/>
  <c r="G62" i="2"/>
  <c r="G42" i="2"/>
  <c r="G21" i="2"/>
  <c r="G4" i="2"/>
  <c r="G5" i="2"/>
  <c r="G6" i="2"/>
  <c r="AE21" i="9"/>
  <c r="O13" i="13"/>
  <c r="O14" i="13"/>
  <c r="O15" i="13"/>
  <c r="O16" i="13"/>
  <c r="O17" i="13"/>
  <c r="O18" i="13"/>
  <c r="O19" i="13"/>
  <c r="O20" i="13"/>
  <c r="O21" i="13"/>
  <c r="O22" i="13"/>
  <c r="AC23" i="12"/>
  <c r="Z23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O17" i="12"/>
  <c r="O18" i="12"/>
  <c r="O19" i="12"/>
  <c r="O20" i="12"/>
  <c r="O21" i="12"/>
  <c r="O22" i="12"/>
  <c r="W8" i="12"/>
  <c r="V8" i="12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O20" i="10"/>
  <c r="O21" i="10"/>
  <c r="O22" i="10"/>
  <c r="C9" i="6"/>
  <c r="T9" i="6"/>
  <c r="V9" i="6"/>
  <c r="C10" i="6"/>
  <c r="T10" i="6"/>
  <c r="V10" i="6"/>
  <c r="C11" i="6"/>
  <c r="T11" i="6"/>
  <c r="V11" i="6"/>
  <c r="C12" i="6"/>
  <c r="T12" i="6"/>
  <c r="V12" i="6"/>
  <c r="C13" i="6"/>
  <c r="T13" i="6"/>
  <c r="V13" i="6"/>
  <c r="C14" i="6"/>
  <c r="D14" i="6"/>
  <c r="J14" i="6"/>
  <c r="T14" i="6"/>
  <c r="V14" i="6"/>
  <c r="T8" i="7"/>
  <c r="V8" i="7"/>
  <c r="Z14" i="6" l="1"/>
  <c r="AC14" i="6"/>
  <c r="K17" i="9"/>
  <c r="L17" i="9"/>
  <c r="M17" i="9" s="1"/>
  <c r="L18" i="9"/>
  <c r="M18" i="9" s="1"/>
  <c r="K16" i="9"/>
  <c r="L16" i="9"/>
  <c r="M16" i="9" s="1"/>
  <c r="R7" i="2"/>
  <c r="L21" i="9"/>
  <c r="M21" i="9" s="1"/>
  <c r="L20" i="9"/>
  <c r="M20" i="9" s="1"/>
  <c r="K22" i="9"/>
  <c r="L22" i="9"/>
  <c r="M22" i="9" s="1"/>
  <c r="K21" i="9"/>
  <c r="K20" i="9"/>
  <c r="K19" i="9"/>
  <c r="L19" i="9"/>
  <c r="M19" i="9" s="1"/>
  <c r="R27" i="8" l="1"/>
  <c r="AF23" i="6" l="1"/>
  <c r="C10" i="10" l="1"/>
  <c r="T10" i="10"/>
  <c r="V10" i="10"/>
  <c r="W10" i="10"/>
  <c r="C11" i="10"/>
  <c r="T11" i="10"/>
  <c r="V11" i="10"/>
  <c r="W11" i="10"/>
  <c r="C12" i="10"/>
  <c r="T12" i="10"/>
  <c r="V12" i="10"/>
  <c r="W12" i="10"/>
  <c r="C13" i="10"/>
  <c r="T13" i="10"/>
  <c r="V13" i="10"/>
  <c r="W13" i="10"/>
  <c r="C14" i="10"/>
  <c r="T14" i="10"/>
  <c r="V14" i="10"/>
  <c r="W14" i="10"/>
  <c r="C15" i="10"/>
  <c r="T15" i="10"/>
  <c r="V15" i="10"/>
  <c r="W15" i="10"/>
  <c r="C16" i="10"/>
  <c r="T16" i="10"/>
  <c r="V16" i="10"/>
  <c r="W16" i="10"/>
  <c r="C17" i="10"/>
  <c r="D17" i="10"/>
  <c r="F17" i="10"/>
  <c r="G17" i="10"/>
  <c r="H17" i="10"/>
  <c r="I17" i="10"/>
  <c r="T17" i="10"/>
  <c r="V17" i="10"/>
  <c r="W17" i="10"/>
  <c r="C18" i="10"/>
  <c r="T18" i="10"/>
  <c r="V18" i="10"/>
  <c r="W18" i="10"/>
  <c r="C19" i="10"/>
  <c r="T19" i="10"/>
  <c r="V19" i="10"/>
  <c r="W19" i="10"/>
  <c r="C20" i="10"/>
  <c r="D20" i="10"/>
  <c r="T20" i="10"/>
  <c r="V20" i="10"/>
  <c r="W20" i="10"/>
  <c r="C21" i="10"/>
  <c r="D21" i="10"/>
  <c r="F21" i="10"/>
  <c r="G21" i="10"/>
  <c r="H21" i="10"/>
  <c r="I21" i="10"/>
  <c r="T21" i="10"/>
  <c r="V21" i="10"/>
  <c r="W21" i="10"/>
  <c r="C22" i="10"/>
  <c r="D22" i="10"/>
  <c r="F22" i="10"/>
  <c r="G22" i="10"/>
  <c r="H22" i="10"/>
  <c r="I22" i="10"/>
  <c r="T22" i="10"/>
  <c r="V22" i="10"/>
  <c r="W22" i="10"/>
  <c r="H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AE23" i="1" l="1"/>
  <c r="AD23" i="1"/>
  <c r="AF23" i="1" s="1"/>
  <c r="AG23" i="1" s="1"/>
  <c r="AD12" i="1"/>
  <c r="AF12" i="1" s="1"/>
  <c r="AG12" i="1" s="1"/>
  <c r="AE12" i="1"/>
  <c r="AD6" i="1"/>
  <c r="AF6" i="1" s="1"/>
  <c r="AG6" i="1" s="1"/>
  <c r="AE6" i="1"/>
  <c r="AD24" i="1"/>
  <c r="AF24" i="1" s="1"/>
  <c r="AG24" i="1" s="1"/>
  <c r="AE24" i="1"/>
  <c r="AE11" i="1"/>
  <c r="AD11" i="1"/>
  <c r="AF11" i="1" s="1"/>
  <c r="AG11" i="1" s="1"/>
  <c r="AD10" i="1"/>
  <c r="AF10" i="1" s="1"/>
  <c r="AG10" i="1" s="1"/>
  <c r="AE10" i="1"/>
  <c r="AE9" i="1"/>
  <c r="AD9" i="1"/>
  <c r="AF9" i="1" s="1"/>
  <c r="AG9" i="1" s="1"/>
  <c r="AE22" i="1"/>
  <c r="AD22" i="1"/>
  <c r="AF22" i="1" s="1"/>
  <c r="AG22" i="1" s="1"/>
  <c r="AD19" i="1"/>
  <c r="AF19" i="1" s="1"/>
  <c r="AG19" i="1" s="1"/>
  <c r="AE19" i="1"/>
  <c r="AD7" i="1"/>
  <c r="AF7" i="1" s="1"/>
  <c r="AG7" i="1" s="1"/>
  <c r="AE7" i="1"/>
  <c r="AD25" i="1"/>
  <c r="AF25" i="1" s="1"/>
  <c r="AG25" i="1" s="1"/>
  <c r="AE25" i="1"/>
  <c r="AE5" i="1"/>
  <c r="AD5" i="1"/>
  <c r="AF5" i="1" s="1"/>
  <c r="AG5" i="1" s="1"/>
  <c r="AD4" i="1"/>
  <c r="AF4" i="1" s="1"/>
  <c r="AG4" i="1" s="1"/>
  <c r="AE4" i="1"/>
  <c r="AD3" i="1"/>
  <c r="AF3" i="1" s="1"/>
  <c r="AG3" i="1" s="1"/>
  <c r="AE3" i="1"/>
  <c r="AD21" i="1"/>
  <c r="AF21" i="1" s="1"/>
  <c r="AG21" i="1" s="1"/>
  <c r="AE21" i="1"/>
  <c r="AD17" i="1"/>
  <c r="AF17" i="1" s="1"/>
  <c r="AG17" i="1" s="1"/>
  <c r="AE17" i="1"/>
  <c r="AD15" i="1"/>
  <c r="AF15" i="1" s="1"/>
  <c r="AG15" i="1" s="1"/>
  <c r="AE15" i="1"/>
  <c r="AE14" i="1"/>
  <c r="AD14" i="1"/>
  <c r="AF14" i="1" s="1"/>
  <c r="AG14" i="1" s="1"/>
  <c r="AE8" i="1"/>
  <c r="AD8" i="1"/>
  <c r="AF8" i="1" s="1"/>
  <c r="AG8" i="1" s="1"/>
  <c r="AD27" i="1"/>
  <c r="AF27" i="1" s="1"/>
  <c r="AG27" i="1" s="1"/>
  <c r="AE27" i="1"/>
  <c r="AD26" i="1"/>
  <c r="AF26" i="1" s="1"/>
  <c r="AG26" i="1" s="1"/>
  <c r="AE26" i="1"/>
  <c r="AD2" i="1"/>
  <c r="AF2" i="1" s="1"/>
  <c r="AG2" i="1" s="1"/>
  <c r="AE2" i="1"/>
  <c r="AE20" i="1"/>
  <c r="AD20" i="1"/>
  <c r="AF20" i="1" s="1"/>
  <c r="AG20" i="1" s="1"/>
  <c r="AD18" i="1"/>
  <c r="AF18" i="1" s="1"/>
  <c r="AG18" i="1" s="1"/>
  <c r="AE18" i="1"/>
  <c r="AD16" i="1"/>
  <c r="AF16" i="1" s="1"/>
  <c r="AG16" i="1" s="1"/>
  <c r="AE16" i="1"/>
  <c r="AE13" i="1"/>
  <c r="AD13" i="1"/>
  <c r="AF13" i="1" s="1"/>
  <c r="AG13" i="1" s="1"/>
  <c r="Z18" i="10"/>
  <c r="AC17" i="10"/>
  <c r="Z22" i="10"/>
  <c r="AC15" i="10"/>
  <c r="AC12" i="10"/>
  <c r="AC19" i="10"/>
  <c r="AC16" i="10"/>
  <c r="Z10" i="10"/>
  <c r="Z14" i="10"/>
  <c r="AC11" i="10"/>
  <c r="AC20" i="10"/>
  <c r="AC21" i="10"/>
  <c r="Z13" i="10"/>
  <c r="X21" i="10"/>
  <c r="K21" i="10" s="1"/>
  <c r="X22" i="10"/>
  <c r="Z21" i="10"/>
  <c r="Z19" i="10"/>
  <c r="AC13" i="10"/>
  <c r="X17" i="10"/>
  <c r="K17" i="10" s="1"/>
  <c r="Z11" i="10"/>
  <c r="Z17" i="10"/>
  <c r="Z15" i="10"/>
  <c r="Z12" i="10"/>
  <c r="Z20" i="10"/>
  <c r="Z16" i="10"/>
  <c r="AC18" i="10"/>
  <c r="AC14" i="10"/>
  <c r="AC10" i="10"/>
  <c r="AC22" i="10"/>
  <c r="L22" i="10" l="1"/>
  <c r="M22" i="10" s="1"/>
  <c r="K22" i="10"/>
  <c r="L17" i="10"/>
  <c r="M17" i="10" s="1"/>
  <c r="L21" i="10"/>
  <c r="M21" i="10" l="1"/>
  <c r="G32" i="1"/>
  <c r="G31" i="1"/>
  <c r="G30" i="1"/>
  <c r="G29" i="1"/>
  <c r="G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28" i="1" l="1"/>
  <c r="I28" i="1" s="1"/>
  <c r="F28" i="1"/>
  <c r="H29" i="1"/>
  <c r="I29" i="1" s="1"/>
  <c r="F29" i="1"/>
  <c r="H31" i="1"/>
  <c r="F31" i="1"/>
  <c r="H30" i="1"/>
  <c r="F30" i="1"/>
  <c r="H32" i="1"/>
  <c r="I32" i="1" s="1"/>
  <c r="F32" i="1"/>
  <c r="I31" i="1"/>
  <c r="I30" i="1"/>
  <c r="AD32" i="1" l="1"/>
  <c r="AF32" i="1" s="1"/>
  <c r="AG32" i="1" s="1"/>
  <c r="AE32" i="1"/>
  <c r="AD30" i="1"/>
  <c r="AF30" i="1" s="1"/>
  <c r="AG30" i="1" s="1"/>
  <c r="AE30" i="1"/>
  <c r="AD31" i="1"/>
  <c r="AF31" i="1" s="1"/>
  <c r="AG31" i="1" s="1"/>
  <c r="AE31" i="1"/>
  <c r="AD29" i="1"/>
  <c r="AF29" i="1" s="1"/>
  <c r="AG29" i="1" s="1"/>
  <c r="AE29" i="1"/>
  <c r="AD28" i="1"/>
  <c r="AF28" i="1" s="1"/>
  <c r="AG28" i="1" s="1"/>
  <c r="AE28" i="1"/>
  <c r="AE21" i="13"/>
  <c r="W9" i="9"/>
  <c r="V9" i="9"/>
  <c r="T9" i="9"/>
  <c r="J9" i="9"/>
  <c r="C9" i="9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V9" i="12"/>
  <c r="W9" i="12"/>
  <c r="V10" i="12"/>
  <c r="W10" i="12"/>
  <c r="V11" i="12"/>
  <c r="W11" i="12"/>
  <c r="V12" i="12"/>
  <c r="W12" i="12"/>
  <c r="V13" i="12"/>
  <c r="W13" i="12"/>
  <c r="V14" i="12"/>
  <c r="W14" i="12"/>
  <c r="V15" i="12"/>
  <c r="W15" i="12"/>
  <c r="V16" i="12"/>
  <c r="W16" i="12"/>
  <c r="V17" i="12"/>
  <c r="W17" i="12"/>
  <c r="V18" i="12"/>
  <c r="W18" i="12"/>
  <c r="V19" i="12"/>
  <c r="W19" i="12"/>
  <c r="V20" i="12"/>
  <c r="W20" i="12"/>
  <c r="V21" i="12"/>
  <c r="W21" i="12"/>
  <c r="V22" i="12"/>
  <c r="W22" i="12"/>
  <c r="V23" i="12"/>
  <c r="W23" i="12"/>
  <c r="R5" i="8"/>
  <c r="R6" i="8"/>
  <c r="I22" i="12"/>
  <c r="H22" i="12"/>
  <c r="G22" i="12"/>
  <c r="F22" i="12"/>
  <c r="D22" i="12"/>
  <c r="C22" i="12"/>
  <c r="I21" i="12"/>
  <c r="H21" i="12"/>
  <c r="G21" i="12"/>
  <c r="F21" i="12"/>
  <c r="D21" i="12"/>
  <c r="C21" i="12"/>
  <c r="I20" i="12"/>
  <c r="H20" i="12"/>
  <c r="G20" i="12"/>
  <c r="F20" i="12"/>
  <c r="D20" i="12"/>
  <c r="C20" i="12"/>
  <c r="I19" i="12"/>
  <c r="H19" i="12"/>
  <c r="G19" i="12"/>
  <c r="F19" i="12"/>
  <c r="D19" i="12"/>
  <c r="C19" i="12"/>
  <c r="I18" i="12"/>
  <c r="H18" i="12"/>
  <c r="G18" i="12"/>
  <c r="F18" i="12"/>
  <c r="D18" i="12"/>
  <c r="C18" i="12"/>
  <c r="I17" i="12"/>
  <c r="H17" i="12"/>
  <c r="G17" i="12"/>
  <c r="F17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C9" i="12"/>
  <c r="F23" i="12"/>
  <c r="G23" i="12"/>
  <c r="W23" i="13"/>
  <c r="V23" i="13"/>
  <c r="T23" i="13"/>
  <c r="Z23" i="13"/>
  <c r="G23" i="13"/>
  <c r="F23" i="13"/>
  <c r="W22" i="13"/>
  <c r="V22" i="13"/>
  <c r="T22" i="13"/>
  <c r="J22" i="13"/>
  <c r="AC22" i="13" s="1"/>
  <c r="I22" i="13"/>
  <c r="H22" i="13"/>
  <c r="G22" i="13"/>
  <c r="F22" i="13"/>
  <c r="D22" i="13"/>
  <c r="C22" i="13"/>
  <c r="W21" i="13"/>
  <c r="V21" i="13"/>
  <c r="T21" i="13"/>
  <c r="J21" i="13"/>
  <c r="AC21" i="13" s="1"/>
  <c r="D21" i="13"/>
  <c r="C21" i="13"/>
  <c r="W20" i="13"/>
  <c r="V20" i="13"/>
  <c r="T20" i="13"/>
  <c r="J20" i="13"/>
  <c r="AC20" i="13" s="1"/>
  <c r="D20" i="13"/>
  <c r="C20" i="13"/>
  <c r="W19" i="13"/>
  <c r="V19" i="13"/>
  <c r="T19" i="13"/>
  <c r="J19" i="13"/>
  <c r="AC19" i="13" s="1"/>
  <c r="D19" i="13"/>
  <c r="C19" i="13"/>
  <c r="W18" i="13"/>
  <c r="V18" i="13"/>
  <c r="T18" i="13"/>
  <c r="J18" i="13"/>
  <c r="AC18" i="13" s="1"/>
  <c r="I18" i="13"/>
  <c r="H18" i="13"/>
  <c r="G18" i="13"/>
  <c r="F18" i="13"/>
  <c r="D18" i="13"/>
  <c r="C18" i="13"/>
  <c r="W17" i="13"/>
  <c r="V17" i="13"/>
  <c r="T17" i="13"/>
  <c r="J17" i="13"/>
  <c r="AC17" i="13" s="1"/>
  <c r="D17" i="13"/>
  <c r="C17" i="13"/>
  <c r="W16" i="13"/>
  <c r="V16" i="13"/>
  <c r="T16" i="13"/>
  <c r="J16" i="13"/>
  <c r="AC16" i="13" s="1"/>
  <c r="D16" i="13"/>
  <c r="C16" i="13"/>
  <c r="W15" i="13"/>
  <c r="V15" i="13"/>
  <c r="T15" i="13"/>
  <c r="J15" i="13"/>
  <c r="AC15" i="13" s="1"/>
  <c r="I15" i="13"/>
  <c r="H15" i="13"/>
  <c r="G15" i="13"/>
  <c r="F15" i="13"/>
  <c r="D15" i="13"/>
  <c r="C15" i="13"/>
  <c r="W14" i="13"/>
  <c r="V14" i="13"/>
  <c r="T14" i="13"/>
  <c r="J14" i="13"/>
  <c r="AC14" i="13" s="1"/>
  <c r="D14" i="13"/>
  <c r="C14" i="13"/>
  <c r="W13" i="13"/>
  <c r="V13" i="13"/>
  <c r="T13" i="13"/>
  <c r="J13" i="13"/>
  <c r="AC13" i="13" s="1"/>
  <c r="D13" i="13"/>
  <c r="C13" i="13"/>
  <c r="W12" i="13"/>
  <c r="V12" i="13"/>
  <c r="T12" i="13"/>
  <c r="J12" i="13"/>
  <c r="AC12" i="13" s="1"/>
  <c r="C12" i="13"/>
  <c r="W11" i="13"/>
  <c r="V11" i="13"/>
  <c r="T11" i="13"/>
  <c r="J11" i="13"/>
  <c r="AC11" i="13" s="1"/>
  <c r="C11" i="13"/>
  <c r="W10" i="13"/>
  <c r="V10" i="13"/>
  <c r="T10" i="13"/>
  <c r="J10" i="13"/>
  <c r="AC10" i="13" s="1"/>
  <c r="C10" i="13"/>
  <c r="W9" i="13"/>
  <c r="V9" i="13"/>
  <c r="T9" i="13"/>
  <c r="J9" i="13"/>
  <c r="AC9" i="13" s="1"/>
  <c r="C9" i="13"/>
  <c r="AE22" i="10"/>
  <c r="W23" i="10"/>
  <c r="V23" i="10"/>
  <c r="T23" i="10"/>
  <c r="AC23" i="10"/>
  <c r="G23" i="10"/>
  <c r="F23" i="10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E26" i="8"/>
  <c r="E27" i="8"/>
  <c r="E28" i="8"/>
  <c r="E29" i="8"/>
  <c r="G20" i="10" s="1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F26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T8" i="13"/>
  <c r="B8" i="12"/>
  <c r="C9" i="10"/>
  <c r="AE21" i="6"/>
  <c r="C46" i="11" l="1"/>
  <c r="C48" i="11"/>
  <c r="C51" i="11"/>
  <c r="M11" i="11"/>
  <c r="E8" i="13"/>
  <c r="E8" i="12"/>
  <c r="C40" i="8"/>
  <c r="C39" i="8"/>
  <c r="C50" i="11"/>
  <c r="C49" i="11"/>
  <c r="C47" i="11"/>
  <c r="C38" i="8"/>
  <c r="C35" i="8"/>
  <c r="C36" i="8"/>
  <c r="C29" i="8"/>
  <c r="C45" i="11"/>
  <c r="C44" i="11"/>
  <c r="C43" i="11"/>
  <c r="C37" i="8"/>
  <c r="C42" i="11"/>
  <c r="C34" i="8"/>
  <c r="C32" i="8"/>
  <c r="C50" i="8"/>
  <c r="C30" i="8"/>
  <c r="C28" i="8"/>
  <c r="C33" i="8"/>
  <c r="C26" i="8"/>
  <c r="C31" i="8"/>
  <c r="C27" i="8"/>
  <c r="C41" i="11"/>
  <c r="C40" i="11"/>
  <c r="C49" i="8"/>
  <c r="C46" i="8"/>
  <c r="C45" i="8"/>
  <c r="C43" i="8"/>
  <c r="C42" i="8"/>
  <c r="C38" i="11"/>
  <c r="C51" i="8"/>
  <c r="C48" i="8"/>
  <c r="C47" i="8"/>
  <c r="C44" i="8"/>
  <c r="C39" i="11"/>
  <c r="C41" i="8"/>
  <c r="C37" i="11"/>
  <c r="D8" i="12"/>
  <c r="F20" i="10"/>
  <c r="J8" i="12"/>
  <c r="Z8" i="12" s="1"/>
  <c r="C8" i="13"/>
  <c r="Z14" i="13"/>
  <c r="Z11" i="13"/>
  <c r="Z22" i="13"/>
  <c r="Z20" i="13"/>
  <c r="Z12" i="13"/>
  <c r="Z9" i="13"/>
  <c r="Z21" i="13"/>
  <c r="Z18" i="13"/>
  <c r="Z19" i="13"/>
  <c r="Z13" i="13"/>
  <c r="Z15" i="13"/>
  <c r="Z17" i="13"/>
  <c r="Z16" i="13"/>
  <c r="X17" i="12"/>
  <c r="X20" i="12"/>
  <c r="K20" i="12" s="1"/>
  <c r="X19" i="12"/>
  <c r="K19" i="12" s="1"/>
  <c r="X18" i="12"/>
  <c r="X22" i="12"/>
  <c r="X21" i="12"/>
  <c r="Z20" i="12"/>
  <c r="AC20" i="12"/>
  <c r="Z19" i="12"/>
  <c r="AC19" i="12"/>
  <c r="Z17" i="12"/>
  <c r="AC17" i="12"/>
  <c r="Z16" i="12"/>
  <c r="AC16" i="12"/>
  <c r="Z18" i="12"/>
  <c r="AC18" i="12"/>
  <c r="Z15" i="12"/>
  <c r="AC15" i="12"/>
  <c r="Z22" i="12"/>
  <c r="AC22" i="12"/>
  <c r="Z21" i="12"/>
  <c r="AC21" i="12"/>
  <c r="Z14" i="12"/>
  <c r="AC14" i="12"/>
  <c r="Z13" i="12"/>
  <c r="AC13" i="12"/>
  <c r="Z12" i="12"/>
  <c r="AC12" i="12"/>
  <c r="Z11" i="12"/>
  <c r="AC11" i="12"/>
  <c r="Z10" i="12"/>
  <c r="AC10" i="12"/>
  <c r="Z9" i="12"/>
  <c r="AC9" i="12"/>
  <c r="AE21" i="12"/>
  <c r="AC9" i="10"/>
  <c r="AC9" i="9"/>
  <c r="Z9" i="9"/>
  <c r="X15" i="13"/>
  <c r="K15" i="13" s="1"/>
  <c r="X22" i="13"/>
  <c r="K22" i="13" s="1"/>
  <c r="Z10" i="13"/>
  <c r="X18" i="13"/>
  <c r="K18" i="13" s="1"/>
  <c r="Z23" i="10"/>
  <c r="D8" i="13"/>
  <c r="J8" i="13"/>
  <c r="AC8" i="13" s="1"/>
  <c r="C8" i="12"/>
  <c r="AC8" i="12" l="1"/>
  <c r="L20" i="12"/>
  <c r="M20" i="12" s="1"/>
  <c r="L19" i="12"/>
  <c r="M19" i="12" s="1"/>
  <c r="L17" i="12"/>
  <c r="M17" i="12" s="1"/>
  <c r="N17" i="12" s="1"/>
  <c r="L22" i="12"/>
  <c r="M22" i="12" s="1"/>
  <c r="K18" i="12"/>
  <c r="K22" i="12"/>
  <c r="K17" i="12"/>
  <c r="L21" i="12"/>
  <c r="M21" i="12" s="1"/>
  <c r="N21" i="12" s="1"/>
  <c r="K21" i="12"/>
  <c r="L18" i="12"/>
  <c r="M18" i="12" s="1"/>
  <c r="N18" i="12" s="1"/>
  <c r="L15" i="13"/>
  <c r="M15" i="13" s="1"/>
  <c r="L22" i="13"/>
  <c r="M22" i="13" s="1"/>
  <c r="N22" i="13" s="1"/>
  <c r="L18" i="13"/>
  <c r="M18" i="13" s="1"/>
  <c r="N18" i="13" s="1"/>
  <c r="W8" i="13"/>
  <c r="V8" i="13"/>
  <c r="F36" i="11"/>
  <c r="E36" i="11"/>
  <c r="D36" i="11"/>
  <c r="F35" i="11"/>
  <c r="E35" i="11"/>
  <c r="D35" i="11"/>
  <c r="F34" i="11"/>
  <c r="E34" i="11"/>
  <c r="D34" i="11"/>
  <c r="F33" i="11"/>
  <c r="E33" i="11"/>
  <c r="D33" i="11"/>
  <c r="F32" i="11"/>
  <c r="E32" i="11"/>
  <c r="D32" i="11"/>
  <c r="F31" i="11"/>
  <c r="E31" i="11"/>
  <c r="D31" i="11"/>
  <c r="F30" i="11"/>
  <c r="E30" i="11"/>
  <c r="D30" i="11"/>
  <c r="E29" i="11"/>
  <c r="G21" i="13" s="1"/>
  <c r="D29" i="11"/>
  <c r="E28" i="11"/>
  <c r="G20" i="13" s="1"/>
  <c r="D28" i="11"/>
  <c r="E27" i="11"/>
  <c r="G19" i="13" s="1"/>
  <c r="D27" i="11"/>
  <c r="F26" i="11"/>
  <c r="E26" i="11"/>
  <c r="D26" i="11"/>
  <c r="F25" i="11"/>
  <c r="E25" i="11"/>
  <c r="G17" i="13" s="1"/>
  <c r="D25" i="11"/>
  <c r="F24" i="11"/>
  <c r="E24" i="11"/>
  <c r="G16" i="13" s="1"/>
  <c r="D24" i="11"/>
  <c r="F23" i="11"/>
  <c r="E23" i="11"/>
  <c r="D23" i="11"/>
  <c r="E22" i="11"/>
  <c r="G14" i="13" s="1"/>
  <c r="D22" i="11"/>
  <c r="F21" i="11"/>
  <c r="E21" i="11"/>
  <c r="G13" i="13" s="1"/>
  <c r="D21" i="11"/>
  <c r="E20" i="11"/>
  <c r="D20" i="11"/>
  <c r="F19" i="11"/>
  <c r="E19" i="11"/>
  <c r="D19" i="11"/>
  <c r="E18" i="11"/>
  <c r="G15" i="12" s="1"/>
  <c r="D18" i="11"/>
  <c r="F15" i="12" s="1"/>
  <c r="E17" i="11"/>
  <c r="D17" i="11"/>
  <c r="F16" i="11"/>
  <c r="E16" i="11"/>
  <c r="D16" i="11"/>
  <c r="E15" i="11"/>
  <c r="D15" i="11"/>
  <c r="E14" i="11"/>
  <c r="D14" i="11"/>
  <c r="E13" i="11"/>
  <c r="D13" i="11"/>
  <c r="E12" i="11"/>
  <c r="D12" i="11"/>
  <c r="E11" i="11"/>
  <c r="G11" i="12" s="1"/>
  <c r="D11" i="11"/>
  <c r="E10" i="11"/>
  <c r="D10" i="11"/>
  <c r="E9" i="11"/>
  <c r="D9" i="11"/>
  <c r="L2" i="11"/>
  <c r="AE34" i="4" s="1"/>
  <c r="I2" i="11"/>
  <c r="W9" i="10"/>
  <c r="V9" i="10"/>
  <c r="T9" i="10"/>
  <c r="W8" i="10"/>
  <c r="V8" i="10"/>
  <c r="T8" i="10"/>
  <c r="B8" i="10"/>
  <c r="J8" i="10" s="1"/>
  <c r="W8" i="9"/>
  <c r="V8" i="9"/>
  <c r="T8" i="9"/>
  <c r="B8" i="9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G11" i="9" s="1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G9" i="9" s="1"/>
  <c r="D10" i="8"/>
  <c r="E9" i="8"/>
  <c r="D9" i="8"/>
  <c r="L2" i="8"/>
  <c r="AD34" i="4" s="1"/>
  <c r="I2" i="8"/>
  <c r="V8" i="6"/>
  <c r="T8" i="6"/>
  <c r="V77" i="4"/>
  <c r="V76" i="4"/>
  <c r="V75" i="4"/>
  <c r="V74" i="4"/>
  <c r="F29" i="8"/>
  <c r="AB34" i="4"/>
  <c r="F28" i="8"/>
  <c r="F27" i="8"/>
  <c r="F23" i="8"/>
  <c r="G29" i="5"/>
  <c r="F20" i="11"/>
  <c r="AE26" i="4"/>
  <c r="AC26" i="4"/>
  <c r="AA26" i="4"/>
  <c r="F17" i="8"/>
  <c r="G16" i="5"/>
  <c r="G26" i="5"/>
  <c r="AE22" i="4"/>
  <c r="AC22" i="4"/>
  <c r="AA20" i="4"/>
  <c r="AA24" i="4" s="1"/>
  <c r="V18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G220" i="3"/>
  <c r="X220" i="3"/>
  <c r="AG219" i="3"/>
  <c r="X219" i="3"/>
  <c r="AG218" i="3"/>
  <c r="X218" i="3"/>
  <c r="AG217" i="3"/>
  <c r="X217" i="3"/>
  <c r="AG216" i="3"/>
  <c r="X216" i="3"/>
  <c r="AG215" i="3"/>
  <c r="X215" i="3"/>
  <c r="AG214" i="3"/>
  <c r="X214" i="3"/>
  <c r="AG213" i="3"/>
  <c r="X213" i="3"/>
  <c r="AG212" i="3"/>
  <c r="X212" i="3"/>
  <c r="AG211" i="3"/>
  <c r="X211" i="3"/>
  <c r="AG210" i="3"/>
  <c r="X210" i="3"/>
  <c r="AG209" i="3"/>
  <c r="X209" i="3"/>
  <c r="AG208" i="3"/>
  <c r="X208" i="3"/>
  <c r="AG207" i="3"/>
  <c r="X207" i="3"/>
  <c r="AG206" i="3"/>
  <c r="X206" i="3"/>
  <c r="AG205" i="3"/>
  <c r="X205" i="3"/>
  <c r="AG204" i="3"/>
  <c r="X204" i="3"/>
  <c r="AG203" i="3"/>
  <c r="X203" i="3"/>
  <c r="AG202" i="3"/>
  <c r="X202" i="3"/>
  <c r="AG201" i="3"/>
  <c r="X201" i="3"/>
  <c r="AG200" i="3"/>
  <c r="X200" i="3"/>
  <c r="V200" i="3"/>
  <c r="M200" i="3"/>
  <c r="AG199" i="3"/>
  <c r="X199" i="3"/>
  <c r="V199" i="3"/>
  <c r="M199" i="3"/>
  <c r="AG198" i="3"/>
  <c r="X198" i="3"/>
  <c r="V198" i="3"/>
  <c r="M198" i="3"/>
  <c r="AG197" i="3"/>
  <c r="X197" i="3"/>
  <c r="V197" i="3"/>
  <c r="M197" i="3"/>
  <c r="AG196" i="3"/>
  <c r="X196" i="3"/>
  <c r="V196" i="3"/>
  <c r="M196" i="3"/>
  <c r="AG195" i="3"/>
  <c r="X195" i="3"/>
  <c r="V195" i="3"/>
  <c r="M195" i="3"/>
  <c r="AG194" i="3"/>
  <c r="X194" i="3"/>
  <c r="V194" i="3"/>
  <c r="M194" i="3"/>
  <c r="AG193" i="3"/>
  <c r="X193" i="3"/>
  <c r="V193" i="3"/>
  <c r="M193" i="3"/>
  <c r="AG192" i="3"/>
  <c r="X192" i="3"/>
  <c r="V192" i="3"/>
  <c r="M192" i="3"/>
  <c r="AG191" i="3"/>
  <c r="X191" i="3"/>
  <c r="V191" i="3"/>
  <c r="M191" i="3"/>
  <c r="AG190" i="3"/>
  <c r="X190" i="3"/>
  <c r="V190" i="3"/>
  <c r="M190" i="3"/>
  <c r="AG189" i="3"/>
  <c r="X189" i="3"/>
  <c r="V189" i="3"/>
  <c r="M189" i="3"/>
  <c r="AG188" i="3"/>
  <c r="X188" i="3"/>
  <c r="V188" i="3"/>
  <c r="M188" i="3"/>
  <c r="AG187" i="3"/>
  <c r="X187" i="3"/>
  <c r="V187" i="3"/>
  <c r="M187" i="3"/>
  <c r="AG186" i="3"/>
  <c r="X186" i="3"/>
  <c r="V186" i="3"/>
  <c r="M186" i="3"/>
  <c r="AG185" i="3"/>
  <c r="X185" i="3"/>
  <c r="V185" i="3"/>
  <c r="M185" i="3"/>
  <c r="AG184" i="3"/>
  <c r="X184" i="3"/>
  <c r="V184" i="3"/>
  <c r="M184" i="3"/>
  <c r="AG183" i="3"/>
  <c r="X183" i="3"/>
  <c r="V183" i="3"/>
  <c r="M183" i="3"/>
  <c r="AG182" i="3"/>
  <c r="X182" i="3"/>
  <c r="V182" i="3"/>
  <c r="M182" i="3"/>
  <c r="AG181" i="3"/>
  <c r="X181" i="3"/>
  <c r="V181" i="3"/>
  <c r="M181" i="3"/>
  <c r="AG180" i="3"/>
  <c r="X180" i="3"/>
  <c r="V180" i="3"/>
  <c r="M180" i="3"/>
  <c r="AG179" i="3"/>
  <c r="X179" i="3"/>
  <c r="V179" i="3"/>
  <c r="M179" i="3"/>
  <c r="AG178" i="3"/>
  <c r="X178" i="3"/>
  <c r="V178" i="3"/>
  <c r="M178" i="3"/>
  <c r="AG177" i="3"/>
  <c r="X177" i="3"/>
  <c r="V177" i="3"/>
  <c r="M177" i="3"/>
  <c r="AG176" i="3"/>
  <c r="X176" i="3"/>
  <c r="V176" i="3"/>
  <c r="M176" i="3"/>
  <c r="AG175" i="3"/>
  <c r="X175" i="3"/>
  <c r="V175" i="3"/>
  <c r="M175" i="3"/>
  <c r="AG174" i="3"/>
  <c r="X174" i="3"/>
  <c r="V174" i="3"/>
  <c r="M174" i="3"/>
  <c r="AG173" i="3"/>
  <c r="X173" i="3"/>
  <c r="V173" i="3"/>
  <c r="M173" i="3"/>
  <c r="AG172" i="3"/>
  <c r="X172" i="3"/>
  <c r="V172" i="3"/>
  <c r="M172" i="3"/>
  <c r="AG171" i="3"/>
  <c r="X171" i="3"/>
  <c r="V171" i="3"/>
  <c r="M171" i="3"/>
  <c r="AG170" i="3"/>
  <c r="X170" i="3"/>
  <c r="V170" i="3"/>
  <c r="M170" i="3"/>
  <c r="AG169" i="3"/>
  <c r="X169" i="3"/>
  <c r="V169" i="3"/>
  <c r="M169" i="3"/>
  <c r="AG168" i="3"/>
  <c r="X168" i="3"/>
  <c r="V168" i="3"/>
  <c r="M168" i="3"/>
  <c r="AG167" i="3"/>
  <c r="X167" i="3"/>
  <c r="V167" i="3"/>
  <c r="M167" i="3"/>
  <c r="AG166" i="3"/>
  <c r="X166" i="3"/>
  <c r="V166" i="3"/>
  <c r="M166" i="3"/>
  <c r="AG165" i="3"/>
  <c r="X165" i="3"/>
  <c r="V165" i="3"/>
  <c r="M165" i="3"/>
  <c r="AG164" i="3"/>
  <c r="X164" i="3"/>
  <c r="V164" i="3"/>
  <c r="M164" i="3"/>
  <c r="AG163" i="3"/>
  <c r="X163" i="3"/>
  <c r="V163" i="3"/>
  <c r="M163" i="3"/>
  <c r="AG162" i="3"/>
  <c r="X162" i="3"/>
  <c r="V162" i="3"/>
  <c r="M162" i="3"/>
  <c r="AG161" i="3"/>
  <c r="X161" i="3"/>
  <c r="V161" i="3"/>
  <c r="M161" i="3"/>
  <c r="AG160" i="3"/>
  <c r="X160" i="3"/>
  <c r="V160" i="3"/>
  <c r="M160" i="3"/>
  <c r="AG159" i="3"/>
  <c r="X159" i="3"/>
  <c r="V159" i="3"/>
  <c r="M159" i="3"/>
  <c r="AG158" i="3"/>
  <c r="X158" i="3"/>
  <c r="V158" i="3"/>
  <c r="M158" i="3"/>
  <c r="AG157" i="3"/>
  <c r="X157" i="3"/>
  <c r="V157" i="3"/>
  <c r="M157" i="3"/>
  <c r="AG156" i="3"/>
  <c r="X156" i="3"/>
  <c r="V156" i="3"/>
  <c r="M156" i="3"/>
  <c r="AG155" i="3"/>
  <c r="X155" i="3"/>
  <c r="V155" i="3"/>
  <c r="M155" i="3"/>
  <c r="AG154" i="3"/>
  <c r="X154" i="3"/>
  <c r="V154" i="3"/>
  <c r="M154" i="3"/>
  <c r="AG153" i="3"/>
  <c r="X153" i="3"/>
  <c r="V153" i="3"/>
  <c r="M153" i="3"/>
  <c r="AG152" i="3"/>
  <c r="X152" i="3"/>
  <c r="V152" i="3"/>
  <c r="M152" i="3"/>
  <c r="AG151" i="3"/>
  <c r="X151" i="3"/>
  <c r="V151" i="3"/>
  <c r="M151" i="3"/>
  <c r="AG150" i="3"/>
  <c r="X150" i="3"/>
  <c r="V150" i="3"/>
  <c r="M150" i="3"/>
  <c r="AG149" i="3"/>
  <c r="X149" i="3"/>
  <c r="V149" i="3"/>
  <c r="M149" i="3"/>
  <c r="AG148" i="3"/>
  <c r="X148" i="3"/>
  <c r="V148" i="3"/>
  <c r="M148" i="3"/>
  <c r="AG147" i="3"/>
  <c r="X147" i="3"/>
  <c r="V147" i="3"/>
  <c r="M147" i="3"/>
  <c r="AG146" i="3"/>
  <c r="X146" i="3"/>
  <c r="V146" i="3"/>
  <c r="M146" i="3"/>
  <c r="AG145" i="3"/>
  <c r="X145" i="3"/>
  <c r="V145" i="3"/>
  <c r="M145" i="3"/>
  <c r="AG144" i="3"/>
  <c r="X144" i="3"/>
  <c r="V144" i="3"/>
  <c r="M144" i="3"/>
  <c r="AG143" i="3"/>
  <c r="X143" i="3"/>
  <c r="V143" i="3"/>
  <c r="M143" i="3"/>
  <c r="AG142" i="3"/>
  <c r="X142" i="3"/>
  <c r="V142" i="3"/>
  <c r="M142" i="3"/>
  <c r="AG141" i="3"/>
  <c r="X141" i="3"/>
  <c r="V141" i="3"/>
  <c r="M141" i="3"/>
  <c r="AG140" i="3"/>
  <c r="X140" i="3"/>
  <c r="V140" i="3"/>
  <c r="M140" i="3"/>
  <c r="AG139" i="3"/>
  <c r="X139" i="3"/>
  <c r="V139" i="3"/>
  <c r="M139" i="3"/>
  <c r="AG138" i="3"/>
  <c r="X138" i="3"/>
  <c r="V138" i="3"/>
  <c r="M138" i="3"/>
  <c r="AG137" i="3"/>
  <c r="X137" i="3"/>
  <c r="V137" i="3"/>
  <c r="M137" i="3"/>
  <c r="AG136" i="3"/>
  <c r="X136" i="3"/>
  <c r="V136" i="3"/>
  <c r="M136" i="3"/>
  <c r="AG135" i="3"/>
  <c r="X135" i="3"/>
  <c r="V135" i="3"/>
  <c r="M135" i="3"/>
  <c r="AG134" i="3"/>
  <c r="X134" i="3"/>
  <c r="V134" i="3"/>
  <c r="M134" i="3"/>
  <c r="AG133" i="3"/>
  <c r="X133" i="3"/>
  <c r="V133" i="3"/>
  <c r="M133" i="3"/>
  <c r="AG132" i="3"/>
  <c r="X132" i="3"/>
  <c r="V132" i="3"/>
  <c r="M132" i="3"/>
  <c r="AG131" i="3"/>
  <c r="X131" i="3"/>
  <c r="V131" i="3"/>
  <c r="M131" i="3"/>
  <c r="AG130" i="3"/>
  <c r="X130" i="3"/>
  <c r="V130" i="3"/>
  <c r="M130" i="3"/>
  <c r="AG129" i="3"/>
  <c r="X129" i="3"/>
  <c r="V129" i="3"/>
  <c r="M129" i="3"/>
  <c r="AG128" i="3"/>
  <c r="X128" i="3"/>
  <c r="V128" i="3"/>
  <c r="M128" i="3"/>
  <c r="AG127" i="3"/>
  <c r="X127" i="3"/>
  <c r="V127" i="3"/>
  <c r="M127" i="3"/>
  <c r="AG126" i="3"/>
  <c r="X126" i="3"/>
  <c r="V126" i="3"/>
  <c r="M126" i="3"/>
  <c r="AG125" i="3"/>
  <c r="X125" i="3"/>
  <c r="V125" i="3"/>
  <c r="M125" i="3"/>
  <c r="AG124" i="3"/>
  <c r="X124" i="3"/>
  <c r="V124" i="3"/>
  <c r="M124" i="3"/>
  <c r="AG123" i="3"/>
  <c r="X123" i="3"/>
  <c r="V123" i="3"/>
  <c r="M123" i="3"/>
  <c r="AG122" i="3"/>
  <c r="X122" i="3"/>
  <c r="V122" i="3"/>
  <c r="M122" i="3"/>
  <c r="AG121" i="3"/>
  <c r="X121" i="3"/>
  <c r="V121" i="3"/>
  <c r="M121" i="3"/>
  <c r="AG120" i="3"/>
  <c r="X120" i="3"/>
  <c r="V120" i="3"/>
  <c r="M120" i="3"/>
  <c r="AG119" i="3"/>
  <c r="X119" i="3"/>
  <c r="V119" i="3"/>
  <c r="M119" i="3"/>
  <c r="AG118" i="3"/>
  <c r="X118" i="3"/>
  <c r="V118" i="3"/>
  <c r="M118" i="3"/>
  <c r="AG117" i="3"/>
  <c r="X117" i="3"/>
  <c r="V117" i="3"/>
  <c r="M117" i="3"/>
  <c r="AG116" i="3"/>
  <c r="X116" i="3"/>
  <c r="V116" i="3"/>
  <c r="M116" i="3"/>
  <c r="AG115" i="3"/>
  <c r="X115" i="3"/>
  <c r="V115" i="3"/>
  <c r="M115" i="3"/>
  <c r="AG114" i="3"/>
  <c r="X114" i="3"/>
  <c r="V114" i="3"/>
  <c r="M114" i="3"/>
  <c r="AG113" i="3"/>
  <c r="X113" i="3"/>
  <c r="V113" i="3"/>
  <c r="M113" i="3"/>
  <c r="AG112" i="3"/>
  <c r="X112" i="3"/>
  <c r="V112" i="3"/>
  <c r="M112" i="3"/>
  <c r="AG111" i="3"/>
  <c r="X111" i="3"/>
  <c r="V111" i="3"/>
  <c r="M111" i="3"/>
  <c r="AG110" i="3"/>
  <c r="X110" i="3"/>
  <c r="V110" i="3"/>
  <c r="M110" i="3"/>
  <c r="AG109" i="3"/>
  <c r="X109" i="3"/>
  <c r="V109" i="3"/>
  <c r="M109" i="3"/>
  <c r="AG108" i="3"/>
  <c r="X108" i="3"/>
  <c r="V108" i="3"/>
  <c r="M108" i="3"/>
  <c r="AG107" i="3"/>
  <c r="X107" i="3"/>
  <c r="V107" i="3"/>
  <c r="M107" i="3"/>
  <c r="AG106" i="3"/>
  <c r="X106" i="3"/>
  <c r="V106" i="3"/>
  <c r="M106" i="3"/>
  <c r="AG105" i="3"/>
  <c r="X105" i="3"/>
  <c r="V105" i="3"/>
  <c r="M105" i="3"/>
  <c r="AG104" i="3"/>
  <c r="X104" i="3"/>
  <c r="V104" i="3"/>
  <c r="M104" i="3"/>
  <c r="AG103" i="3"/>
  <c r="X103" i="3"/>
  <c r="V103" i="3"/>
  <c r="M103" i="3"/>
  <c r="AG102" i="3"/>
  <c r="X102" i="3"/>
  <c r="V102" i="3"/>
  <c r="M102" i="3"/>
  <c r="AG101" i="3"/>
  <c r="X101" i="3"/>
  <c r="V101" i="3"/>
  <c r="M101" i="3"/>
  <c r="AG100" i="3"/>
  <c r="X100" i="3"/>
  <c r="V100" i="3"/>
  <c r="M100" i="3"/>
  <c r="AG99" i="3"/>
  <c r="X99" i="3"/>
  <c r="V99" i="3"/>
  <c r="M99" i="3"/>
  <c r="AG98" i="3"/>
  <c r="X98" i="3"/>
  <c r="V98" i="3"/>
  <c r="M98" i="3"/>
  <c r="AG97" i="3"/>
  <c r="X97" i="3"/>
  <c r="V97" i="3"/>
  <c r="M97" i="3"/>
  <c r="AG96" i="3"/>
  <c r="X96" i="3"/>
  <c r="V96" i="3"/>
  <c r="M96" i="3"/>
  <c r="AG95" i="3"/>
  <c r="X95" i="3"/>
  <c r="V95" i="3"/>
  <c r="M95" i="3"/>
  <c r="AG94" i="3"/>
  <c r="X94" i="3"/>
  <c r="V94" i="3"/>
  <c r="M94" i="3"/>
  <c r="AG93" i="3"/>
  <c r="X93" i="3"/>
  <c r="V93" i="3"/>
  <c r="M93" i="3"/>
  <c r="AG92" i="3"/>
  <c r="X92" i="3"/>
  <c r="V92" i="3"/>
  <c r="M92" i="3"/>
  <c r="AG91" i="3"/>
  <c r="X91" i="3"/>
  <c r="V91" i="3"/>
  <c r="M91" i="3"/>
  <c r="AG90" i="3"/>
  <c r="X90" i="3"/>
  <c r="V90" i="3"/>
  <c r="M90" i="3"/>
  <c r="AG89" i="3"/>
  <c r="X89" i="3"/>
  <c r="V89" i="3"/>
  <c r="M89" i="3"/>
  <c r="AG88" i="3"/>
  <c r="X88" i="3"/>
  <c r="V88" i="3"/>
  <c r="M88" i="3"/>
  <c r="AG87" i="3"/>
  <c r="X87" i="3"/>
  <c r="V87" i="3"/>
  <c r="M87" i="3"/>
  <c r="AG86" i="3"/>
  <c r="X86" i="3"/>
  <c r="V86" i="3"/>
  <c r="M86" i="3"/>
  <c r="AG85" i="3"/>
  <c r="X85" i="3"/>
  <c r="V85" i="3"/>
  <c r="M85" i="3"/>
  <c r="AG84" i="3"/>
  <c r="X84" i="3"/>
  <c r="V84" i="3"/>
  <c r="M84" i="3"/>
  <c r="AG83" i="3"/>
  <c r="X83" i="3"/>
  <c r="V83" i="3"/>
  <c r="M83" i="3"/>
  <c r="AG82" i="3"/>
  <c r="X82" i="3"/>
  <c r="V82" i="3"/>
  <c r="M82" i="3"/>
  <c r="AG81" i="3"/>
  <c r="X81" i="3"/>
  <c r="V81" i="3"/>
  <c r="M81" i="3"/>
  <c r="AG80" i="3"/>
  <c r="X80" i="3"/>
  <c r="V80" i="3"/>
  <c r="M80" i="3"/>
  <c r="AG79" i="3"/>
  <c r="X79" i="3"/>
  <c r="V79" i="3"/>
  <c r="M79" i="3"/>
  <c r="AG78" i="3"/>
  <c r="X78" i="3"/>
  <c r="V78" i="3"/>
  <c r="M78" i="3"/>
  <c r="AG77" i="3"/>
  <c r="X77" i="3"/>
  <c r="V77" i="3"/>
  <c r="M77" i="3"/>
  <c r="AH44" i="3"/>
  <c r="AG44" i="3" s="1"/>
  <c r="V76" i="3"/>
  <c r="M76" i="3"/>
  <c r="AH43" i="3"/>
  <c r="V75" i="3"/>
  <c r="M75" i="3"/>
  <c r="AH42" i="3"/>
  <c r="V74" i="3"/>
  <c r="M74" i="3"/>
  <c r="AH41" i="3"/>
  <c r="V73" i="3"/>
  <c r="M73" i="3"/>
  <c r="AH40" i="3"/>
  <c r="V72" i="3"/>
  <c r="M72" i="3"/>
  <c r="AH39" i="3"/>
  <c r="V71" i="3"/>
  <c r="M71" i="3"/>
  <c r="AH38" i="3"/>
  <c r="V70" i="3"/>
  <c r="M70" i="3"/>
  <c r="AH37" i="3"/>
  <c r="V69" i="3"/>
  <c r="M69" i="3"/>
  <c r="AH36" i="3"/>
  <c r="V68" i="3"/>
  <c r="M68" i="3"/>
  <c r="AH35" i="3"/>
  <c r="V67" i="3"/>
  <c r="M67" i="3"/>
  <c r="AH34" i="3"/>
  <c r="V66" i="3"/>
  <c r="M66" i="3"/>
  <c r="AH33" i="3"/>
  <c r="V65" i="3"/>
  <c r="M65" i="3"/>
  <c r="AH32" i="3"/>
  <c r="V64" i="3"/>
  <c r="M64" i="3"/>
  <c r="AH31" i="3"/>
  <c r="V63" i="3"/>
  <c r="M63" i="3"/>
  <c r="AH30" i="3"/>
  <c r="V62" i="3"/>
  <c r="M62" i="3"/>
  <c r="AH29" i="3"/>
  <c r="V61" i="3"/>
  <c r="M61" i="3"/>
  <c r="AH28" i="3"/>
  <c r="V60" i="3"/>
  <c r="M60" i="3"/>
  <c r="AH27" i="3"/>
  <c r="V59" i="3"/>
  <c r="M59" i="3"/>
  <c r="AH26" i="3"/>
  <c r="V58" i="3"/>
  <c r="M58" i="3"/>
  <c r="AH25" i="3"/>
  <c r="V57" i="3"/>
  <c r="M57" i="3"/>
  <c r="AH24" i="3"/>
  <c r="W44" i="3"/>
  <c r="AH23" i="3"/>
  <c r="W43" i="3"/>
  <c r="AH22" i="3"/>
  <c r="W42" i="3"/>
  <c r="AH21" i="3"/>
  <c r="W41" i="3"/>
  <c r="AH20" i="3"/>
  <c r="W40" i="3"/>
  <c r="AH19" i="3"/>
  <c r="W39" i="3"/>
  <c r="AH18" i="3"/>
  <c r="W38" i="3"/>
  <c r="AH17" i="3"/>
  <c r="W37" i="3"/>
  <c r="AH16" i="3"/>
  <c r="W36" i="3"/>
  <c r="AH15" i="3"/>
  <c r="W35" i="3"/>
  <c r="AH14" i="3"/>
  <c r="W34" i="3"/>
  <c r="AH13" i="3"/>
  <c r="W33" i="3"/>
  <c r="AH12" i="3"/>
  <c r="W32" i="3"/>
  <c r="AH11" i="3"/>
  <c r="W31" i="3"/>
  <c r="AH10" i="3"/>
  <c r="W30" i="3"/>
  <c r="AH9" i="3"/>
  <c r="W29" i="3"/>
  <c r="AH8" i="3"/>
  <c r="W28" i="3"/>
  <c r="AH7" i="3"/>
  <c r="W27" i="3"/>
  <c r="AH6" i="3"/>
  <c r="W26" i="3"/>
  <c r="AH5" i="3"/>
  <c r="W25" i="3"/>
  <c r="AH4" i="3"/>
  <c r="W24" i="3"/>
  <c r="AH3" i="3"/>
  <c r="W23" i="3"/>
  <c r="AH2" i="3"/>
  <c r="AG2" i="3" s="1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W2" i="3"/>
  <c r="V2" i="3" s="1"/>
  <c r="E9" i="3"/>
  <c r="B9" i="3"/>
  <c r="L8" i="3"/>
  <c r="E8" i="3"/>
  <c r="B8" i="3"/>
  <c r="Q58" i="1"/>
  <c r="Q57" i="1"/>
  <c r="Q56" i="1"/>
  <c r="Q55" i="1"/>
  <c r="Q54" i="1"/>
  <c r="Q53" i="1"/>
  <c r="Q52" i="1"/>
  <c r="Q51" i="1"/>
  <c r="Q48" i="1"/>
  <c r="Q47" i="1"/>
  <c r="Q46" i="1"/>
  <c r="Q45" i="1"/>
  <c r="Q44" i="1"/>
  <c r="Q43" i="1"/>
  <c r="Q42" i="1"/>
  <c r="Q41" i="1"/>
  <c r="Q40" i="1"/>
  <c r="Q38" i="1"/>
  <c r="Q37" i="1"/>
  <c r="Q36" i="1"/>
  <c r="Q35" i="1"/>
  <c r="Q33" i="1"/>
  <c r="Q32" i="1"/>
  <c r="Q31" i="1"/>
  <c r="Q30" i="1"/>
  <c r="Q29" i="1"/>
  <c r="W26" i="1"/>
  <c r="Y26" i="1" s="1"/>
  <c r="W25" i="1"/>
  <c r="X25" i="1" s="1"/>
  <c r="W24" i="1"/>
  <c r="Y24" i="1" s="1"/>
  <c r="W23" i="1"/>
  <c r="Y23" i="1" s="1"/>
  <c r="W22" i="1"/>
  <c r="X22" i="1" s="1"/>
  <c r="K22" i="1"/>
  <c r="W21" i="1"/>
  <c r="Q21" i="1"/>
  <c r="P21" i="1"/>
  <c r="W20" i="1"/>
  <c r="X20" i="1" s="1"/>
  <c r="Q20" i="1"/>
  <c r="P20" i="1"/>
  <c r="W19" i="1"/>
  <c r="Y19" i="1" s="1"/>
  <c r="Q19" i="1"/>
  <c r="P19" i="1"/>
  <c r="W18" i="1"/>
  <c r="Y18" i="1" s="1"/>
  <c r="Q18" i="1"/>
  <c r="P18" i="1"/>
  <c r="W17" i="1"/>
  <c r="X17" i="1" s="1"/>
  <c r="Q17" i="1"/>
  <c r="P17" i="1"/>
  <c r="W16" i="1"/>
  <c r="Q16" i="1"/>
  <c r="P16" i="1"/>
  <c r="W15" i="1"/>
  <c r="Y15" i="1" s="1"/>
  <c r="Q15" i="1"/>
  <c r="P15" i="1"/>
  <c r="K15" i="1"/>
  <c r="W14" i="1"/>
  <c r="X14" i="1" s="1"/>
  <c r="Q14" i="1"/>
  <c r="P14" i="1"/>
  <c r="M14" i="1"/>
  <c r="W13" i="1"/>
  <c r="Y13" i="1" s="1"/>
  <c r="Q13" i="1"/>
  <c r="P13" i="1"/>
  <c r="W12" i="1"/>
  <c r="Q12" i="1"/>
  <c r="P12" i="1"/>
  <c r="W11" i="1"/>
  <c r="Q11" i="1"/>
  <c r="P11" i="1"/>
  <c r="W10" i="1"/>
  <c r="X10" i="1" s="1"/>
  <c r="Q10" i="1"/>
  <c r="P10" i="1"/>
  <c r="W9" i="1"/>
  <c r="Y9" i="1" s="1"/>
  <c r="Q9" i="1"/>
  <c r="P9" i="1"/>
  <c r="W8" i="1"/>
  <c r="X8" i="1" s="1"/>
  <c r="Q8" i="1"/>
  <c r="P8" i="1"/>
  <c r="W7" i="1"/>
  <c r="X7" i="1" s="1"/>
  <c r="Q7" i="1"/>
  <c r="P7" i="1"/>
  <c r="W6" i="1"/>
  <c r="X6" i="1" s="1"/>
  <c r="Q6" i="1"/>
  <c r="P6" i="1"/>
  <c r="Y22" i="12" s="1"/>
  <c r="K6" i="1"/>
  <c r="W5" i="1"/>
  <c r="X5" i="1" s="1"/>
  <c r="Q5" i="1"/>
  <c r="P5" i="1"/>
  <c r="W4" i="1"/>
  <c r="Q4" i="1"/>
  <c r="P4" i="1"/>
  <c r="W3" i="1"/>
  <c r="Y3" i="1" s="1"/>
  <c r="T3" i="1"/>
  <c r="Q3" i="1"/>
  <c r="P3" i="1"/>
  <c r="W2" i="1"/>
  <c r="X2" i="1" s="1"/>
  <c r="T2" i="1"/>
  <c r="Q2" i="1"/>
  <c r="P2" i="1"/>
  <c r="I51" i="5"/>
  <c r="G51" i="5"/>
  <c r="F51" i="5"/>
  <c r="E51" i="5"/>
  <c r="F50" i="5"/>
  <c r="E50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F30" i="5"/>
  <c r="E30" i="5"/>
  <c r="F29" i="5"/>
  <c r="E29" i="5"/>
  <c r="G28" i="5"/>
  <c r="F28" i="5"/>
  <c r="E28" i="5"/>
  <c r="G27" i="5"/>
  <c r="F27" i="5"/>
  <c r="E27" i="5"/>
  <c r="F26" i="5"/>
  <c r="E26" i="5"/>
  <c r="F25" i="5"/>
  <c r="G13" i="14" s="1"/>
  <c r="E25" i="5"/>
  <c r="F24" i="5"/>
  <c r="E24" i="5"/>
  <c r="G23" i="5"/>
  <c r="F23" i="5"/>
  <c r="E23" i="5"/>
  <c r="G22" i="5"/>
  <c r="F22" i="5"/>
  <c r="E22" i="5"/>
  <c r="F21" i="5"/>
  <c r="G20" i="6" s="1"/>
  <c r="E21" i="5"/>
  <c r="F20" i="6" s="1"/>
  <c r="G20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T7" i="5"/>
  <c r="S6" i="8" s="1"/>
  <c r="T6" i="5"/>
  <c r="S5" i="8" s="1"/>
  <c r="F13" i="14" l="1"/>
  <c r="F14" i="14"/>
  <c r="G14" i="14"/>
  <c r="F21" i="15"/>
  <c r="F21" i="14"/>
  <c r="F21" i="7"/>
  <c r="G21" i="15"/>
  <c r="G21" i="14"/>
  <c r="G21" i="7"/>
  <c r="F20" i="15"/>
  <c r="F20" i="14"/>
  <c r="F20" i="7"/>
  <c r="G20" i="14"/>
  <c r="G20" i="15"/>
  <c r="G20" i="7"/>
  <c r="F19" i="15"/>
  <c r="F19" i="14"/>
  <c r="G19" i="15"/>
  <c r="G19" i="14"/>
  <c r="F18" i="15"/>
  <c r="F18" i="14"/>
  <c r="G18" i="14"/>
  <c r="G18" i="15"/>
  <c r="F15" i="15"/>
  <c r="F15" i="14"/>
  <c r="G15" i="15"/>
  <c r="G15" i="14"/>
  <c r="F11" i="7"/>
  <c r="G17" i="6"/>
  <c r="G10" i="15"/>
  <c r="G10" i="14"/>
  <c r="F18" i="6"/>
  <c r="F11" i="15"/>
  <c r="F11" i="14"/>
  <c r="G8" i="14"/>
  <c r="G8" i="15"/>
  <c r="G18" i="6"/>
  <c r="G11" i="15"/>
  <c r="G11" i="14"/>
  <c r="F8" i="14"/>
  <c r="F8" i="15"/>
  <c r="F19" i="6"/>
  <c r="F12" i="15"/>
  <c r="F12" i="14"/>
  <c r="F9" i="15"/>
  <c r="F9" i="14"/>
  <c r="G16" i="6"/>
  <c r="G9" i="14"/>
  <c r="G9" i="15"/>
  <c r="G19" i="6"/>
  <c r="G12" i="14"/>
  <c r="G12" i="15"/>
  <c r="F17" i="6"/>
  <c r="F10" i="15"/>
  <c r="F10" i="14"/>
  <c r="P17" i="15"/>
  <c r="R17" i="15" s="1"/>
  <c r="P22" i="15"/>
  <c r="R22" i="15" s="1"/>
  <c r="P24" i="15"/>
  <c r="R24" i="15" s="1"/>
  <c r="P25" i="15"/>
  <c r="R25" i="15" s="1"/>
  <c r="N13" i="15"/>
  <c r="N17" i="15"/>
  <c r="N22" i="15"/>
  <c r="N16" i="15"/>
  <c r="N14" i="15"/>
  <c r="P24" i="14"/>
  <c r="R24" i="14" s="1"/>
  <c r="P16" i="14"/>
  <c r="R16" i="14" s="1"/>
  <c r="P25" i="14"/>
  <c r="R25" i="14" s="1"/>
  <c r="P17" i="14"/>
  <c r="R17" i="14" s="1"/>
  <c r="P22" i="14"/>
  <c r="R22" i="14" s="1"/>
  <c r="N16" i="14"/>
  <c r="N22" i="14"/>
  <c r="N17" i="14"/>
  <c r="C31" i="11"/>
  <c r="N15" i="13"/>
  <c r="Y22" i="6"/>
  <c r="AA22" i="6" s="1"/>
  <c r="S22" i="6" s="1"/>
  <c r="Y23" i="6"/>
  <c r="AA23" i="6" s="1"/>
  <c r="S23" i="6" s="1"/>
  <c r="Y22" i="7"/>
  <c r="AA22" i="7" s="1"/>
  <c r="S22" i="7" s="1"/>
  <c r="Y22" i="9"/>
  <c r="AA22" i="9" s="1"/>
  <c r="S22" i="9" s="1"/>
  <c r="Y20" i="9"/>
  <c r="AA20" i="9" s="1"/>
  <c r="S20" i="9" s="1"/>
  <c r="Y17" i="9"/>
  <c r="AA17" i="9" s="1"/>
  <c r="S17" i="9" s="1"/>
  <c r="Y16" i="9"/>
  <c r="AA16" i="9" s="1"/>
  <c r="S16" i="9" s="1"/>
  <c r="Y21" i="9"/>
  <c r="AA21" i="9" s="1"/>
  <c r="S21" i="9" s="1"/>
  <c r="Y19" i="9"/>
  <c r="AA19" i="9" s="1"/>
  <c r="S19" i="9" s="1"/>
  <c r="Y18" i="9"/>
  <c r="AA18" i="9" s="1"/>
  <c r="S18" i="9" s="1"/>
  <c r="Y22" i="10"/>
  <c r="AA22" i="10" s="1"/>
  <c r="S22" i="10" s="1"/>
  <c r="Y21" i="10"/>
  <c r="AA21" i="10" s="1"/>
  <c r="S21" i="10" s="1"/>
  <c r="Y17" i="10"/>
  <c r="AA17" i="10" s="1"/>
  <c r="S17" i="10" s="1"/>
  <c r="Y18" i="12"/>
  <c r="Y21" i="12"/>
  <c r="N23" i="6"/>
  <c r="N22" i="6"/>
  <c r="P22" i="7"/>
  <c r="R22" i="7" s="1"/>
  <c r="N22" i="7"/>
  <c r="P18" i="9"/>
  <c r="P19" i="9"/>
  <c r="R19" i="9" s="1"/>
  <c r="P22" i="9"/>
  <c r="R22" i="9" s="1"/>
  <c r="P21" i="9"/>
  <c r="R21" i="9" s="1"/>
  <c r="P20" i="9"/>
  <c r="R20" i="9" s="1"/>
  <c r="P21" i="12"/>
  <c r="P22" i="12"/>
  <c r="P19" i="12"/>
  <c r="P18" i="12"/>
  <c r="P20" i="12"/>
  <c r="P17" i="12"/>
  <c r="R17" i="12" s="1"/>
  <c r="N20" i="9"/>
  <c r="N17" i="9"/>
  <c r="N18" i="9"/>
  <c r="N22" i="9"/>
  <c r="N21" i="9"/>
  <c r="N19" i="9"/>
  <c r="N16" i="9"/>
  <c r="N22" i="10"/>
  <c r="N17" i="10"/>
  <c r="N21" i="10"/>
  <c r="N22" i="12"/>
  <c r="Y20" i="12"/>
  <c r="N19" i="12"/>
  <c r="N20" i="12"/>
  <c r="Y19" i="12"/>
  <c r="Y17" i="12"/>
  <c r="G12" i="6"/>
  <c r="G11" i="6"/>
  <c r="F16" i="6"/>
  <c r="G12" i="7"/>
  <c r="F12" i="7"/>
  <c r="G13" i="7"/>
  <c r="F13" i="7"/>
  <c r="AB35" i="4"/>
  <c r="J5" i="5" s="1"/>
  <c r="AC34" i="4"/>
  <c r="G21" i="6"/>
  <c r="G15" i="6"/>
  <c r="F14" i="6"/>
  <c r="F21" i="6"/>
  <c r="F15" i="6"/>
  <c r="G19" i="7"/>
  <c r="F19" i="7"/>
  <c r="G10" i="7"/>
  <c r="G11" i="7"/>
  <c r="F14" i="7"/>
  <c r="G14" i="7"/>
  <c r="F15" i="7"/>
  <c r="G15" i="7"/>
  <c r="F16" i="7"/>
  <c r="G16" i="7"/>
  <c r="G9" i="7"/>
  <c r="F9" i="7"/>
  <c r="F10" i="7"/>
  <c r="G14" i="6"/>
  <c r="F18" i="7"/>
  <c r="G18" i="7"/>
  <c r="W16" i="4"/>
  <c r="W208" i="4" s="1"/>
  <c r="X16" i="4"/>
  <c r="AB36" i="4" s="1"/>
  <c r="C8" i="6"/>
  <c r="G12" i="9"/>
  <c r="G14" i="9"/>
  <c r="G13" i="9"/>
  <c r="F15" i="9"/>
  <c r="G15" i="9"/>
  <c r="G12" i="12"/>
  <c r="G13" i="12"/>
  <c r="G14" i="12"/>
  <c r="G16" i="12"/>
  <c r="G24" i="5"/>
  <c r="G11" i="5"/>
  <c r="G49" i="5"/>
  <c r="G50" i="5"/>
  <c r="G30" i="5"/>
  <c r="G9" i="6"/>
  <c r="F11" i="11"/>
  <c r="D10" i="6"/>
  <c r="D51" i="5"/>
  <c r="G10" i="12"/>
  <c r="C30" i="11"/>
  <c r="G12" i="13"/>
  <c r="G11" i="13"/>
  <c r="G19" i="5"/>
  <c r="G18" i="5"/>
  <c r="G37" i="5"/>
  <c r="F13" i="11"/>
  <c r="G21" i="5"/>
  <c r="F11" i="8"/>
  <c r="D13" i="6"/>
  <c r="G9" i="13"/>
  <c r="C32" i="11"/>
  <c r="C33" i="11"/>
  <c r="F9" i="13"/>
  <c r="F17" i="13"/>
  <c r="C25" i="11"/>
  <c r="D11" i="9"/>
  <c r="F10" i="13"/>
  <c r="F16" i="13"/>
  <c r="C24" i="11"/>
  <c r="G10" i="13"/>
  <c r="C26" i="11"/>
  <c r="F11" i="13"/>
  <c r="C34" i="11"/>
  <c r="F10" i="6"/>
  <c r="F19" i="13"/>
  <c r="C27" i="11"/>
  <c r="F9" i="6"/>
  <c r="D9" i="6"/>
  <c r="F12" i="13"/>
  <c r="C20" i="11"/>
  <c r="C35" i="11"/>
  <c r="F11" i="6"/>
  <c r="D11" i="6"/>
  <c r="F20" i="13"/>
  <c r="C28" i="11"/>
  <c r="F13" i="13"/>
  <c r="C21" i="11"/>
  <c r="F12" i="6"/>
  <c r="D12" i="6"/>
  <c r="F21" i="13"/>
  <c r="C29" i="11"/>
  <c r="C36" i="11"/>
  <c r="F14" i="13"/>
  <c r="C22" i="11"/>
  <c r="F13" i="6"/>
  <c r="G13" i="6"/>
  <c r="C23" i="11"/>
  <c r="F16" i="12"/>
  <c r="D12" i="13"/>
  <c r="F13" i="9"/>
  <c r="D11" i="10"/>
  <c r="F14" i="9"/>
  <c r="G10" i="9"/>
  <c r="F11" i="9"/>
  <c r="F10" i="9"/>
  <c r="U57" i="3"/>
  <c r="U85" i="3"/>
  <c r="U90" i="3"/>
  <c r="U100" i="3"/>
  <c r="U105" i="3"/>
  <c r="U115" i="3"/>
  <c r="U120" i="3"/>
  <c r="U175" i="3"/>
  <c r="U180" i="3"/>
  <c r="U190" i="3"/>
  <c r="AF80" i="3"/>
  <c r="AF85" i="3"/>
  <c r="AF100" i="3"/>
  <c r="AF110" i="3"/>
  <c r="AF125" i="3"/>
  <c r="AF135" i="3"/>
  <c r="AF140" i="3"/>
  <c r="AF145" i="3"/>
  <c r="AF165" i="3"/>
  <c r="AF170" i="3"/>
  <c r="AF195" i="3"/>
  <c r="AF200" i="3"/>
  <c r="AF78" i="3"/>
  <c r="AF83" i="3"/>
  <c r="AF88" i="3"/>
  <c r="AF93" i="3"/>
  <c r="AF103" i="3"/>
  <c r="AF113" i="3"/>
  <c r="AF143" i="3"/>
  <c r="AF163" i="3"/>
  <c r="AF198" i="3"/>
  <c r="U169" i="3"/>
  <c r="U194" i="3"/>
  <c r="U199" i="3"/>
  <c r="AF207" i="3"/>
  <c r="F14" i="10"/>
  <c r="G14" i="10"/>
  <c r="D12" i="9"/>
  <c r="F12" i="9"/>
  <c r="F14" i="12"/>
  <c r="D11" i="13"/>
  <c r="F13" i="12"/>
  <c r="D10" i="13"/>
  <c r="F12" i="12"/>
  <c r="D9" i="13"/>
  <c r="F11" i="12"/>
  <c r="F10" i="12"/>
  <c r="F19" i="10"/>
  <c r="G19" i="10"/>
  <c r="F18" i="10"/>
  <c r="G18" i="10"/>
  <c r="G13" i="10"/>
  <c r="G12" i="10"/>
  <c r="G16" i="10"/>
  <c r="G15" i="10"/>
  <c r="F15" i="10"/>
  <c r="F16" i="10"/>
  <c r="F13" i="10"/>
  <c r="D14" i="9"/>
  <c r="F12" i="10"/>
  <c r="D13" i="9"/>
  <c r="F9" i="9"/>
  <c r="AF118" i="3"/>
  <c r="U185" i="3"/>
  <c r="U71" i="3"/>
  <c r="AF87" i="3"/>
  <c r="AF117" i="3"/>
  <c r="AF147" i="3"/>
  <c r="AF172" i="3"/>
  <c r="AF177" i="3"/>
  <c r="AF192" i="3"/>
  <c r="U104" i="3"/>
  <c r="U139" i="3"/>
  <c r="AF217" i="3"/>
  <c r="U96" i="3"/>
  <c r="U111" i="3"/>
  <c r="U131" i="3"/>
  <c r="U141" i="3"/>
  <c r="U176" i="3"/>
  <c r="U181" i="3"/>
  <c r="U186" i="3"/>
  <c r="U191" i="3"/>
  <c r="U196" i="3"/>
  <c r="AF91" i="3"/>
  <c r="AF106" i="3"/>
  <c r="AF116" i="3"/>
  <c r="AF121" i="3"/>
  <c r="AF131" i="3"/>
  <c r="AF151" i="3"/>
  <c r="AF166" i="3"/>
  <c r="AF171" i="3"/>
  <c r="AF196" i="3"/>
  <c r="AF212" i="3"/>
  <c r="AF82" i="3"/>
  <c r="U92" i="3"/>
  <c r="U117" i="3"/>
  <c r="U127" i="3"/>
  <c r="U132" i="3"/>
  <c r="U137" i="3"/>
  <c r="U147" i="3"/>
  <c r="U152" i="3"/>
  <c r="U167" i="3"/>
  <c r="U172" i="3"/>
  <c r="U177" i="3"/>
  <c r="U182" i="3"/>
  <c r="U187" i="3"/>
  <c r="U192" i="3"/>
  <c r="U72" i="3"/>
  <c r="U67" i="3"/>
  <c r="U83" i="3"/>
  <c r="U88" i="3"/>
  <c r="U103" i="3"/>
  <c r="U108" i="3"/>
  <c r="U128" i="3"/>
  <c r="U138" i="3"/>
  <c r="U143" i="3"/>
  <c r="U158" i="3"/>
  <c r="U168" i="3"/>
  <c r="U173" i="3"/>
  <c r="U183" i="3"/>
  <c r="U198" i="3"/>
  <c r="AF205" i="3"/>
  <c r="Y133" i="3"/>
  <c r="Z133" i="3" s="1"/>
  <c r="AF133" i="3"/>
  <c r="T119" i="3"/>
  <c r="U119" i="3"/>
  <c r="N174" i="3"/>
  <c r="O174" i="3" s="1"/>
  <c r="U174" i="3"/>
  <c r="AC79" i="3"/>
  <c r="AF79" i="3"/>
  <c r="AC84" i="3"/>
  <c r="AF84" i="3"/>
  <c r="Y89" i="3"/>
  <c r="AD89" i="3" s="1"/>
  <c r="AF89" i="3"/>
  <c r="AC94" i="3"/>
  <c r="AF94" i="3"/>
  <c r="AC99" i="3"/>
  <c r="AF99" i="3"/>
  <c r="AC104" i="3"/>
  <c r="AF104" i="3"/>
  <c r="AC109" i="3"/>
  <c r="AF109" i="3"/>
  <c r="AE114" i="3"/>
  <c r="AF114" i="3"/>
  <c r="Y119" i="3"/>
  <c r="AD119" i="3" s="1"/>
  <c r="AF119" i="3"/>
  <c r="AF124" i="3"/>
  <c r="AF129" i="3"/>
  <c r="AF134" i="3"/>
  <c r="Y139" i="3"/>
  <c r="Z139" i="3" s="1"/>
  <c r="AF139" i="3"/>
  <c r="AF144" i="3"/>
  <c r="Y149" i="3"/>
  <c r="Z149" i="3" s="1"/>
  <c r="AF149" i="3"/>
  <c r="AF154" i="3"/>
  <c r="Y159" i="3"/>
  <c r="Z159" i="3" s="1"/>
  <c r="AF159" i="3"/>
  <c r="AF164" i="3"/>
  <c r="Y169" i="3"/>
  <c r="AD169" i="3" s="1"/>
  <c r="AF169" i="3"/>
  <c r="Y174" i="3"/>
  <c r="Z174" i="3" s="1"/>
  <c r="AF174" i="3"/>
  <c r="Y179" i="3"/>
  <c r="AD179" i="3" s="1"/>
  <c r="AF179" i="3"/>
  <c r="Y184" i="3"/>
  <c r="AA184" i="3" s="1"/>
  <c r="AB184" i="3" s="1"/>
  <c r="AF184" i="3"/>
  <c r="AE189" i="3"/>
  <c r="AF189" i="3"/>
  <c r="AE194" i="3"/>
  <c r="AF194" i="3"/>
  <c r="AF199" i="3"/>
  <c r="AF208" i="3"/>
  <c r="AF218" i="3"/>
  <c r="N94" i="3"/>
  <c r="S94" i="3" s="1"/>
  <c r="U94" i="3"/>
  <c r="T159" i="3"/>
  <c r="U159" i="3"/>
  <c r="R130" i="3"/>
  <c r="U130" i="3"/>
  <c r="R136" i="3"/>
  <c r="U136" i="3"/>
  <c r="R59" i="3"/>
  <c r="U59" i="3"/>
  <c r="R124" i="3"/>
  <c r="U124" i="3"/>
  <c r="N179" i="3"/>
  <c r="O179" i="3" s="1"/>
  <c r="U179" i="3"/>
  <c r="T76" i="3"/>
  <c r="U76" i="3"/>
  <c r="T161" i="3"/>
  <c r="U161" i="3"/>
  <c r="AC81" i="3"/>
  <c r="AF81" i="3"/>
  <c r="AC86" i="3"/>
  <c r="AF86" i="3"/>
  <c r="AE96" i="3"/>
  <c r="AF96" i="3"/>
  <c r="AE101" i="3"/>
  <c r="AF101" i="3"/>
  <c r="Y111" i="3"/>
  <c r="Z111" i="3" s="1"/>
  <c r="AF111" i="3"/>
  <c r="Y126" i="3"/>
  <c r="Z126" i="3" s="1"/>
  <c r="AF126" i="3"/>
  <c r="AE136" i="3"/>
  <c r="AF136" i="3"/>
  <c r="AE141" i="3"/>
  <c r="AF141" i="3"/>
  <c r="AE146" i="3"/>
  <c r="AF146" i="3"/>
  <c r="Y156" i="3"/>
  <c r="AD156" i="3" s="1"/>
  <c r="AF156" i="3"/>
  <c r="AE161" i="3"/>
  <c r="AF161" i="3"/>
  <c r="Y176" i="3"/>
  <c r="AA176" i="3" s="1"/>
  <c r="AB176" i="3" s="1"/>
  <c r="AF176" i="3"/>
  <c r="Y181" i="3"/>
  <c r="AA181" i="3" s="1"/>
  <c r="AB181" i="3" s="1"/>
  <c r="AF181" i="3"/>
  <c r="Y186" i="3"/>
  <c r="Z186" i="3" s="1"/>
  <c r="AF186" i="3"/>
  <c r="AC191" i="3"/>
  <c r="AF191" i="3"/>
  <c r="Y202" i="3"/>
  <c r="Z202" i="3" s="1"/>
  <c r="AF202" i="3"/>
  <c r="AC108" i="3"/>
  <c r="AF108" i="3"/>
  <c r="T154" i="3"/>
  <c r="U154" i="3"/>
  <c r="R60" i="3"/>
  <c r="U60" i="3"/>
  <c r="R140" i="3"/>
  <c r="U140" i="3"/>
  <c r="AC209" i="3"/>
  <c r="AF209" i="3"/>
  <c r="Y120" i="3"/>
  <c r="Z120" i="3" s="1"/>
  <c r="AF120" i="3"/>
  <c r="AC210" i="3"/>
  <c r="AF210" i="3"/>
  <c r="R101" i="3"/>
  <c r="U101" i="3"/>
  <c r="N166" i="3"/>
  <c r="P166" i="3" s="1"/>
  <c r="Q166" i="3" s="1"/>
  <c r="U166" i="3"/>
  <c r="AC201" i="3"/>
  <c r="AF201" i="3"/>
  <c r="Y148" i="3"/>
  <c r="AA148" i="3" s="1"/>
  <c r="AB148" i="3" s="1"/>
  <c r="AF148" i="3"/>
  <c r="Y183" i="3"/>
  <c r="Z183" i="3" s="1"/>
  <c r="AF183" i="3"/>
  <c r="R84" i="3"/>
  <c r="U84" i="3"/>
  <c r="T144" i="3"/>
  <c r="U144" i="3"/>
  <c r="R65" i="3"/>
  <c r="U65" i="3"/>
  <c r="AC105" i="3"/>
  <c r="AF105" i="3"/>
  <c r="Y175" i="3"/>
  <c r="AD175" i="3" s="1"/>
  <c r="AF175" i="3"/>
  <c r="AC190" i="3"/>
  <c r="AF190" i="3"/>
  <c r="R91" i="3"/>
  <c r="U91" i="3"/>
  <c r="N171" i="3"/>
  <c r="S171" i="3" s="1"/>
  <c r="U171" i="3"/>
  <c r="R87" i="3"/>
  <c r="U87" i="3"/>
  <c r="T97" i="3"/>
  <c r="U97" i="3"/>
  <c r="R112" i="3"/>
  <c r="U112" i="3"/>
  <c r="R122" i="3"/>
  <c r="U122" i="3"/>
  <c r="T142" i="3"/>
  <c r="U142" i="3"/>
  <c r="R162" i="3"/>
  <c r="U162" i="3"/>
  <c r="AC128" i="3"/>
  <c r="AF128" i="3"/>
  <c r="Y153" i="3"/>
  <c r="AA153" i="3" s="1"/>
  <c r="AB153" i="3" s="1"/>
  <c r="AF153" i="3"/>
  <c r="Y178" i="3"/>
  <c r="AD178" i="3" s="1"/>
  <c r="AF178" i="3"/>
  <c r="AC216" i="3"/>
  <c r="AF216" i="3"/>
  <c r="N64" i="3"/>
  <c r="S64" i="3" s="1"/>
  <c r="U64" i="3"/>
  <c r="R99" i="3"/>
  <c r="U99" i="3"/>
  <c r="T184" i="3"/>
  <c r="U184" i="3"/>
  <c r="N70" i="3"/>
  <c r="P70" i="3" s="1"/>
  <c r="Q70" i="3" s="1"/>
  <c r="U70" i="3"/>
  <c r="N95" i="3"/>
  <c r="P95" i="3" s="1"/>
  <c r="Q95" i="3" s="1"/>
  <c r="U95" i="3"/>
  <c r="N125" i="3"/>
  <c r="P125" i="3" s="1"/>
  <c r="Q125" i="3" s="1"/>
  <c r="U125" i="3"/>
  <c r="N145" i="3"/>
  <c r="S145" i="3" s="1"/>
  <c r="U145" i="3"/>
  <c r="N165" i="3"/>
  <c r="S165" i="3" s="1"/>
  <c r="U165" i="3"/>
  <c r="T195" i="3"/>
  <c r="U195" i="3"/>
  <c r="Y150" i="3"/>
  <c r="AD150" i="3" s="1"/>
  <c r="AF150" i="3"/>
  <c r="Y180" i="3"/>
  <c r="AD180" i="3" s="1"/>
  <c r="AF180" i="3"/>
  <c r="Y220" i="3"/>
  <c r="AD220" i="3" s="1"/>
  <c r="AF220" i="3"/>
  <c r="T121" i="3"/>
  <c r="U121" i="3"/>
  <c r="T77" i="3"/>
  <c r="U77" i="3"/>
  <c r="N102" i="3"/>
  <c r="P102" i="3" s="1"/>
  <c r="Q102" i="3" s="1"/>
  <c r="U102" i="3"/>
  <c r="AE203" i="3"/>
  <c r="AF203" i="3"/>
  <c r="AG5" i="3"/>
  <c r="Y77" i="3"/>
  <c r="AA77" i="3" s="1"/>
  <c r="AB77" i="3" s="1"/>
  <c r="AF77" i="3"/>
  <c r="Y92" i="3"/>
  <c r="Z92" i="3" s="1"/>
  <c r="AF92" i="3"/>
  <c r="AC97" i="3"/>
  <c r="AF97" i="3"/>
  <c r="AC102" i="3"/>
  <c r="AF102" i="3"/>
  <c r="Y107" i="3"/>
  <c r="AA107" i="3" s="1"/>
  <c r="AB107" i="3" s="1"/>
  <c r="AF107" i="3"/>
  <c r="Y112" i="3"/>
  <c r="AD112" i="3" s="1"/>
  <c r="AF112" i="3"/>
  <c r="AC122" i="3"/>
  <c r="AF122" i="3"/>
  <c r="Y127" i="3"/>
  <c r="Z127" i="3" s="1"/>
  <c r="AF127" i="3"/>
  <c r="Y132" i="3"/>
  <c r="Z132" i="3" s="1"/>
  <c r="AF132" i="3"/>
  <c r="Y137" i="3"/>
  <c r="Z137" i="3" s="1"/>
  <c r="AF137" i="3"/>
  <c r="AE142" i="3"/>
  <c r="AF142" i="3"/>
  <c r="AE152" i="3"/>
  <c r="AF152" i="3"/>
  <c r="Y157" i="3"/>
  <c r="AD157" i="3" s="1"/>
  <c r="AF157" i="3"/>
  <c r="AE162" i="3"/>
  <c r="AF162" i="3"/>
  <c r="AE167" i="3"/>
  <c r="AF167" i="3"/>
  <c r="Y182" i="3"/>
  <c r="AA182" i="3" s="1"/>
  <c r="AB182" i="3" s="1"/>
  <c r="AF182" i="3"/>
  <c r="Y187" i="3"/>
  <c r="Z187" i="3" s="1"/>
  <c r="AF187" i="3"/>
  <c r="AE197" i="3"/>
  <c r="AF197" i="3"/>
  <c r="AE204" i="3"/>
  <c r="AF204" i="3"/>
  <c r="Y214" i="3"/>
  <c r="Z214" i="3" s="1"/>
  <c r="AF214" i="3"/>
  <c r="Y123" i="3"/>
  <c r="AD123" i="3" s="1"/>
  <c r="AF123" i="3"/>
  <c r="Y158" i="3"/>
  <c r="Z158" i="3" s="1"/>
  <c r="AF158" i="3"/>
  <c r="Y188" i="3"/>
  <c r="Z188" i="3" s="1"/>
  <c r="AF188" i="3"/>
  <c r="N79" i="3"/>
  <c r="S79" i="3" s="1"/>
  <c r="U79" i="3"/>
  <c r="N129" i="3"/>
  <c r="O129" i="3" s="1"/>
  <c r="U129" i="3"/>
  <c r="N80" i="3"/>
  <c r="S80" i="3" s="1"/>
  <c r="U80" i="3"/>
  <c r="N110" i="3"/>
  <c r="S110" i="3" s="1"/>
  <c r="U110" i="3"/>
  <c r="N150" i="3"/>
  <c r="O150" i="3" s="1"/>
  <c r="U150" i="3"/>
  <c r="AC219" i="3"/>
  <c r="AF219" i="3"/>
  <c r="Y95" i="3"/>
  <c r="AD95" i="3" s="1"/>
  <c r="AF95" i="3"/>
  <c r="Y155" i="3"/>
  <c r="AD155" i="3" s="1"/>
  <c r="AF155" i="3"/>
  <c r="N81" i="3"/>
  <c r="O81" i="3" s="1"/>
  <c r="U81" i="3"/>
  <c r="N151" i="3"/>
  <c r="S151" i="3" s="1"/>
  <c r="U151" i="3"/>
  <c r="R82" i="3"/>
  <c r="U82" i="3"/>
  <c r="AC213" i="3"/>
  <c r="AF213" i="3"/>
  <c r="AE98" i="3"/>
  <c r="AF98" i="3"/>
  <c r="Y138" i="3"/>
  <c r="Z138" i="3" s="1"/>
  <c r="AF138" i="3"/>
  <c r="AE168" i="3"/>
  <c r="AF168" i="3"/>
  <c r="AC193" i="3"/>
  <c r="AF193" i="3"/>
  <c r="N74" i="3"/>
  <c r="P74" i="3" s="1"/>
  <c r="Q74" i="3" s="1"/>
  <c r="U74" i="3"/>
  <c r="R109" i="3"/>
  <c r="U109" i="3"/>
  <c r="N149" i="3"/>
  <c r="S149" i="3" s="1"/>
  <c r="U149" i="3"/>
  <c r="N135" i="3"/>
  <c r="S135" i="3" s="1"/>
  <c r="U135" i="3"/>
  <c r="N160" i="3"/>
  <c r="S160" i="3" s="1"/>
  <c r="U160" i="3"/>
  <c r="R170" i="3"/>
  <c r="U170" i="3"/>
  <c r="R200" i="3"/>
  <c r="U200" i="3"/>
  <c r="Y130" i="3"/>
  <c r="Z130" i="3" s="1"/>
  <c r="AF130" i="3"/>
  <c r="Y185" i="3"/>
  <c r="AD185" i="3" s="1"/>
  <c r="AF185" i="3"/>
  <c r="T61" i="3"/>
  <c r="U61" i="3"/>
  <c r="N86" i="3"/>
  <c r="S86" i="3" s="1"/>
  <c r="U86" i="3"/>
  <c r="R106" i="3"/>
  <c r="U106" i="3"/>
  <c r="R126" i="3"/>
  <c r="U126" i="3"/>
  <c r="N156" i="3"/>
  <c r="S156" i="3" s="1"/>
  <c r="U156" i="3"/>
  <c r="AC211" i="3"/>
  <c r="AF211" i="3"/>
  <c r="R62" i="3"/>
  <c r="U62" i="3"/>
  <c r="N157" i="3"/>
  <c r="S157" i="3" s="1"/>
  <c r="U157" i="3"/>
  <c r="N197" i="3"/>
  <c r="S197" i="3" s="1"/>
  <c r="U197" i="3"/>
  <c r="R58" i="3"/>
  <c r="U58" i="3"/>
  <c r="N63" i="3"/>
  <c r="P63" i="3" s="1"/>
  <c r="Q63" i="3" s="1"/>
  <c r="U63" i="3"/>
  <c r="T68" i="3"/>
  <c r="U68" i="3"/>
  <c r="N73" i="3"/>
  <c r="S73" i="3" s="1"/>
  <c r="U73" i="3"/>
  <c r="T78" i="3"/>
  <c r="U78" i="3"/>
  <c r="T93" i="3"/>
  <c r="U93" i="3"/>
  <c r="N98" i="3"/>
  <c r="P98" i="3" s="1"/>
  <c r="Q98" i="3" s="1"/>
  <c r="U98" i="3"/>
  <c r="R113" i="3"/>
  <c r="U113" i="3"/>
  <c r="R118" i="3"/>
  <c r="U118" i="3"/>
  <c r="N123" i="3"/>
  <c r="O123" i="3" s="1"/>
  <c r="U123" i="3"/>
  <c r="N133" i="3"/>
  <c r="P133" i="3" s="1"/>
  <c r="Q133" i="3" s="1"/>
  <c r="U133" i="3"/>
  <c r="N148" i="3"/>
  <c r="S148" i="3" s="1"/>
  <c r="U148" i="3"/>
  <c r="R153" i="3"/>
  <c r="U153" i="3"/>
  <c r="N163" i="3"/>
  <c r="O163" i="3" s="1"/>
  <c r="U163" i="3"/>
  <c r="T178" i="3"/>
  <c r="U178" i="3"/>
  <c r="T188" i="3"/>
  <c r="U188" i="3"/>
  <c r="T193" i="3"/>
  <c r="U193" i="3"/>
  <c r="Y215" i="3"/>
  <c r="AD215" i="3" s="1"/>
  <c r="AF215" i="3"/>
  <c r="Y173" i="3"/>
  <c r="Z173" i="3" s="1"/>
  <c r="AF173" i="3"/>
  <c r="AC206" i="3"/>
  <c r="AF206" i="3"/>
  <c r="R69" i="3"/>
  <c r="U69" i="3"/>
  <c r="R89" i="3"/>
  <c r="U89" i="3"/>
  <c r="T114" i="3"/>
  <c r="U114" i="3"/>
  <c r="N134" i="3"/>
  <c r="S134" i="3" s="1"/>
  <c r="U134" i="3"/>
  <c r="T164" i="3"/>
  <c r="U164" i="3"/>
  <c r="T189" i="3"/>
  <c r="U189" i="3"/>
  <c r="T75" i="3"/>
  <c r="U75" i="3"/>
  <c r="N155" i="3"/>
  <c r="S155" i="3" s="1"/>
  <c r="U155" i="3"/>
  <c r="Y90" i="3"/>
  <c r="AA90" i="3" s="1"/>
  <c r="AB90" i="3" s="1"/>
  <c r="AF90" i="3"/>
  <c r="AE115" i="3"/>
  <c r="AF115" i="3"/>
  <c r="Y160" i="3"/>
  <c r="Z160" i="3" s="1"/>
  <c r="AF160" i="3"/>
  <c r="R66" i="3"/>
  <c r="U66" i="3"/>
  <c r="R116" i="3"/>
  <c r="U116" i="3"/>
  <c r="N146" i="3"/>
  <c r="O146" i="3" s="1"/>
  <c r="U146" i="3"/>
  <c r="T107" i="3"/>
  <c r="U107" i="3"/>
  <c r="G10" i="6"/>
  <c r="G10" i="5"/>
  <c r="F12" i="11"/>
  <c r="F9" i="12"/>
  <c r="G9" i="12"/>
  <c r="G11" i="10"/>
  <c r="F11" i="10"/>
  <c r="F10" i="10"/>
  <c r="G10" i="10"/>
  <c r="F9" i="10"/>
  <c r="G9" i="10"/>
  <c r="F10" i="8"/>
  <c r="G14" i="5"/>
  <c r="G15" i="5"/>
  <c r="F16" i="8"/>
  <c r="F12" i="8"/>
  <c r="F18" i="11"/>
  <c r="F18" i="8"/>
  <c r="G17" i="5"/>
  <c r="F14" i="11"/>
  <c r="F27" i="11"/>
  <c r="F13" i="8"/>
  <c r="F15" i="11"/>
  <c r="F28" i="11"/>
  <c r="F22" i="11"/>
  <c r="F20" i="8"/>
  <c r="F29" i="11"/>
  <c r="F10" i="11"/>
  <c r="F22" i="8"/>
  <c r="F25" i="8"/>
  <c r="F17" i="11"/>
  <c r="C8" i="7"/>
  <c r="X26" i="1"/>
  <c r="Y6" i="1"/>
  <c r="Y22" i="13"/>
  <c r="AA22" i="13" s="1"/>
  <c r="S22" i="13" s="1"/>
  <c r="Y18" i="13"/>
  <c r="AA18" i="13" s="1"/>
  <c r="S18" i="13" s="1"/>
  <c r="X24" i="1"/>
  <c r="Y5" i="1"/>
  <c r="Y15" i="13"/>
  <c r="AA15" i="13" s="1"/>
  <c r="S15" i="13" s="1"/>
  <c r="X18" i="1"/>
  <c r="H47" i="8"/>
  <c r="H48" i="8"/>
  <c r="H30" i="8"/>
  <c r="H50" i="8"/>
  <c r="H40" i="8"/>
  <c r="H46" i="8"/>
  <c r="H37" i="8"/>
  <c r="H49" i="8"/>
  <c r="H32" i="8"/>
  <c r="H38" i="8"/>
  <c r="H31" i="8"/>
  <c r="H51" i="8"/>
  <c r="H39" i="8"/>
  <c r="H35" i="8"/>
  <c r="H45" i="8"/>
  <c r="H33" i="8"/>
  <c r="H34" i="8"/>
  <c r="H41" i="8"/>
  <c r="H36" i="8"/>
  <c r="H42" i="8"/>
  <c r="H43" i="8"/>
  <c r="H44" i="8"/>
  <c r="H26" i="8"/>
  <c r="H36" i="11"/>
  <c r="H48" i="11"/>
  <c r="H51" i="11"/>
  <c r="H41" i="11"/>
  <c r="H49" i="11"/>
  <c r="H50" i="11"/>
  <c r="H38" i="11"/>
  <c r="H39" i="11"/>
  <c r="H45" i="11"/>
  <c r="H44" i="11"/>
  <c r="H37" i="11"/>
  <c r="H42" i="11"/>
  <c r="H40" i="11"/>
  <c r="H43" i="11"/>
  <c r="H46" i="11"/>
  <c r="H47" i="11"/>
  <c r="F9" i="11"/>
  <c r="F8" i="12"/>
  <c r="F8" i="13"/>
  <c r="G8" i="13"/>
  <c r="G8" i="12"/>
  <c r="R144" i="3"/>
  <c r="H23" i="11"/>
  <c r="R95" i="3"/>
  <c r="Y115" i="3"/>
  <c r="Z115" i="3" s="1"/>
  <c r="AC77" i="3"/>
  <c r="R73" i="3"/>
  <c r="H35" i="11"/>
  <c r="R148" i="3"/>
  <c r="N69" i="3"/>
  <c r="S69" i="3" s="1"/>
  <c r="H26" i="11"/>
  <c r="N82" i="3"/>
  <c r="P82" i="3" s="1"/>
  <c r="Q82" i="3" s="1"/>
  <c r="T69" i="3"/>
  <c r="AE173" i="3"/>
  <c r="C8" i="10"/>
  <c r="F8" i="10"/>
  <c r="G8" i="10"/>
  <c r="D8" i="10"/>
  <c r="G8" i="9"/>
  <c r="C8" i="9"/>
  <c r="F8" i="9"/>
  <c r="J8" i="9"/>
  <c r="D8" i="9"/>
  <c r="Y2" i="1"/>
  <c r="Y25" i="1"/>
  <c r="Y7" i="1"/>
  <c r="X13" i="1"/>
  <c r="X9" i="1"/>
  <c r="X15" i="1"/>
  <c r="Y22" i="1"/>
  <c r="Y14" i="1"/>
  <c r="AC168" i="3"/>
  <c r="R64" i="3"/>
  <c r="T73" i="3"/>
  <c r="AC183" i="3"/>
  <c r="AE102" i="3"/>
  <c r="N170" i="3"/>
  <c r="O170" i="3" s="1"/>
  <c r="AC194" i="3"/>
  <c r="N112" i="3"/>
  <c r="S112" i="3" s="1"/>
  <c r="T94" i="3"/>
  <c r="AE126" i="3"/>
  <c r="G13" i="5"/>
  <c r="G25" i="5"/>
  <c r="N161" i="3"/>
  <c r="O161" i="3" s="1"/>
  <c r="AC186" i="3"/>
  <c r="AC158" i="3"/>
  <c r="T112" i="3"/>
  <c r="AC115" i="3"/>
  <c r="AC123" i="3"/>
  <c r="R132" i="3"/>
  <c r="R161" i="3"/>
  <c r="AC173" i="3"/>
  <c r="AC176" i="3"/>
  <c r="AE186" i="3"/>
  <c r="AC120" i="3"/>
  <c r="T132" i="3"/>
  <c r="AE176" i="3"/>
  <c r="T95" i="3"/>
  <c r="Y194" i="3"/>
  <c r="Z194" i="3" s="1"/>
  <c r="Y79" i="3"/>
  <c r="AA79" i="3" s="1"/>
  <c r="AB79" i="3" s="1"/>
  <c r="AE174" i="3"/>
  <c r="N178" i="3"/>
  <c r="S178" i="3" s="1"/>
  <c r="N192" i="3"/>
  <c r="S192" i="3" s="1"/>
  <c r="T200" i="3"/>
  <c r="D8" i="6"/>
  <c r="R63" i="3"/>
  <c r="T84" i="3"/>
  <c r="AE137" i="3"/>
  <c r="N168" i="3"/>
  <c r="S168" i="3" s="1"/>
  <c r="R178" i="3"/>
  <c r="AC188" i="3"/>
  <c r="T92" i="3"/>
  <c r="AE158" i="3"/>
  <c r="AC174" i="3"/>
  <c r="Y191" i="3"/>
  <c r="AA191" i="3" s="1"/>
  <c r="AB191" i="3" s="1"/>
  <c r="N68" i="3"/>
  <c r="S68" i="3" s="1"/>
  <c r="AC89" i="3"/>
  <c r="Y114" i="3"/>
  <c r="Z114" i="3" s="1"/>
  <c r="T118" i="3"/>
  <c r="T172" i="3"/>
  <c r="N182" i="3"/>
  <c r="S182" i="3" s="1"/>
  <c r="N193" i="3"/>
  <c r="P193" i="3" s="1"/>
  <c r="Q193" i="3" s="1"/>
  <c r="AC196" i="3"/>
  <c r="AE210" i="3"/>
  <c r="AE218" i="3"/>
  <c r="AE191" i="3"/>
  <c r="AE180" i="3"/>
  <c r="AC137" i="3"/>
  <c r="R168" i="3"/>
  <c r="Y101" i="3"/>
  <c r="AA101" i="3" s="1"/>
  <c r="AB101" i="3" s="1"/>
  <c r="R172" i="3"/>
  <c r="AE185" i="3"/>
  <c r="AC218" i="3"/>
  <c r="R94" i="3"/>
  <c r="AE97" i="3"/>
  <c r="AC114" i="3"/>
  <c r="T182" i="3"/>
  <c r="R193" i="3"/>
  <c r="T133" i="3"/>
  <c r="AC159" i="3"/>
  <c r="N92" i="3"/>
  <c r="P92" i="3" s="1"/>
  <c r="Q92" i="3" s="1"/>
  <c r="AE155" i="3"/>
  <c r="F8" i="6"/>
  <c r="T64" i="3"/>
  <c r="N176" i="3"/>
  <c r="S176" i="3" s="1"/>
  <c r="R179" i="3"/>
  <c r="R186" i="3"/>
  <c r="AE219" i="3"/>
  <c r="R141" i="3"/>
  <c r="AC180" i="3"/>
  <c r="T63" i="3"/>
  <c r="T122" i="3"/>
  <c r="T168" i="3"/>
  <c r="AC185" i="3"/>
  <c r="Y102" i="3"/>
  <c r="AD102" i="3" s="1"/>
  <c r="R123" i="3"/>
  <c r="R176" i="3"/>
  <c r="T179" i="3"/>
  <c r="T196" i="3"/>
  <c r="R196" i="3"/>
  <c r="N196" i="3"/>
  <c r="O196" i="3" s="1"/>
  <c r="R149" i="3"/>
  <c r="N128" i="3"/>
  <c r="O128" i="3" s="1"/>
  <c r="T128" i="3"/>
  <c r="Y177" i="3"/>
  <c r="AD177" i="3" s="1"/>
  <c r="AC177" i="3"/>
  <c r="AE177" i="3"/>
  <c r="R76" i="3"/>
  <c r="Y94" i="3"/>
  <c r="AD94" i="3" s="1"/>
  <c r="N122" i="3"/>
  <c r="P122" i="3" s="1"/>
  <c r="Q122" i="3" s="1"/>
  <c r="R128" i="3"/>
  <c r="N136" i="3"/>
  <c r="P136" i="3" s="1"/>
  <c r="Q136" i="3" s="1"/>
  <c r="T141" i="3"/>
  <c r="N172" i="3"/>
  <c r="S172" i="3" s="1"/>
  <c r="AE183" i="3"/>
  <c r="T145" i="3"/>
  <c r="R145" i="3"/>
  <c r="T175" i="3"/>
  <c r="N175" i="3"/>
  <c r="S175" i="3" s="1"/>
  <c r="AC152" i="3"/>
  <c r="Y172" i="3"/>
  <c r="Z172" i="3" s="1"/>
  <c r="AE172" i="3"/>
  <c r="AC172" i="3"/>
  <c r="N60" i="3"/>
  <c r="O60" i="3" s="1"/>
  <c r="AC208" i="3"/>
  <c r="T66" i="3"/>
  <c r="AC178" i="3"/>
  <c r="AC197" i="3"/>
  <c r="T113" i="3"/>
  <c r="AC149" i="3"/>
  <c r="N93" i="3"/>
  <c r="O93" i="3" s="1"/>
  <c r="T100" i="3"/>
  <c r="N130" i="3"/>
  <c r="S130" i="3" s="1"/>
  <c r="AC146" i="3"/>
  <c r="AE149" i="3"/>
  <c r="R167" i="3"/>
  <c r="T167" i="3"/>
  <c r="R119" i="3"/>
  <c r="AC138" i="3"/>
  <c r="T197" i="3"/>
  <c r="N113" i="3"/>
  <c r="AC132" i="3"/>
  <c r="R184" i="3"/>
  <c r="Y81" i="3"/>
  <c r="AA81" i="3" s="1"/>
  <c r="AB81" i="3" s="1"/>
  <c r="T89" i="3"/>
  <c r="T136" i="3"/>
  <c r="N153" i="3"/>
  <c r="S153" i="3" s="1"/>
  <c r="AE181" i="3"/>
  <c r="AC217" i="3"/>
  <c r="T70" i="3"/>
  <c r="R70" i="3"/>
  <c r="N139" i="3"/>
  <c r="P139" i="3" s="1"/>
  <c r="Q139" i="3" s="1"/>
  <c r="T139" i="3"/>
  <c r="R139" i="3"/>
  <c r="T153" i="3"/>
  <c r="AE178" i="3"/>
  <c r="T130" i="3"/>
  <c r="N167" i="3"/>
  <c r="Y218" i="3"/>
  <c r="AD218" i="3" s="1"/>
  <c r="R166" i="3"/>
  <c r="AE132" i="3"/>
  <c r="Y104" i="3"/>
  <c r="Y141" i="3"/>
  <c r="Z141" i="3" s="1"/>
  <c r="N66" i="3"/>
  <c r="N119" i="3"/>
  <c r="P119" i="3" s="1"/>
  <c r="Q119" i="3" s="1"/>
  <c r="AC141" i="3"/>
  <c r="Y201" i="3"/>
  <c r="AD201" i="3" s="1"/>
  <c r="T149" i="3"/>
  <c r="T166" i="3"/>
  <c r="R108" i="3"/>
  <c r="AC157" i="3"/>
  <c r="N108" i="3"/>
  <c r="P108" i="3" s="1"/>
  <c r="Q108" i="3" s="1"/>
  <c r="AE157" i="3"/>
  <c r="N164" i="3"/>
  <c r="S164" i="3" s="1"/>
  <c r="T108" i="3"/>
  <c r="T124" i="3"/>
  <c r="AE127" i="3"/>
  <c r="AC140" i="3"/>
  <c r="Y205" i="3"/>
  <c r="Z205" i="3" s="1"/>
  <c r="Y219" i="3"/>
  <c r="AD219" i="3" s="1"/>
  <c r="Y109" i="3"/>
  <c r="AD109" i="3" s="1"/>
  <c r="R197" i="3"/>
  <c r="AE109" i="3"/>
  <c r="N184" i="3"/>
  <c r="S184" i="3" s="1"/>
  <c r="G8" i="7"/>
  <c r="AE201" i="3"/>
  <c r="N89" i="3"/>
  <c r="S89" i="3" s="1"/>
  <c r="AE138" i="3"/>
  <c r="AC181" i="3"/>
  <c r="AC160" i="3"/>
  <c r="AC130" i="3"/>
  <c r="AE188" i="3"/>
  <c r="N195" i="3"/>
  <c r="P195" i="3" s="1"/>
  <c r="Q195" i="3" s="1"/>
  <c r="N121" i="3"/>
  <c r="S121" i="3" s="1"/>
  <c r="N124" i="3"/>
  <c r="O124" i="3" s="1"/>
  <c r="AE130" i="3"/>
  <c r="AC133" i="3"/>
  <c r="T58" i="3"/>
  <c r="AE104" i="3"/>
  <c r="T148" i="3"/>
  <c r="N116" i="3"/>
  <c r="P116" i="3" s="1"/>
  <c r="Q116" i="3" s="1"/>
  <c r="R80" i="3"/>
  <c r="N87" i="3"/>
  <c r="O87" i="3" s="1"/>
  <c r="AC153" i="3"/>
  <c r="Y193" i="3"/>
  <c r="AD193" i="3" s="1"/>
  <c r="R77" i="3"/>
  <c r="AE93" i="3"/>
  <c r="N99" i="3"/>
  <c r="S99" i="3" s="1"/>
  <c r="Y108" i="3"/>
  <c r="AA108" i="3" s="1"/>
  <c r="AB108" i="3" s="1"/>
  <c r="N114" i="3"/>
  <c r="P114" i="3" s="1"/>
  <c r="Q114" i="3" s="1"/>
  <c r="R137" i="3"/>
  <c r="AE156" i="3"/>
  <c r="AC175" i="3"/>
  <c r="AC182" i="3"/>
  <c r="AE190" i="3"/>
  <c r="AC220" i="3"/>
  <c r="N65" i="3"/>
  <c r="O65" i="3" s="1"/>
  <c r="T74" i="3"/>
  <c r="T87" i="3"/>
  <c r="T99" i="3"/>
  <c r="R102" i="3"/>
  <c r="AE105" i="3"/>
  <c r="AE108" i="3"/>
  <c r="R114" i="3"/>
  <c r="T137" i="3"/>
  <c r="AC139" i="3"/>
  <c r="AC148" i="3"/>
  <c r="R151" i="3"/>
  <c r="AE153" i="3"/>
  <c r="R165" i="3"/>
  <c r="AE175" i="3"/>
  <c r="N200" i="3"/>
  <c r="Y204" i="3"/>
  <c r="Z204" i="3" s="1"/>
  <c r="AE220" i="3"/>
  <c r="AC179" i="3"/>
  <c r="AE182" i="3"/>
  <c r="AC204" i="3"/>
  <c r="AC119" i="3"/>
  <c r="N159" i="3"/>
  <c r="O159" i="3" s="1"/>
  <c r="AC184" i="3"/>
  <c r="AC187" i="3"/>
  <c r="Y209" i="3"/>
  <c r="AD209" i="3" s="1"/>
  <c r="N59" i="3"/>
  <c r="S59" i="3" s="1"/>
  <c r="N77" i="3"/>
  <c r="P77" i="3" s="1"/>
  <c r="Q77" i="3" s="1"/>
  <c r="N137" i="3"/>
  <c r="P137" i="3" s="1"/>
  <c r="Q137" i="3" s="1"/>
  <c r="AE184" i="3"/>
  <c r="AE209" i="3"/>
  <c r="T80" i="3"/>
  <c r="R129" i="3"/>
  <c r="R135" i="3"/>
  <c r="R146" i="3"/>
  <c r="T151" i="3"/>
  <c r="T162" i="3"/>
  <c r="AC167" i="3"/>
  <c r="R188" i="3"/>
  <c r="AE196" i="3"/>
  <c r="Y210" i="3"/>
  <c r="Z210" i="3" s="1"/>
  <c r="AE119" i="3"/>
  <c r="AC156" i="3"/>
  <c r="AE179" i="3"/>
  <c r="AE187" i="3"/>
  <c r="Y190" i="3"/>
  <c r="Z190" i="3" s="1"/>
  <c r="T59" i="3"/>
  <c r="R74" i="3"/>
  <c r="T65" i="3"/>
  <c r="AE148" i="3"/>
  <c r="T165" i="3"/>
  <c r="T91" i="3"/>
  <c r="AC126" i="3"/>
  <c r="T129" i="3"/>
  <c r="T135" i="3"/>
  <c r="T146" i="3"/>
  <c r="AE159" i="3"/>
  <c r="G12" i="5"/>
  <c r="G9" i="5"/>
  <c r="X3" i="1"/>
  <c r="T62" i="3"/>
  <c r="N62" i="3"/>
  <c r="N115" i="3"/>
  <c r="T115" i="3"/>
  <c r="R115" i="3"/>
  <c r="T4" i="1"/>
  <c r="B6" i="3"/>
  <c r="X19" i="1"/>
  <c r="F24" i="8"/>
  <c r="T90" i="3"/>
  <c r="R90" i="3"/>
  <c r="X23" i="1"/>
  <c r="T86" i="3"/>
  <c r="R86" i="3"/>
  <c r="AE87" i="3"/>
  <c r="AC87" i="3"/>
  <c r="Y87" i="3"/>
  <c r="N90" i="3"/>
  <c r="AC107" i="3"/>
  <c r="AE107" i="3"/>
  <c r="R72" i="3"/>
  <c r="T72" i="3"/>
  <c r="N72" i="3"/>
  <c r="Y118" i="3"/>
  <c r="AE118" i="3"/>
  <c r="AC118" i="3"/>
  <c r="S29" i="1"/>
  <c r="Y20" i="1"/>
  <c r="AC113" i="3"/>
  <c r="AE113" i="3"/>
  <c r="Y113" i="3"/>
  <c r="Y10" i="1"/>
  <c r="AE83" i="3"/>
  <c r="AC83" i="3"/>
  <c r="Y83" i="3"/>
  <c r="T109" i="3"/>
  <c r="Y12" i="1"/>
  <c r="X12" i="1"/>
  <c r="N109" i="3"/>
  <c r="Y136" i="3"/>
  <c r="AC136" i="3"/>
  <c r="Y16" i="1"/>
  <c r="X16" i="1"/>
  <c r="X4" i="1"/>
  <c r="Y4" i="1"/>
  <c r="Y11" i="1"/>
  <c r="X11" i="1"/>
  <c r="Y21" i="1"/>
  <c r="X21" i="1"/>
  <c r="N57" i="3"/>
  <c r="T57" i="3"/>
  <c r="R57" i="3"/>
  <c r="R68" i="3"/>
  <c r="AE81" i="3"/>
  <c r="T83" i="3"/>
  <c r="N83" i="3"/>
  <c r="AC103" i="3"/>
  <c r="Y103" i="3"/>
  <c r="AE103" i="3"/>
  <c r="Y116" i="3"/>
  <c r="AC116" i="3"/>
  <c r="AE116" i="3"/>
  <c r="Y154" i="3"/>
  <c r="AE154" i="3"/>
  <c r="AC154" i="3"/>
  <c r="R71" i="3"/>
  <c r="T71" i="3"/>
  <c r="N71" i="3"/>
  <c r="AE85" i="3"/>
  <c r="AC85" i="3"/>
  <c r="Y85" i="3"/>
  <c r="T111" i="3"/>
  <c r="R111" i="3"/>
  <c r="N75" i="3"/>
  <c r="R83" i="3"/>
  <c r="AE91" i="3"/>
  <c r="Y91" i="3"/>
  <c r="AC91" i="3"/>
  <c r="N111" i="3"/>
  <c r="T131" i="3"/>
  <c r="R131" i="3"/>
  <c r="Y17" i="1"/>
  <c r="R75" i="3"/>
  <c r="AC95" i="3"/>
  <c r="AE95" i="3"/>
  <c r="R100" i="3"/>
  <c r="N100" i="3"/>
  <c r="R117" i="3"/>
  <c r="N117" i="3"/>
  <c r="T117" i="3"/>
  <c r="N131" i="3"/>
  <c r="N138" i="3"/>
  <c r="T138" i="3"/>
  <c r="R138" i="3"/>
  <c r="AE88" i="3"/>
  <c r="AC98" i="3"/>
  <c r="Y98" i="3"/>
  <c r="AC100" i="3"/>
  <c r="AE100" i="3"/>
  <c r="Y100" i="3"/>
  <c r="R120" i="3"/>
  <c r="T120" i="3"/>
  <c r="Y88" i="3"/>
  <c r="N120" i="3"/>
  <c r="Y8" i="1"/>
  <c r="N67" i="3"/>
  <c r="AC88" i="3"/>
  <c r="R103" i="3"/>
  <c r="AE78" i="3"/>
  <c r="AC78" i="3"/>
  <c r="Y78" i="3"/>
  <c r="R93" i="3"/>
  <c r="AC101" i="3"/>
  <c r="N103" i="3"/>
  <c r="N61" i="3"/>
  <c r="R67" i="3"/>
  <c r="R97" i="3"/>
  <c r="T106" i="3"/>
  <c r="N58" i="3"/>
  <c r="T67" i="3"/>
  <c r="N97" i="3"/>
  <c r="T103" i="3"/>
  <c r="N106" i="3"/>
  <c r="R61" i="3"/>
  <c r="T79" i="3"/>
  <c r="R79" i="3"/>
  <c r="AE80" i="3"/>
  <c r="AC80" i="3"/>
  <c r="Y80" i="3"/>
  <c r="Y125" i="3"/>
  <c r="AE125" i="3"/>
  <c r="AC125" i="3"/>
  <c r="T127" i="3"/>
  <c r="R127" i="3"/>
  <c r="Y151" i="3"/>
  <c r="AE151" i="3"/>
  <c r="AC151" i="3"/>
  <c r="N127" i="3"/>
  <c r="N169" i="3"/>
  <c r="T169" i="3"/>
  <c r="R169" i="3"/>
  <c r="T158" i="3"/>
  <c r="R158" i="3"/>
  <c r="N158" i="3"/>
  <c r="AE123" i="3"/>
  <c r="Y129" i="3"/>
  <c r="Y166" i="3"/>
  <c r="AE166" i="3"/>
  <c r="AC166" i="3"/>
  <c r="AC195" i="3"/>
  <c r="AE195" i="3"/>
  <c r="Y195" i="3"/>
  <c r="T85" i="3"/>
  <c r="Y131" i="3"/>
  <c r="AE131" i="3"/>
  <c r="AC131" i="3"/>
  <c r="Y142" i="3"/>
  <c r="AC142" i="3"/>
  <c r="N78" i="3"/>
  <c r="N85" i="3"/>
  <c r="AE90" i="3"/>
  <c r="N96" i="3"/>
  <c r="T96" i="3"/>
  <c r="N105" i="3"/>
  <c r="AC112" i="3"/>
  <c r="AE112" i="3"/>
  <c r="Y122" i="3"/>
  <c r="AE122" i="3"/>
  <c r="N126" i="3"/>
  <c r="AC129" i="3"/>
  <c r="T155" i="3"/>
  <c r="R155" i="3"/>
  <c r="AE198" i="3"/>
  <c r="AC198" i="3"/>
  <c r="Y198" i="3"/>
  <c r="AE207" i="3"/>
  <c r="AC207" i="3"/>
  <c r="Y207" i="3"/>
  <c r="Y117" i="3"/>
  <c r="AC117" i="3"/>
  <c r="Y164" i="3"/>
  <c r="AE164" i="3"/>
  <c r="AC164" i="3"/>
  <c r="Y170" i="3"/>
  <c r="AC170" i="3"/>
  <c r="AE170" i="3"/>
  <c r="T82" i="3"/>
  <c r="R96" i="3"/>
  <c r="AC106" i="3"/>
  <c r="Y106" i="3"/>
  <c r="AE106" i="3"/>
  <c r="T126" i="3"/>
  <c r="AE129" i="3"/>
  <c r="Y162" i="3"/>
  <c r="AC162" i="3"/>
  <c r="T199" i="3"/>
  <c r="N199" i="3"/>
  <c r="AE94" i="3"/>
  <c r="AE117" i="3"/>
  <c r="Y135" i="3"/>
  <c r="AE135" i="3"/>
  <c r="AC135" i="3"/>
  <c r="R147" i="3"/>
  <c r="T147" i="3"/>
  <c r="N147" i="3"/>
  <c r="R199" i="3"/>
  <c r="R78" i="3"/>
  <c r="R85" i="3"/>
  <c r="N88" i="3"/>
  <c r="AC90" i="3"/>
  <c r="AC93" i="3"/>
  <c r="Y93" i="3"/>
  <c r="R105" i="3"/>
  <c r="T110" i="3"/>
  <c r="R110" i="3"/>
  <c r="T116" i="3"/>
  <c r="Y168" i="3"/>
  <c r="T181" i="3"/>
  <c r="R181" i="3"/>
  <c r="N181" i="3"/>
  <c r="AE82" i="3"/>
  <c r="R92" i="3"/>
  <c r="AC96" i="3"/>
  <c r="T101" i="3"/>
  <c r="N101" i="3"/>
  <c r="R104" i="3"/>
  <c r="T104" i="3"/>
  <c r="T105" i="3"/>
  <c r="R121" i="3"/>
  <c r="T60" i="3"/>
  <c r="R81" i="3"/>
  <c r="Y82" i="3"/>
  <c r="N84" i="3"/>
  <c r="R88" i="3"/>
  <c r="AE89" i="3"/>
  <c r="Y96" i="3"/>
  <c r="T98" i="3"/>
  <c r="N104" i="3"/>
  <c r="N107" i="3"/>
  <c r="Y124" i="3"/>
  <c r="AC124" i="3"/>
  <c r="AE124" i="3"/>
  <c r="T134" i="3"/>
  <c r="R134" i="3"/>
  <c r="Y147" i="3"/>
  <c r="AE147" i="3"/>
  <c r="AC147" i="3"/>
  <c r="R159" i="3"/>
  <c r="T81" i="3"/>
  <c r="T88" i="3"/>
  <c r="N91" i="3"/>
  <c r="Y145" i="3"/>
  <c r="AE145" i="3"/>
  <c r="AC145" i="3"/>
  <c r="Y167" i="3"/>
  <c r="Y171" i="3"/>
  <c r="AE171" i="3"/>
  <c r="AC171" i="3"/>
  <c r="AC82" i="3"/>
  <c r="AC92" i="3"/>
  <c r="AE92" i="3"/>
  <c r="R98" i="3"/>
  <c r="R107" i="3"/>
  <c r="Y121" i="3"/>
  <c r="AE121" i="3"/>
  <c r="AC121" i="3"/>
  <c r="T125" i="3"/>
  <c r="R125" i="3"/>
  <c r="N144" i="3"/>
  <c r="R185" i="3"/>
  <c r="N185" i="3"/>
  <c r="T185" i="3"/>
  <c r="AA28" i="4"/>
  <c r="N173" i="3"/>
  <c r="R173" i="3"/>
  <c r="N143" i="3"/>
  <c r="Y144" i="3"/>
  <c r="AE144" i="3"/>
  <c r="AC144" i="3"/>
  <c r="T173" i="3"/>
  <c r="AE86" i="3"/>
  <c r="N140" i="3"/>
  <c r="R150" i="3"/>
  <c r="N76" i="3"/>
  <c r="AE79" i="3"/>
  <c r="Y86" i="3"/>
  <c r="Y99" i="3"/>
  <c r="T102" i="3"/>
  <c r="AC111" i="3"/>
  <c r="AE111" i="3"/>
  <c r="Y128" i="3"/>
  <c r="AE128" i="3"/>
  <c r="T157" i="3"/>
  <c r="R157" i="3"/>
  <c r="AE215" i="3"/>
  <c r="AC215" i="3"/>
  <c r="R143" i="3"/>
  <c r="T150" i="3"/>
  <c r="T160" i="3"/>
  <c r="Y161" i="3"/>
  <c r="AC161" i="3"/>
  <c r="T143" i="3"/>
  <c r="R177" i="3"/>
  <c r="N177" i="3"/>
  <c r="T140" i="3"/>
  <c r="Y146" i="3"/>
  <c r="Y152" i="3"/>
  <c r="AC155" i="3"/>
  <c r="AC110" i="3"/>
  <c r="AE110" i="3"/>
  <c r="Y110" i="3"/>
  <c r="Y134" i="3"/>
  <c r="AC134" i="3"/>
  <c r="Y165" i="3"/>
  <c r="AE165" i="3"/>
  <c r="T170" i="3"/>
  <c r="AE84" i="3"/>
  <c r="AE99" i="3"/>
  <c r="N118" i="3"/>
  <c r="T123" i="3"/>
  <c r="R154" i="3"/>
  <c r="N154" i="3"/>
  <c r="R160" i="3"/>
  <c r="AE77" i="3"/>
  <c r="Y84" i="3"/>
  <c r="Y97" i="3"/>
  <c r="N132" i="3"/>
  <c r="R133" i="3"/>
  <c r="AE134" i="3"/>
  <c r="Y140" i="3"/>
  <c r="AE140" i="3"/>
  <c r="R142" i="3"/>
  <c r="N142" i="3"/>
  <c r="R164" i="3"/>
  <c r="AC165" i="3"/>
  <c r="T177" i="3"/>
  <c r="AE200" i="3"/>
  <c r="AC200" i="3"/>
  <c r="Y200" i="3"/>
  <c r="AE193" i="3"/>
  <c r="R187" i="3"/>
  <c r="N187" i="3"/>
  <c r="R192" i="3"/>
  <c r="R180" i="3"/>
  <c r="T180" i="3"/>
  <c r="N180" i="3"/>
  <c r="T187" i="3"/>
  <c r="R194" i="3"/>
  <c r="N194" i="3"/>
  <c r="Y212" i="3"/>
  <c r="F19" i="8"/>
  <c r="N183" i="3"/>
  <c r="T192" i="3"/>
  <c r="T194" i="3"/>
  <c r="AE199" i="3"/>
  <c r="AC199" i="3"/>
  <c r="T163" i="3"/>
  <c r="Y199" i="3"/>
  <c r="AC212" i="3"/>
  <c r="T176" i="3"/>
  <c r="T191" i="3"/>
  <c r="R191" i="3"/>
  <c r="AE192" i="3"/>
  <c r="Y192" i="3"/>
  <c r="AC192" i="3"/>
  <c r="AE212" i="3"/>
  <c r="AC150" i="3"/>
  <c r="N152" i="3"/>
  <c r="T156" i="3"/>
  <c r="T171" i="3"/>
  <c r="R171" i="3"/>
  <c r="R183" i="3"/>
  <c r="N191" i="3"/>
  <c r="T183" i="3"/>
  <c r="AE150" i="3"/>
  <c r="R152" i="3"/>
  <c r="R163" i="3"/>
  <c r="R175" i="3"/>
  <c r="Y189" i="3"/>
  <c r="N198" i="3"/>
  <c r="T198" i="3"/>
  <c r="R198" i="3"/>
  <c r="AC202" i="3"/>
  <c r="AC169" i="3"/>
  <c r="AC189" i="3"/>
  <c r="Y196" i="3"/>
  <c r="Y206" i="3"/>
  <c r="F15" i="8"/>
  <c r="F9" i="8"/>
  <c r="N141" i="3"/>
  <c r="Y143" i="3"/>
  <c r="AC143" i="3"/>
  <c r="AE143" i="3"/>
  <c r="T152" i="3"/>
  <c r="AE202" i="3"/>
  <c r="Y105" i="3"/>
  <c r="AE120" i="3"/>
  <c r="AC127" i="3"/>
  <c r="AE133" i="3"/>
  <c r="AE139" i="3"/>
  <c r="R156" i="3"/>
  <c r="AE160" i="3"/>
  <c r="N162" i="3"/>
  <c r="Y163" i="3"/>
  <c r="AE163" i="3"/>
  <c r="AC163" i="3"/>
  <c r="AE169" i="3"/>
  <c r="T174" i="3"/>
  <c r="R174" i="3"/>
  <c r="R182" i="3"/>
  <c r="AE206" i="3"/>
  <c r="F14" i="8"/>
  <c r="R190" i="3"/>
  <c r="N186" i="3"/>
  <c r="N190" i="3"/>
  <c r="Y217" i="3"/>
  <c r="F21" i="8"/>
  <c r="AC214" i="3"/>
  <c r="T186" i="3"/>
  <c r="T190" i="3"/>
  <c r="AE211" i="3"/>
  <c r="Y211" i="3"/>
  <c r="AE217" i="3"/>
  <c r="R189" i="3"/>
  <c r="N189" i="3"/>
  <c r="AE205" i="3"/>
  <c r="AC205" i="3"/>
  <c r="AE214" i="3"/>
  <c r="AC203" i="3"/>
  <c r="Y203" i="3"/>
  <c r="Y208" i="3"/>
  <c r="Y213" i="3"/>
  <c r="R195" i="3"/>
  <c r="AE208" i="3"/>
  <c r="AE216" i="3"/>
  <c r="Y216" i="3"/>
  <c r="N188" i="3"/>
  <c r="Y197" i="3"/>
  <c r="AE213" i="3"/>
  <c r="Z9" i="10"/>
  <c r="D8" i="7"/>
  <c r="F8" i="7"/>
  <c r="G8" i="6"/>
  <c r="H33" i="11"/>
  <c r="H16" i="11"/>
  <c r="H30" i="11"/>
  <c r="H32" i="11"/>
  <c r="H31" i="11"/>
  <c r="H34" i="11"/>
  <c r="Z8" i="13"/>
  <c r="Q17" i="15" l="1"/>
  <c r="Q25" i="15"/>
  <c r="Q24" i="15"/>
  <c r="Q22" i="15"/>
  <c r="Q17" i="14"/>
  <c r="Q24" i="14"/>
  <c r="Q16" i="14"/>
  <c r="Q25" i="14"/>
  <c r="Q22" i="14"/>
  <c r="W207" i="4"/>
  <c r="W129" i="4"/>
  <c r="W135" i="4"/>
  <c r="W142" i="4"/>
  <c r="W183" i="4"/>
  <c r="W115" i="4"/>
  <c r="Q20" i="9"/>
  <c r="Q17" i="12"/>
  <c r="Q21" i="9"/>
  <c r="Q22" i="9"/>
  <c r="Q19" i="12"/>
  <c r="R19" i="12"/>
  <c r="Q22" i="12"/>
  <c r="R22" i="12"/>
  <c r="Q21" i="12"/>
  <c r="R21" i="12"/>
  <c r="AA30" i="4"/>
  <c r="H23" i="15" s="1"/>
  <c r="I23" i="15" s="1"/>
  <c r="D36" i="1"/>
  <c r="Q19" i="9"/>
  <c r="Q20" i="12"/>
  <c r="R20" i="12"/>
  <c r="Q18" i="9"/>
  <c r="R18" i="9"/>
  <c r="Q18" i="12"/>
  <c r="R18" i="12"/>
  <c r="Q22" i="7"/>
  <c r="W79" i="4"/>
  <c r="W166" i="4"/>
  <c r="W84" i="4"/>
  <c r="W206" i="4"/>
  <c r="W103" i="4"/>
  <c r="W112" i="4"/>
  <c r="W133" i="4"/>
  <c r="W179" i="4"/>
  <c r="W122" i="4"/>
  <c r="W91" i="4"/>
  <c r="W154" i="4"/>
  <c r="W182" i="4"/>
  <c r="W97" i="4"/>
  <c r="W119" i="4"/>
  <c r="W145" i="4"/>
  <c r="W158" i="4"/>
  <c r="W160" i="4"/>
  <c r="W165" i="4"/>
  <c r="W92" i="4"/>
  <c r="W121" i="4"/>
  <c r="W99" i="4"/>
  <c r="W144" i="4"/>
  <c r="W120" i="4"/>
  <c r="W118" i="4"/>
  <c r="W105" i="4"/>
  <c r="W180" i="4"/>
  <c r="W194" i="4"/>
  <c r="W139" i="4"/>
  <c r="W117" i="4"/>
  <c r="W96" i="4"/>
  <c r="W113" i="4"/>
  <c r="W149" i="4"/>
  <c r="W82" i="4"/>
  <c r="W156" i="4"/>
  <c r="W185" i="4"/>
  <c r="W199" i="4"/>
  <c r="W132" i="4"/>
  <c r="W164" i="4"/>
  <c r="W93" i="4"/>
  <c r="W186" i="4"/>
  <c r="W146" i="4"/>
  <c r="W202" i="4"/>
  <c r="W151" i="4"/>
  <c r="W155" i="4"/>
  <c r="W197" i="4"/>
  <c r="W191" i="4"/>
  <c r="W157" i="4"/>
  <c r="W215" i="4"/>
  <c r="W83" i="4"/>
  <c r="W141" i="4"/>
  <c r="W88" i="4"/>
  <c r="W116" i="4"/>
  <c r="W214" i="4"/>
  <c r="W211" i="4"/>
  <c r="W125" i="4"/>
  <c r="W203" i="4"/>
  <c r="W143" i="4"/>
  <c r="W148" i="4"/>
  <c r="W138" i="4"/>
  <c r="W94" i="4"/>
  <c r="W87" i="4"/>
  <c r="W86" i="4"/>
  <c r="W210" i="4"/>
  <c r="W190" i="4"/>
  <c r="H26" i="6"/>
  <c r="I26" i="6" s="1"/>
  <c r="W137" i="4"/>
  <c r="W175" i="4"/>
  <c r="W168" i="4"/>
  <c r="W201" i="4"/>
  <c r="W161" i="4"/>
  <c r="W126" i="4"/>
  <c r="W205" i="4"/>
  <c r="W169" i="4"/>
  <c r="W136" i="4"/>
  <c r="W189" i="4"/>
  <c r="W200" i="4"/>
  <c r="W123" i="4"/>
  <c r="W204" i="4"/>
  <c r="W152" i="4"/>
  <c r="W192" i="4"/>
  <c r="W90" i="4"/>
  <c r="W159" i="4"/>
  <c r="W98" i="4"/>
  <c r="W163" i="4"/>
  <c r="W80" i="4"/>
  <c r="W85" i="4"/>
  <c r="W176" i="4"/>
  <c r="W213" i="4"/>
  <c r="W140" i="4"/>
  <c r="W127" i="4"/>
  <c r="W114" i="4"/>
  <c r="W108" i="4"/>
  <c r="W107" i="4"/>
  <c r="W36" i="4"/>
  <c r="W27" i="4"/>
  <c r="W67" i="4"/>
  <c r="W68" i="4"/>
  <c r="W41" i="4"/>
  <c r="W66" i="4"/>
  <c r="W22" i="4"/>
  <c r="W72" i="4"/>
  <c r="W63" i="4"/>
  <c r="W46" i="4"/>
  <c r="W37" i="4"/>
  <c r="W52" i="4"/>
  <c r="W58" i="4"/>
  <c r="W56" i="4"/>
  <c r="W71" i="4"/>
  <c r="W32" i="4"/>
  <c r="W62" i="4"/>
  <c r="W33" i="4"/>
  <c r="W51" i="4"/>
  <c r="W47" i="4"/>
  <c r="W21" i="4"/>
  <c r="W61" i="4"/>
  <c r="W53" i="4"/>
  <c r="W31" i="4"/>
  <c r="W73" i="4"/>
  <c r="W26" i="4"/>
  <c r="W42" i="4"/>
  <c r="W57" i="4"/>
  <c r="W43" i="4"/>
  <c r="W38" i="4"/>
  <c r="W23" i="4"/>
  <c r="W28" i="4"/>
  <c r="W48" i="4"/>
  <c r="W64" i="4"/>
  <c r="W50" i="4"/>
  <c r="W24" i="4"/>
  <c r="W35" i="4"/>
  <c r="W30" i="4"/>
  <c r="W19" i="4"/>
  <c r="W70" i="4"/>
  <c r="W25" i="4"/>
  <c r="W29" i="4"/>
  <c r="W40" i="4"/>
  <c r="W39" i="4"/>
  <c r="W45" i="4"/>
  <c r="W20" i="4"/>
  <c r="W44" i="4"/>
  <c r="W69" i="4"/>
  <c r="W55" i="4"/>
  <c r="W54" i="4"/>
  <c r="W59" i="4"/>
  <c r="W49" i="4"/>
  <c r="W60" i="4"/>
  <c r="W65" i="4"/>
  <c r="W34" i="4"/>
  <c r="W170" i="4"/>
  <c r="W124" i="4"/>
  <c r="W174" i="4"/>
  <c r="W81" i="4"/>
  <c r="W100" i="4"/>
  <c r="W172" i="4"/>
  <c r="W193" i="4"/>
  <c r="W181" i="4"/>
  <c r="W111" i="4"/>
  <c r="W198" i="4"/>
  <c r="W110" i="4"/>
  <c r="W209" i="4"/>
  <c r="W212" i="4"/>
  <c r="W106" i="4"/>
  <c r="W188" i="4"/>
  <c r="W150" i="4"/>
  <c r="W171" i="4"/>
  <c r="W89" i="4"/>
  <c r="W195" i="4"/>
  <c r="W217" i="4"/>
  <c r="W177" i="4"/>
  <c r="W167" i="4"/>
  <c r="W178" i="4"/>
  <c r="W162" i="4"/>
  <c r="W101" i="4"/>
  <c r="W130" i="4"/>
  <c r="W216" i="4"/>
  <c r="W109" i="4"/>
  <c r="W104" i="4"/>
  <c r="W173" i="4"/>
  <c r="W153" i="4"/>
  <c r="W187" i="4"/>
  <c r="W128" i="4"/>
  <c r="W147" i="4"/>
  <c r="W78" i="4"/>
  <c r="W102" i="4"/>
  <c r="W196" i="4"/>
  <c r="W134" i="4"/>
  <c r="W95" i="4"/>
  <c r="W131" i="4"/>
  <c r="W184" i="4"/>
  <c r="AD111" i="3"/>
  <c r="D10" i="10"/>
  <c r="D9" i="12"/>
  <c r="T5" i="5"/>
  <c r="P151" i="3"/>
  <c r="Q151" i="3" s="1"/>
  <c r="Z150" i="3"/>
  <c r="AA92" i="3"/>
  <c r="AB92" i="3" s="1"/>
  <c r="AA150" i="3"/>
  <c r="AB150" i="3" s="1"/>
  <c r="P165" i="3"/>
  <c r="Q165" i="3" s="1"/>
  <c r="O73" i="3"/>
  <c r="Z169" i="3"/>
  <c r="Z155" i="3"/>
  <c r="O165" i="3"/>
  <c r="AD184" i="3"/>
  <c r="O155" i="3"/>
  <c r="P179" i="3"/>
  <c r="Q179" i="3" s="1"/>
  <c r="Z107" i="3"/>
  <c r="AD107" i="3"/>
  <c r="S179" i="3"/>
  <c r="AA111" i="3"/>
  <c r="AB111" i="3" s="1"/>
  <c r="Z157" i="3"/>
  <c r="Z215" i="3"/>
  <c r="AA188" i="3"/>
  <c r="AB188" i="3" s="1"/>
  <c r="AA215" i="3"/>
  <c r="AB215" i="3" s="1"/>
  <c r="S133" i="3"/>
  <c r="AA158" i="3"/>
  <c r="AB158" i="3" s="1"/>
  <c r="S81" i="3"/>
  <c r="S174" i="3"/>
  <c r="O171" i="3"/>
  <c r="AD183" i="3"/>
  <c r="Z179" i="3"/>
  <c r="AA179" i="3"/>
  <c r="AB179" i="3" s="1"/>
  <c r="Z220" i="3"/>
  <c r="P174" i="3"/>
  <c r="Q174" i="3" s="1"/>
  <c r="AA178" i="3"/>
  <c r="AB178" i="3" s="1"/>
  <c r="P171" i="3"/>
  <c r="Q171" i="3" s="1"/>
  <c r="S150" i="3"/>
  <c r="S129" i="3"/>
  <c r="AD92" i="3"/>
  <c r="Z182" i="3"/>
  <c r="S98" i="3"/>
  <c r="O98" i="3"/>
  <c r="S102" i="3"/>
  <c r="AA112" i="3"/>
  <c r="AB112" i="3" s="1"/>
  <c r="Z112" i="3"/>
  <c r="AD174" i="3"/>
  <c r="O133" i="3"/>
  <c r="AD160" i="3"/>
  <c r="AA174" i="3"/>
  <c r="AB174" i="3" s="1"/>
  <c r="Z178" i="3"/>
  <c r="AA119" i="3"/>
  <c r="AB119" i="3" s="1"/>
  <c r="Z119" i="3"/>
  <c r="Z180" i="3"/>
  <c r="AA180" i="3"/>
  <c r="AB180" i="3" s="1"/>
  <c r="P110" i="3"/>
  <c r="Q110" i="3" s="1"/>
  <c r="AD148" i="3"/>
  <c r="P160" i="3"/>
  <c r="Q160" i="3" s="1"/>
  <c r="P150" i="3"/>
  <c r="Q150" i="3" s="1"/>
  <c r="O160" i="3"/>
  <c r="P197" i="3"/>
  <c r="Q197" i="3" s="1"/>
  <c r="AD158" i="3"/>
  <c r="P148" i="3"/>
  <c r="Q148" i="3" s="1"/>
  <c r="AD187" i="3"/>
  <c r="O63" i="3"/>
  <c r="AA169" i="3"/>
  <c r="AB169" i="3" s="1"/>
  <c r="AD132" i="3"/>
  <c r="O149" i="3"/>
  <c r="AA149" i="3"/>
  <c r="AB149" i="3" s="1"/>
  <c r="AA139" i="3"/>
  <c r="AB139" i="3" s="1"/>
  <c r="P149" i="3"/>
  <c r="Q149" i="3" s="1"/>
  <c r="Z184" i="3"/>
  <c r="O197" i="3"/>
  <c r="Z153" i="3"/>
  <c r="AA187" i="3"/>
  <c r="AB187" i="3" s="1"/>
  <c r="P79" i="3"/>
  <c r="Q79" i="3" s="1"/>
  <c r="S166" i="3"/>
  <c r="S95" i="3"/>
  <c r="P81" i="3"/>
  <c r="Q81" i="3" s="1"/>
  <c r="O166" i="3"/>
  <c r="P163" i="3"/>
  <c r="Q163" i="3" s="1"/>
  <c r="Z148" i="3"/>
  <c r="AD139" i="3"/>
  <c r="O102" i="3"/>
  <c r="AD133" i="3"/>
  <c r="AA133" i="3"/>
  <c r="AB133" i="3" s="1"/>
  <c r="O94" i="3"/>
  <c r="P129" i="3"/>
  <c r="Q129" i="3" s="1"/>
  <c r="Z156" i="3"/>
  <c r="AD153" i="3"/>
  <c r="AA202" i="3"/>
  <c r="AB202" i="3" s="1"/>
  <c r="AD188" i="3"/>
  <c r="AD202" i="3"/>
  <c r="AA126" i="3"/>
  <c r="AB126" i="3" s="1"/>
  <c r="O151" i="3"/>
  <c r="P135" i="3"/>
  <c r="Q135" i="3" s="1"/>
  <c r="O156" i="3"/>
  <c r="P156" i="3"/>
  <c r="Q156" i="3" s="1"/>
  <c r="O125" i="3"/>
  <c r="O135" i="3"/>
  <c r="AD126" i="3"/>
  <c r="S125" i="3"/>
  <c r="P86" i="3"/>
  <c r="Q86" i="3" s="1"/>
  <c r="P155" i="3"/>
  <c r="Q155" i="3" s="1"/>
  <c r="AA157" i="3"/>
  <c r="AB157" i="3" s="1"/>
  <c r="D10" i="9"/>
  <c r="D12" i="10"/>
  <c r="D9" i="9"/>
  <c r="D9" i="10"/>
  <c r="D14" i="10"/>
  <c r="O25" i="11"/>
  <c r="O20" i="11" s="1"/>
  <c r="D19" i="10"/>
  <c r="D18" i="10"/>
  <c r="D13" i="10"/>
  <c r="R3" i="8"/>
  <c r="D16" i="10"/>
  <c r="D15" i="10"/>
  <c r="R4" i="8"/>
  <c r="O25" i="8"/>
  <c r="O20" i="8" s="1"/>
  <c r="AA123" i="3"/>
  <c r="AB123" i="3" s="1"/>
  <c r="AA186" i="3"/>
  <c r="AB186" i="3" s="1"/>
  <c r="P146" i="3"/>
  <c r="Q146" i="3" s="1"/>
  <c r="Z123" i="3"/>
  <c r="AA95" i="3"/>
  <c r="AB95" i="3" s="1"/>
  <c r="AA159" i="3"/>
  <c r="AB159" i="3" s="1"/>
  <c r="P73" i="3"/>
  <c r="Q73" i="3" s="1"/>
  <c r="O86" i="3"/>
  <c r="AD120" i="3"/>
  <c r="P94" i="3"/>
  <c r="Q94" i="3" s="1"/>
  <c r="AA132" i="3"/>
  <c r="AB132" i="3" s="1"/>
  <c r="Z95" i="3"/>
  <c r="AA130" i="3"/>
  <c r="AB130" i="3" s="1"/>
  <c r="AA155" i="3"/>
  <c r="AB155" i="3" s="1"/>
  <c r="AD138" i="3"/>
  <c r="S146" i="3"/>
  <c r="Z89" i="3"/>
  <c r="Z77" i="3"/>
  <c r="P80" i="3"/>
  <c r="Q80" i="3" s="1"/>
  <c r="AA175" i="3"/>
  <c r="AB175" i="3" s="1"/>
  <c r="Z176" i="3"/>
  <c r="AA160" i="3"/>
  <c r="AB160" i="3" s="1"/>
  <c r="AD149" i="3"/>
  <c r="AD159" i="3"/>
  <c r="O110" i="3"/>
  <c r="O74" i="3"/>
  <c r="AA89" i="3"/>
  <c r="AB89" i="3" s="1"/>
  <c r="Z90" i="3"/>
  <c r="AA183" i="3"/>
  <c r="AB183" i="3" s="1"/>
  <c r="O134" i="3"/>
  <c r="O95" i="3"/>
  <c r="AD90" i="3"/>
  <c r="AD137" i="3"/>
  <c r="S123" i="3"/>
  <c r="O64" i="3"/>
  <c r="S163" i="3"/>
  <c r="S74" i="3"/>
  <c r="AD127" i="3"/>
  <c r="S63" i="3"/>
  <c r="O80" i="3"/>
  <c r="AA156" i="3"/>
  <c r="AB156" i="3" s="1"/>
  <c r="P157" i="3"/>
  <c r="Q157" i="3" s="1"/>
  <c r="P134" i="3"/>
  <c r="Q134" i="3" s="1"/>
  <c r="O70" i="3"/>
  <c r="AD130" i="3"/>
  <c r="AD181" i="3"/>
  <c r="AD173" i="3"/>
  <c r="AD182" i="3"/>
  <c r="P123" i="3"/>
  <c r="Q123" i="3" s="1"/>
  <c r="AA185" i="3"/>
  <c r="AB185" i="3" s="1"/>
  <c r="AA214" i="3"/>
  <c r="AB214" i="3" s="1"/>
  <c r="S70" i="3"/>
  <c r="AD77" i="3"/>
  <c r="Z175" i="3"/>
  <c r="P64" i="3"/>
  <c r="Q64" i="3" s="1"/>
  <c r="AD186" i="3"/>
  <c r="O157" i="3"/>
  <c r="Z185" i="3"/>
  <c r="AA220" i="3"/>
  <c r="AB220" i="3" s="1"/>
  <c r="AD214" i="3"/>
  <c r="O148" i="3"/>
  <c r="Z181" i="3"/>
  <c r="AA120" i="3"/>
  <c r="AB120" i="3" s="1"/>
  <c r="AD176" i="3"/>
  <c r="O145" i="3"/>
  <c r="AA138" i="3"/>
  <c r="AB138" i="3" s="1"/>
  <c r="AA137" i="3"/>
  <c r="AB137" i="3" s="1"/>
  <c r="O79" i="3"/>
  <c r="AA127" i="3"/>
  <c r="AB127" i="3" s="1"/>
  <c r="P145" i="3"/>
  <c r="Q145" i="3" s="1"/>
  <c r="AA173" i="3"/>
  <c r="AB173" i="3" s="1"/>
  <c r="T4" i="5"/>
  <c r="P25" i="5"/>
  <c r="P20" i="5" s="1"/>
  <c r="AA17" i="12"/>
  <c r="S17" i="12" s="1"/>
  <c r="AA19" i="12"/>
  <c r="S19" i="12" s="1"/>
  <c r="AA20" i="12"/>
  <c r="S20" i="12" s="1"/>
  <c r="AA21" i="12"/>
  <c r="S21" i="12" s="1"/>
  <c r="AA18" i="12"/>
  <c r="S18" i="12" s="1"/>
  <c r="AA22" i="12"/>
  <c r="S22" i="12" s="1"/>
  <c r="AD115" i="3"/>
  <c r="Z101" i="3"/>
  <c r="AD79" i="3"/>
  <c r="S170" i="3"/>
  <c r="Z94" i="3"/>
  <c r="AA115" i="3"/>
  <c r="AB115" i="3" s="1"/>
  <c r="AA114" i="3"/>
  <c r="AB114" i="3" s="1"/>
  <c r="P170" i="3"/>
  <c r="Q170" i="3" s="1"/>
  <c r="AD191" i="3"/>
  <c r="AA102" i="3"/>
  <c r="AB102" i="3" s="1"/>
  <c r="O192" i="3"/>
  <c r="S82" i="3"/>
  <c r="O122" i="3"/>
  <c r="P192" i="3"/>
  <c r="Q192" i="3" s="1"/>
  <c r="S119" i="3"/>
  <c r="AA205" i="3"/>
  <c r="AB205" i="3" s="1"/>
  <c r="AD114" i="3"/>
  <c r="O195" i="3"/>
  <c r="O172" i="3"/>
  <c r="O69" i="3"/>
  <c r="Z191" i="3"/>
  <c r="Z79" i="3"/>
  <c r="O178" i="3"/>
  <c r="P69" i="3"/>
  <c r="Q69" i="3" s="1"/>
  <c r="O92" i="3"/>
  <c r="O168" i="3"/>
  <c r="O82" i="3"/>
  <c r="P178" i="3"/>
  <c r="Q178" i="3" s="1"/>
  <c r="AA218" i="3"/>
  <c r="AB218" i="3" s="1"/>
  <c r="S92" i="3"/>
  <c r="P172" i="3"/>
  <c r="Q172" i="3" s="1"/>
  <c r="P121" i="3"/>
  <c r="Q121" i="3" s="1"/>
  <c r="AC8" i="10"/>
  <c r="Z8" i="9"/>
  <c r="AC8" i="9"/>
  <c r="O68" i="3"/>
  <c r="P68" i="3"/>
  <c r="Q68" i="3" s="1"/>
  <c r="Z102" i="3"/>
  <c r="P112" i="3"/>
  <c r="Q112" i="3" s="1"/>
  <c r="S114" i="3"/>
  <c r="O114" i="3"/>
  <c r="AD194" i="3"/>
  <c r="O112" i="3"/>
  <c r="AA109" i="3"/>
  <c r="AB109" i="3" s="1"/>
  <c r="AA194" i="3"/>
  <c r="AB194" i="3" s="1"/>
  <c r="S116" i="3"/>
  <c r="W18" i="4"/>
  <c r="O176" i="3"/>
  <c r="AA94" i="3"/>
  <c r="AB94" i="3" s="1"/>
  <c r="P182" i="3"/>
  <c r="Q182" i="3" s="1"/>
  <c r="S195" i="3"/>
  <c r="O182" i="3"/>
  <c r="P161" i="3"/>
  <c r="Q161" i="3" s="1"/>
  <c r="S159" i="3"/>
  <c r="AA209" i="3"/>
  <c r="AB209" i="3" s="1"/>
  <c r="O136" i="3"/>
  <c r="S136" i="3"/>
  <c r="P159" i="3"/>
  <c r="Q159" i="3" s="1"/>
  <c r="S161" i="3"/>
  <c r="AD210" i="3"/>
  <c r="P60" i="3"/>
  <c r="Q60" i="3" s="1"/>
  <c r="O153" i="3"/>
  <c r="P153" i="3"/>
  <c r="Q153" i="3" s="1"/>
  <c r="S60" i="3"/>
  <c r="P168" i="3"/>
  <c r="Q168" i="3" s="1"/>
  <c r="O119" i="3"/>
  <c r="P59" i="3"/>
  <c r="Q59" i="3" s="1"/>
  <c r="AD190" i="3"/>
  <c r="P128" i="3"/>
  <c r="Q128" i="3" s="1"/>
  <c r="P176" i="3"/>
  <c r="Q176" i="3" s="1"/>
  <c r="P65" i="3"/>
  <c r="Q65" i="3" s="1"/>
  <c r="S193" i="3"/>
  <c r="AD101" i="3"/>
  <c r="P130" i="3"/>
  <c r="Q130" i="3" s="1"/>
  <c r="O116" i="3"/>
  <c r="O193" i="3"/>
  <c r="P196" i="3"/>
  <c r="Q196" i="3" s="1"/>
  <c r="Z81" i="3"/>
  <c r="Z219" i="3"/>
  <c r="AA204" i="3"/>
  <c r="AB204" i="3" s="1"/>
  <c r="Z209" i="3"/>
  <c r="AA172" i="3"/>
  <c r="AB172" i="3" s="1"/>
  <c r="P93" i="3"/>
  <c r="Q93" i="3" s="1"/>
  <c r="AA193" i="3"/>
  <c r="AB193" i="3" s="1"/>
  <c r="S93" i="3"/>
  <c r="Z193" i="3"/>
  <c r="AA219" i="3"/>
  <c r="AB219" i="3" s="1"/>
  <c r="O121" i="3"/>
  <c r="AD204" i="3"/>
  <c r="Z201" i="3"/>
  <c r="AA201" i="3"/>
  <c r="AB201" i="3" s="1"/>
  <c r="Z109" i="3"/>
  <c r="AD205" i="3"/>
  <c r="S124" i="3"/>
  <c r="Z218" i="3"/>
  <c r="W75" i="4"/>
  <c r="I46" i="5"/>
  <c r="S65" i="3"/>
  <c r="S87" i="3"/>
  <c r="I38" i="5"/>
  <c r="I49" i="5"/>
  <c r="I43" i="5"/>
  <c r="I48" i="5"/>
  <c r="O59" i="3"/>
  <c r="AD172" i="3"/>
  <c r="AA210" i="3"/>
  <c r="AB210" i="3" s="1"/>
  <c r="O77" i="3"/>
  <c r="O99" i="3"/>
  <c r="P99" i="3"/>
  <c r="Q99" i="3" s="1"/>
  <c r="P113" i="3"/>
  <c r="Q113" i="3" s="1"/>
  <c r="S113" i="3"/>
  <c r="S77" i="3"/>
  <c r="Z177" i="3"/>
  <c r="O137" i="3"/>
  <c r="S108" i="3"/>
  <c r="O108" i="3"/>
  <c r="O113" i="3"/>
  <c r="S137" i="3"/>
  <c r="P200" i="3"/>
  <c r="Q200" i="3" s="1"/>
  <c r="S200" i="3"/>
  <c r="O200" i="3"/>
  <c r="S122" i="3"/>
  <c r="P87" i="3"/>
  <c r="Q87" i="3" s="1"/>
  <c r="S139" i="3"/>
  <c r="AA104" i="3"/>
  <c r="AB104" i="3" s="1"/>
  <c r="AD104" i="3"/>
  <c r="S128" i="3"/>
  <c r="O175" i="3"/>
  <c r="O89" i="3"/>
  <c r="S167" i="3"/>
  <c r="P167" i="3"/>
  <c r="Q167" i="3" s="1"/>
  <c r="O167" i="3"/>
  <c r="O164" i="3"/>
  <c r="P164" i="3"/>
  <c r="Q164" i="3" s="1"/>
  <c r="AD108" i="3"/>
  <c r="O139" i="3"/>
  <c r="AD81" i="3"/>
  <c r="Z104" i="3"/>
  <c r="Z108" i="3"/>
  <c r="AA190" i="3"/>
  <c r="AB190" i="3" s="1"/>
  <c r="P184" i="3"/>
  <c r="Q184" i="3" s="1"/>
  <c r="P66" i="3"/>
  <c r="Q66" i="3" s="1"/>
  <c r="S66" i="3"/>
  <c r="O66" i="3"/>
  <c r="O130" i="3"/>
  <c r="P124" i="3"/>
  <c r="Q124" i="3" s="1"/>
  <c r="S196" i="3"/>
  <c r="P89" i="3"/>
  <c r="Q89" i="3" s="1"/>
  <c r="P175" i="3"/>
  <c r="Q175" i="3" s="1"/>
  <c r="AA177" i="3"/>
  <c r="AB177" i="3" s="1"/>
  <c r="O184" i="3"/>
  <c r="AA141" i="3"/>
  <c r="AB141" i="3" s="1"/>
  <c r="AD141" i="3"/>
  <c r="W76" i="4"/>
  <c r="I42" i="5"/>
  <c r="I41" i="5"/>
  <c r="W77" i="4"/>
  <c r="I34" i="5"/>
  <c r="I50" i="5"/>
  <c r="I45" i="5"/>
  <c r="W74" i="4"/>
  <c r="I44" i="5"/>
  <c r="S71" i="3"/>
  <c r="P71" i="3"/>
  <c r="Q71" i="3" s="1"/>
  <c r="O71" i="3"/>
  <c r="AA87" i="3"/>
  <c r="AB87" i="3" s="1"/>
  <c r="Z87" i="3"/>
  <c r="AD87" i="3"/>
  <c r="P194" i="3"/>
  <c r="Q194" i="3" s="1"/>
  <c r="O194" i="3"/>
  <c r="S194" i="3"/>
  <c r="AA84" i="3"/>
  <c r="AB84" i="3" s="1"/>
  <c r="AD84" i="3"/>
  <c r="Z84" i="3"/>
  <c r="S185" i="3"/>
  <c r="P185" i="3"/>
  <c r="Q185" i="3" s="1"/>
  <c r="O185" i="3"/>
  <c r="S84" i="3"/>
  <c r="P84" i="3"/>
  <c r="Q84" i="3" s="1"/>
  <c r="O84" i="3"/>
  <c r="Z195" i="3"/>
  <c r="AA195" i="3"/>
  <c r="AB195" i="3" s="1"/>
  <c r="AD195" i="3"/>
  <c r="AA80" i="3"/>
  <c r="AB80" i="3" s="1"/>
  <c r="Z80" i="3"/>
  <c r="AD80" i="3"/>
  <c r="S72" i="3"/>
  <c r="P72" i="3"/>
  <c r="Q72" i="3" s="1"/>
  <c r="O72" i="3"/>
  <c r="AD97" i="3"/>
  <c r="AA97" i="3"/>
  <c r="AB97" i="3" s="1"/>
  <c r="Z97" i="3"/>
  <c r="O188" i="3"/>
  <c r="S188" i="3"/>
  <c r="P188" i="3"/>
  <c r="Q188" i="3" s="1"/>
  <c r="S186" i="3"/>
  <c r="O186" i="3"/>
  <c r="P186" i="3"/>
  <c r="Q186" i="3" s="1"/>
  <c r="AD163" i="3"/>
  <c r="AA163" i="3"/>
  <c r="AB163" i="3" s="1"/>
  <c r="Z163" i="3"/>
  <c r="AD143" i="3"/>
  <c r="Z143" i="3"/>
  <c r="AA143" i="3"/>
  <c r="AB143" i="3" s="1"/>
  <c r="Z199" i="3"/>
  <c r="AD199" i="3"/>
  <c r="AA199" i="3"/>
  <c r="AB199" i="3" s="1"/>
  <c r="O118" i="3"/>
  <c r="S118" i="3"/>
  <c r="P118" i="3"/>
  <c r="Q118" i="3" s="1"/>
  <c r="S177" i="3"/>
  <c r="P177" i="3"/>
  <c r="Q177" i="3" s="1"/>
  <c r="O177" i="3"/>
  <c r="AD99" i="3"/>
  <c r="AA99" i="3"/>
  <c r="AB99" i="3" s="1"/>
  <c r="Z99" i="3"/>
  <c r="AA82" i="3"/>
  <c r="AB82" i="3" s="1"/>
  <c r="AD82" i="3"/>
  <c r="Z82" i="3"/>
  <c r="S147" i="3"/>
  <c r="P147" i="3"/>
  <c r="Q147" i="3" s="1"/>
  <c r="O147" i="3"/>
  <c r="O96" i="3"/>
  <c r="S96" i="3"/>
  <c r="P96" i="3"/>
  <c r="Q96" i="3" s="1"/>
  <c r="AD100" i="3"/>
  <c r="AA100" i="3"/>
  <c r="AB100" i="3" s="1"/>
  <c r="Z100" i="3"/>
  <c r="Z116" i="3"/>
  <c r="AD116" i="3"/>
  <c r="AA116" i="3"/>
  <c r="AB116" i="3" s="1"/>
  <c r="Z118" i="3"/>
  <c r="AD118" i="3"/>
  <c r="AA118" i="3"/>
  <c r="AB118" i="3" s="1"/>
  <c r="P162" i="3"/>
  <c r="Q162" i="3" s="1"/>
  <c r="S162" i="3"/>
  <c r="O162" i="3"/>
  <c r="O141" i="3"/>
  <c r="S141" i="3"/>
  <c r="P141" i="3"/>
  <c r="Q141" i="3" s="1"/>
  <c r="S180" i="3"/>
  <c r="P180" i="3"/>
  <c r="Q180" i="3" s="1"/>
  <c r="O180" i="3"/>
  <c r="Z134" i="3"/>
  <c r="AD134" i="3"/>
  <c r="AA134" i="3"/>
  <c r="AB134" i="3" s="1"/>
  <c r="AA86" i="3"/>
  <c r="AB86" i="3" s="1"/>
  <c r="AD86" i="3"/>
  <c r="Z86" i="3"/>
  <c r="AD144" i="3"/>
  <c r="Z144" i="3"/>
  <c r="AA144" i="3"/>
  <c r="AB144" i="3" s="1"/>
  <c r="S91" i="3"/>
  <c r="O91" i="3"/>
  <c r="P91" i="3"/>
  <c r="Q91" i="3" s="1"/>
  <c r="AD162" i="3"/>
  <c r="AA162" i="3"/>
  <c r="AB162" i="3" s="1"/>
  <c r="Z162" i="3"/>
  <c r="AA170" i="3"/>
  <c r="AB170" i="3" s="1"/>
  <c r="AD170" i="3"/>
  <c r="Z170" i="3"/>
  <c r="AA88" i="3"/>
  <c r="AB88" i="3" s="1"/>
  <c r="AD88" i="3"/>
  <c r="Z88" i="3"/>
  <c r="O138" i="3"/>
  <c r="S138" i="3"/>
  <c r="P138" i="3"/>
  <c r="Q138" i="3" s="1"/>
  <c r="P90" i="3"/>
  <c r="Q90" i="3" s="1"/>
  <c r="O90" i="3"/>
  <c r="S90" i="3"/>
  <c r="Z192" i="3"/>
  <c r="AD192" i="3"/>
  <c r="AA192" i="3"/>
  <c r="AB192" i="3" s="1"/>
  <c r="AD110" i="3"/>
  <c r="AA110" i="3"/>
  <c r="AB110" i="3" s="1"/>
  <c r="Z110" i="3"/>
  <c r="S103" i="3"/>
  <c r="P103" i="3"/>
  <c r="Q103" i="3" s="1"/>
  <c r="O103" i="3"/>
  <c r="S131" i="3"/>
  <c r="O131" i="3"/>
  <c r="P131" i="3"/>
  <c r="Q131" i="3" s="1"/>
  <c r="P199" i="3"/>
  <c r="Q199" i="3" s="1"/>
  <c r="O199" i="3"/>
  <c r="S199" i="3"/>
  <c r="S144" i="3"/>
  <c r="P144" i="3"/>
  <c r="Q144" i="3" s="1"/>
  <c r="O144" i="3"/>
  <c r="Z124" i="3"/>
  <c r="AD124" i="3"/>
  <c r="AA124" i="3"/>
  <c r="AB124" i="3" s="1"/>
  <c r="Z103" i="3"/>
  <c r="AD103" i="3"/>
  <c r="AA103" i="3"/>
  <c r="AB103" i="3" s="1"/>
  <c r="O190" i="3"/>
  <c r="S190" i="3"/>
  <c r="P190" i="3"/>
  <c r="Q190" i="3" s="1"/>
  <c r="O198" i="3"/>
  <c r="S198" i="3"/>
  <c r="P198" i="3"/>
  <c r="Q198" i="3" s="1"/>
  <c r="S76" i="3"/>
  <c r="P76" i="3"/>
  <c r="Q76" i="3" s="1"/>
  <c r="O76" i="3"/>
  <c r="Z93" i="3"/>
  <c r="AD93" i="3"/>
  <c r="AA93" i="3"/>
  <c r="AB93" i="3" s="1"/>
  <c r="S85" i="3"/>
  <c r="P85" i="3"/>
  <c r="Q85" i="3" s="1"/>
  <c r="O85" i="3"/>
  <c r="S169" i="3"/>
  <c r="P169" i="3"/>
  <c r="Q169" i="3" s="1"/>
  <c r="O169" i="3"/>
  <c r="AA98" i="3"/>
  <c r="AB98" i="3" s="1"/>
  <c r="AD98" i="3"/>
  <c r="Z98" i="3"/>
  <c r="AA113" i="3"/>
  <c r="AB113" i="3" s="1"/>
  <c r="Z113" i="3"/>
  <c r="AD113" i="3"/>
  <c r="Z189" i="3"/>
  <c r="AA189" i="3"/>
  <c r="AB189" i="3" s="1"/>
  <c r="AD189" i="3"/>
  <c r="S181" i="3"/>
  <c r="O181" i="3"/>
  <c r="P181" i="3"/>
  <c r="Q181" i="3" s="1"/>
  <c r="AD164" i="3"/>
  <c r="AA164" i="3"/>
  <c r="AB164" i="3" s="1"/>
  <c r="Z164" i="3"/>
  <c r="S78" i="3"/>
  <c r="P78" i="3"/>
  <c r="Q78" i="3" s="1"/>
  <c r="O78" i="3"/>
  <c r="AD166" i="3"/>
  <c r="AA166" i="3"/>
  <c r="AB166" i="3" s="1"/>
  <c r="Z166" i="3"/>
  <c r="S127" i="3"/>
  <c r="P127" i="3"/>
  <c r="Q127" i="3" s="1"/>
  <c r="O127" i="3"/>
  <c r="O83" i="3"/>
  <c r="S83" i="3"/>
  <c r="P83" i="3"/>
  <c r="Q83" i="3" s="1"/>
  <c r="S189" i="3"/>
  <c r="O189" i="3"/>
  <c r="P189" i="3"/>
  <c r="Q189" i="3" s="1"/>
  <c r="AD154" i="3"/>
  <c r="AA154" i="3"/>
  <c r="AB154" i="3" s="1"/>
  <c r="Z154" i="3"/>
  <c r="Z197" i="3"/>
  <c r="AA197" i="3"/>
  <c r="AB197" i="3" s="1"/>
  <c r="AD197" i="3"/>
  <c r="Z198" i="3"/>
  <c r="AD198" i="3"/>
  <c r="AA198" i="3"/>
  <c r="AB198" i="3" s="1"/>
  <c r="S191" i="3"/>
  <c r="P191" i="3"/>
  <c r="Q191" i="3" s="1"/>
  <c r="O191" i="3"/>
  <c r="S142" i="3"/>
  <c r="P142" i="3"/>
  <c r="Q142" i="3" s="1"/>
  <c r="O142" i="3"/>
  <c r="AD171" i="3"/>
  <c r="AA171" i="3"/>
  <c r="AB171" i="3" s="1"/>
  <c r="Z171" i="3"/>
  <c r="O107" i="3"/>
  <c r="P107" i="3"/>
  <c r="Q107" i="3" s="1"/>
  <c r="S107" i="3"/>
  <c r="P88" i="3"/>
  <c r="Q88" i="3" s="1"/>
  <c r="O88" i="3"/>
  <c r="S88" i="3"/>
  <c r="Z135" i="3"/>
  <c r="AD135" i="3"/>
  <c r="AA135" i="3"/>
  <c r="AB135" i="3" s="1"/>
  <c r="S126" i="3"/>
  <c r="P126" i="3"/>
  <c r="Q126" i="3" s="1"/>
  <c r="O126" i="3"/>
  <c r="Z129" i="3"/>
  <c r="AD129" i="3"/>
  <c r="AA129" i="3"/>
  <c r="AB129" i="3" s="1"/>
  <c r="P58" i="3"/>
  <c r="Q58" i="3" s="1"/>
  <c r="O58" i="3"/>
  <c r="S58" i="3"/>
  <c r="AA78" i="3"/>
  <c r="AB78" i="3" s="1"/>
  <c r="Z78" i="3"/>
  <c r="AD78" i="3"/>
  <c r="S117" i="3"/>
  <c r="O117" i="3"/>
  <c r="P117" i="3"/>
  <c r="Q117" i="3" s="1"/>
  <c r="S187" i="3"/>
  <c r="P187" i="3"/>
  <c r="Q187" i="3" s="1"/>
  <c r="O187" i="3"/>
  <c r="AA83" i="3"/>
  <c r="AB83" i="3" s="1"/>
  <c r="AD83" i="3"/>
  <c r="Z83" i="3"/>
  <c r="Z125" i="3"/>
  <c r="AD125" i="3"/>
  <c r="AA125" i="3"/>
  <c r="AB125" i="3" s="1"/>
  <c r="AD167" i="3"/>
  <c r="Z167" i="3"/>
  <c r="AA167" i="3"/>
  <c r="AB167" i="3" s="1"/>
  <c r="P104" i="3"/>
  <c r="Q104" i="3" s="1"/>
  <c r="O104" i="3"/>
  <c r="S104" i="3"/>
  <c r="AA142" i="3"/>
  <c r="AB142" i="3" s="1"/>
  <c r="Z142" i="3"/>
  <c r="AD142" i="3"/>
  <c r="AD151" i="3"/>
  <c r="AA151" i="3"/>
  <c r="AB151" i="3" s="1"/>
  <c r="Z151" i="3"/>
  <c r="S100" i="3"/>
  <c r="P100" i="3"/>
  <c r="Q100" i="3" s="1"/>
  <c r="O100" i="3"/>
  <c r="S111" i="3"/>
  <c r="P111" i="3"/>
  <c r="Q111" i="3" s="1"/>
  <c r="O111" i="3"/>
  <c r="O115" i="3"/>
  <c r="P115" i="3"/>
  <c r="Q115" i="3" s="1"/>
  <c r="S115" i="3"/>
  <c r="AA140" i="3"/>
  <c r="AB140" i="3" s="1"/>
  <c r="Z140" i="3"/>
  <c r="AD140" i="3"/>
  <c r="AD168" i="3"/>
  <c r="AA168" i="3"/>
  <c r="AB168" i="3" s="1"/>
  <c r="Z168" i="3"/>
  <c r="Z122" i="3"/>
  <c r="AD122" i="3"/>
  <c r="AA122" i="3"/>
  <c r="AB122" i="3" s="1"/>
  <c r="S62" i="3"/>
  <c r="P62" i="3"/>
  <c r="Q62" i="3" s="1"/>
  <c r="O62" i="3"/>
  <c r="AD203" i="3"/>
  <c r="AA203" i="3"/>
  <c r="AB203" i="3" s="1"/>
  <c r="Z203" i="3"/>
  <c r="Z105" i="3"/>
  <c r="AA105" i="3"/>
  <c r="AB105" i="3" s="1"/>
  <c r="AD105" i="3"/>
  <c r="Z206" i="3"/>
  <c r="AA206" i="3"/>
  <c r="AB206" i="3" s="1"/>
  <c r="AD206" i="3"/>
  <c r="S154" i="3"/>
  <c r="P154" i="3"/>
  <c r="Q154" i="3" s="1"/>
  <c r="O154" i="3"/>
  <c r="S143" i="3"/>
  <c r="P143" i="3"/>
  <c r="Q143" i="3" s="1"/>
  <c r="O143" i="3"/>
  <c r="Z121" i="3"/>
  <c r="AD121" i="3"/>
  <c r="AA121" i="3"/>
  <c r="AB121" i="3" s="1"/>
  <c r="Z106" i="3"/>
  <c r="AD106" i="3"/>
  <c r="AA106" i="3"/>
  <c r="AB106" i="3" s="1"/>
  <c r="Z117" i="3"/>
  <c r="AD117" i="3"/>
  <c r="AA117" i="3"/>
  <c r="AB117" i="3" s="1"/>
  <c r="AA91" i="3"/>
  <c r="AB91" i="3" s="1"/>
  <c r="Z91" i="3"/>
  <c r="AD91" i="3"/>
  <c r="O57" i="3"/>
  <c r="P57" i="3"/>
  <c r="Q57" i="3" s="1"/>
  <c r="S57" i="3"/>
  <c r="AD217" i="3"/>
  <c r="AA217" i="3"/>
  <c r="AB217" i="3" s="1"/>
  <c r="Z217" i="3"/>
  <c r="S183" i="3"/>
  <c r="O183" i="3"/>
  <c r="P183" i="3"/>
  <c r="Q183" i="3" s="1"/>
  <c r="S132" i="3"/>
  <c r="P132" i="3"/>
  <c r="Q132" i="3" s="1"/>
  <c r="O132" i="3"/>
  <c r="Z131" i="3"/>
  <c r="AD131" i="3"/>
  <c r="AA131" i="3"/>
  <c r="AB131" i="3" s="1"/>
  <c r="S106" i="3"/>
  <c r="O106" i="3"/>
  <c r="P106" i="3"/>
  <c r="Q106" i="3" s="1"/>
  <c r="AA85" i="3"/>
  <c r="AB85" i="3" s="1"/>
  <c r="Z85" i="3"/>
  <c r="AD85" i="3"/>
  <c r="S101" i="3"/>
  <c r="O101" i="3"/>
  <c r="P101" i="3"/>
  <c r="Q101" i="3" s="1"/>
  <c r="S120" i="3"/>
  <c r="O120" i="3"/>
  <c r="P120" i="3"/>
  <c r="Q120" i="3" s="1"/>
  <c r="Z216" i="3"/>
  <c r="AD216" i="3"/>
  <c r="AA216" i="3"/>
  <c r="AB216" i="3" s="1"/>
  <c r="Z8" i="10"/>
  <c r="AA161" i="3"/>
  <c r="AB161" i="3" s="1"/>
  <c r="AD161" i="3"/>
  <c r="Z161" i="3"/>
  <c r="AD165" i="3"/>
  <c r="AA165" i="3"/>
  <c r="AB165" i="3" s="1"/>
  <c r="Z165" i="3"/>
  <c r="AA152" i="3"/>
  <c r="AB152" i="3" s="1"/>
  <c r="Z152" i="3"/>
  <c r="AD152" i="3"/>
  <c r="Z128" i="3"/>
  <c r="AD128" i="3"/>
  <c r="AA128" i="3"/>
  <c r="AB128" i="3" s="1"/>
  <c r="H21" i="11"/>
  <c r="H13" i="13" s="1"/>
  <c r="Z145" i="3"/>
  <c r="AD145" i="3"/>
  <c r="AA145" i="3"/>
  <c r="AB145" i="3" s="1"/>
  <c r="AA207" i="3"/>
  <c r="AB207" i="3" s="1"/>
  <c r="AD207" i="3"/>
  <c r="Z207" i="3"/>
  <c r="O67" i="3"/>
  <c r="S67" i="3"/>
  <c r="P67" i="3"/>
  <c r="Q67" i="3" s="1"/>
  <c r="Z136" i="3"/>
  <c r="AD136" i="3"/>
  <c r="AA136" i="3"/>
  <c r="AB136" i="3" s="1"/>
  <c r="Z196" i="3"/>
  <c r="AD196" i="3"/>
  <c r="AA196" i="3"/>
  <c r="AB196" i="3" s="1"/>
  <c r="S140" i="3"/>
  <c r="P140" i="3"/>
  <c r="Q140" i="3" s="1"/>
  <c r="O140" i="3"/>
  <c r="AA96" i="3"/>
  <c r="AB96" i="3" s="1"/>
  <c r="Z96" i="3"/>
  <c r="AD96" i="3"/>
  <c r="AD213" i="3"/>
  <c r="AA213" i="3"/>
  <c r="AB213" i="3" s="1"/>
  <c r="Z213" i="3"/>
  <c r="P152" i="3"/>
  <c r="Q152" i="3" s="1"/>
  <c r="S152" i="3"/>
  <c r="O152" i="3"/>
  <c r="Z212" i="3"/>
  <c r="AA212" i="3"/>
  <c r="AB212" i="3" s="1"/>
  <c r="AD212" i="3"/>
  <c r="S173" i="3"/>
  <c r="P173" i="3"/>
  <c r="Q173" i="3" s="1"/>
  <c r="O173" i="3"/>
  <c r="I47" i="5"/>
  <c r="P75" i="3"/>
  <c r="Q75" i="3" s="1"/>
  <c r="O75" i="3"/>
  <c r="S75" i="3"/>
  <c r="S109" i="3"/>
  <c r="P109" i="3"/>
  <c r="Q109" i="3" s="1"/>
  <c r="O109" i="3"/>
  <c r="S105" i="3"/>
  <c r="P105" i="3"/>
  <c r="Q105" i="3" s="1"/>
  <c r="O105" i="3"/>
  <c r="Z200" i="3"/>
  <c r="AD200" i="3"/>
  <c r="AA200" i="3"/>
  <c r="AB200" i="3" s="1"/>
  <c r="Z208" i="3"/>
  <c r="AA208" i="3"/>
  <c r="AB208" i="3" s="1"/>
  <c r="AD208" i="3"/>
  <c r="AA211" i="3"/>
  <c r="AB211" i="3" s="1"/>
  <c r="Z211" i="3"/>
  <c r="AD211" i="3"/>
  <c r="AA146" i="3"/>
  <c r="AB146" i="3" s="1"/>
  <c r="Z146" i="3"/>
  <c r="AD146" i="3"/>
  <c r="I35" i="5"/>
  <c r="AD147" i="3"/>
  <c r="AA147" i="3"/>
  <c r="AB147" i="3" s="1"/>
  <c r="Z147" i="3"/>
  <c r="S158" i="3"/>
  <c r="O158" i="3"/>
  <c r="P158" i="3"/>
  <c r="Q158" i="3" s="1"/>
  <c r="P97" i="3"/>
  <c r="Q97" i="3" s="1"/>
  <c r="O97" i="3"/>
  <c r="S97" i="3"/>
  <c r="S61" i="3"/>
  <c r="P61" i="3"/>
  <c r="Q61" i="3" s="1"/>
  <c r="O61" i="3"/>
  <c r="H21" i="15" l="1"/>
  <c r="H21" i="14"/>
  <c r="H21" i="7"/>
  <c r="H20" i="14"/>
  <c r="H20" i="15"/>
  <c r="H20" i="7"/>
  <c r="X23" i="15"/>
  <c r="L23" i="15" s="1"/>
  <c r="M23" i="15" s="1"/>
  <c r="N23" i="15" s="1"/>
  <c r="H23" i="7"/>
  <c r="I23" i="7" s="1"/>
  <c r="X23" i="7" s="1"/>
  <c r="L23" i="7" s="1"/>
  <c r="M23" i="7" s="1"/>
  <c r="N23" i="7" s="1"/>
  <c r="H23" i="14"/>
  <c r="I23" i="14" s="1"/>
  <c r="O29" i="8"/>
  <c r="H23" i="13"/>
  <c r="I23" i="13" s="1"/>
  <c r="X23" i="13" s="1"/>
  <c r="H23" i="12"/>
  <c r="I23" i="12" s="1"/>
  <c r="X23" i="12" s="1"/>
  <c r="Y23" i="12" s="1"/>
  <c r="H24" i="6"/>
  <c r="I24" i="6" s="1"/>
  <c r="X24" i="6" s="1"/>
  <c r="Y24" i="6" s="1"/>
  <c r="AA24" i="6" s="1"/>
  <c r="S24" i="6" s="1"/>
  <c r="H24" i="7"/>
  <c r="I24" i="7" s="1"/>
  <c r="X24" i="7" s="1"/>
  <c r="L24" i="7" s="1"/>
  <c r="M24" i="7" s="1"/>
  <c r="O29" i="11"/>
  <c r="H23" i="9"/>
  <c r="I23" i="9" s="1"/>
  <c r="X23" i="9" s="1"/>
  <c r="L23" i="9" s="1"/>
  <c r="M23" i="9" s="1"/>
  <c r="H25" i="7"/>
  <c r="I25" i="7" s="1"/>
  <c r="X25" i="7" s="1"/>
  <c r="L25" i="7" s="1"/>
  <c r="M25" i="7" s="1"/>
  <c r="H25" i="6"/>
  <c r="I25" i="6" s="1"/>
  <c r="X25" i="6" s="1"/>
  <c r="L25" i="6" s="1"/>
  <c r="M25" i="6" s="1"/>
  <c r="P29" i="5"/>
  <c r="D37" i="1"/>
  <c r="F36" i="1"/>
  <c r="H23" i="10"/>
  <c r="I23" i="10" s="1"/>
  <c r="X23" i="10" s="1"/>
  <c r="L23" i="10" s="1"/>
  <c r="M23" i="10" s="1"/>
  <c r="X26" i="6"/>
  <c r="L26" i="6" s="1"/>
  <c r="M26" i="6" s="1"/>
  <c r="I30" i="5"/>
  <c r="I36" i="5"/>
  <c r="I39" i="5"/>
  <c r="I29" i="5"/>
  <c r="I40" i="5"/>
  <c r="I37" i="5"/>
  <c r="I33" i="5"/>
  <c r="H13" i="11"/>
  <c r="H13" i="12" s="1"/>
  <c r="I31" i="5"/>
  <c r="H17" i="8"/>
  <c r="H15" i="9" s="1"/>
  <c r="I32" i="5"/>
  <c r="S4" i="8"/>
  <c r="S3" i="8"/>
  <c r="H16" i="8"/>
  <c r="H9" i="11"/>
  <c r="H14" i="11"/>
  <c r="H19" i="11"/>
  <c r="H23" i="8"/>
  <c r="H22" i="11"/>
  <c r="H14" i="13" s="1"/>
  <c r="H18" i="11"/>
  <c r="H11" i="11"/>
  <c r="H15" i="11"/>
  <c r="H29" i="8"/>
  <c r="H20" i="10" s="1"/>
  <c r="H29" i="11"/>
  <c r="H21" i="13" s="1"/>
  <c r="H27" i="8"/>
  <c r="H27" i="11"/>
  <c r="H19" i="13" s="1"/>
  <c r="H28" i="11"/>
  <c r="H20" i="13" s="1"/>
  <c r="H28" i="8"/>
  <c r="H21" i="8"/>
  <c r="H20" i="11"/>
  <c r="H24" i="11"/>
  <c r="H16" i="13" s="1"/>
  <c r="H25" i="8"/>
  <c r="H25" i="11"/>
  <c r="H17" i="13" s="1"/>
  <c r="H14" i="8"/>
  <c r="H12" i="11"/>
  <c r="H11" i="8"/>
  <c r="H10" i="11"/>
  <c r="H17" i="11"/>
  <c r="H9" i="13" s="1"/>
  <c r="H9" i="8"/>
  <c r="H18" i="8"/>
  <c r="H15" i="8"/>
  <c r="H10" i="8"/>
  <c r="H12" i="8"/>
  <c r="H13" i="8"/>
  <c r="H22" i="8"/>
  <c r="H24" i="8"/>
  <c r="H19" i="14" l="1"/>
  <c r="H19" i="15"/>
  <c r="H18" i="15"/>
  <c r="H18" i="14"/>
  <c r="H15" i="15"/>
  <c r="K23" i="15"/>
  <c r="Y23" i="15"/>
  <c r="AA23" i="15" s="1"/>
  <c r="S23" i="15" s="1"/>
  <c r="Y23" i="7"/>
  <c r="AA23" i="7" s="1"/>
  <c r="S23" i="7" s="1"/>
  <c r="K23" i="7"/>
  <c r="X23" i="14"/>
  <c r="L23" i="14" s="1"/>
  <c r="M23" i="14" s="1"/>
  <c r="N23" i="14" s="1"/>
  <c r="L23" i="12"/>
  <c r="M23" i="12" s="1"/>
  <c r="K24" i="6"/>
  <c r="L24" i="6"/>
  <c r="M24" i="6" s="1"/>
  <c r="N24" i="6" s="1"/>
  <c r="Y198" i="4"/>
  <c r="Y123" i="4"/>
  <c r="Y111" i="4"/>
  <c r="Y185" i="4"/>
  <c r="Y108" i="4"/>
  <c r="Y138" i="4"/>
  <c r="Y137" i="4"/>
  <c r="Y133" i="4"/>
  <c r="Y149" i="4"/>
  <c r="Y113" i="4"/>
  <c r="Y109" i="4"/>
  <c r="Y172" i="4"/>
  <c r="Y140" i="4"/>
  <c r="Y141" i="4"/>
  <c r="Y115" i="4"/>
  <c r="Y160" i="4"/>
  <c r="Y166" i="4"/>
  <c r="Y144" i="4"/>
  <c r="D38" i="1"/>
  <c r="F37" i="1"/>
  <c r="Y25" i="6"/>
  <c r="AA25" i="6" s="1"/>
  <c r="S25" i="6" s="1"/>
  <c r="K25" i="6"/>
  <c r="Y26" i="6"/>
  <c r="AA26" i="6" s="1"/>
  <c r="S26" i="6" s="1"/>
  <c r="K26" i="6"/>
  <c r="Y24" i="7"/>
  <c r="AA24" i="7" s="1"/>
  <c r="S24" i="7" s="1"/>
  <c r="K24" i="7"/>
  <c r="Y25" i="7"/>
  <c r="AA25" i="7" s="1"/>
  <c r="S25" i="7" s="1"/>
  <c r="K25" i="7"/>
  <c r="H14" i="12"/>
  <c r="H12" i="12"/>
  <c r="H10" i="13"/>
  <c r="H15" i="12"/>
  <c r="H11" i="12"/>
  <c r="H12" i="9"/>
  <c r="H12" i="13"/>
  <c r="H16" i="12"/>
  <c r="K23" i="9"/>
  <c r="Y23" i="9"/>
  <c r="AA23" i="9" s="1"/>
  <c r="S23" i="9" s="1"/>
  <c r="H11" i="13"/>
  <c r="H10" i="9"/>
  <c r="H11" i="9"/>
  <c r="H13" i="10"/>
  <c r="H14" i="9"/>
  <c r="H12" i="10"/>
  <c r="H13" i="9"/>
  <c r="H19" i="10"/>
  <c r="H18" i="10"/>
  <c r="H8" i="10"/>
  <c r="H14" i="10"/>
  <c r="H15" i="10"/>
  <c r="H16" i="10"/>
  <c r="H11" i="10"/>
  <c r="H9" i="9"/>
  <c r="V26" i="3"/>
  <c r="H10" i="12"/>
  <c r="H8" i="12"/>
  <c r="L23" i="13"/>
  <c r="M23" i="13" s="1"/>
  <c r="K23" i="13"/>
  <c r="K23" i="12"/>
  <c r="K23" i="10"/>
  <c r="H9" i="10"/>
  <c r="H10" i="10"/>
  <c r="H8" i="9"/>
  <c r="P11" i="11"/>
  <c r="H8" i="13"/>
  <c r="H9" i="12"/>
  <c r="Y23" i="13"/>
  <c r="AA23" i="13" s="1"/>
  <c r="S23" i="13" s="1"/>
  <c r="Y23" i="10"/>
  <c r="AA23" i="10" s="1"/>
  <c r="S23" i="10" s="1"/>
  <c r="Y23" i="14" l="1"/>
  <c r="AA23" i="14" s="1"/>
  <c r="S23" i="14" s="1"/>
  <c r="K23" i="14"/>
  <c r="Y155" i="4"/>
  <c r="Y80" i="4"/>
  <c r="Y163" i="4"/>
  <c r="Y159" i="4"/>
  <c r="Y142" i="4"/>
  <c r="Y86" i="4"/>
  <c r="Y129" i="4"/>
  <c r="Y143" i="4"/>
  <c r="Y145" i="4"/>
  <c r="Y130" i="4"/>
  <c r="Y116" i="4"/>
  <c r="Y139" i="4"/>
  <c r="Y171" i="4"/>
  <c r="Y135" i="4"/>
  <c r="Y136" i="4"/>
  <c r="Y161" i="4"/>
  <c r="Y162" i="4"/>
  <c r="Y150" i="4"/>
  <c r="F38" i="1"/>
  <c r="D39" i="1"/>
  <c r="V27" i="3"/>
  <c r="AA23" i="12"/>
  <c r="S23" i="12" s="1"/>
  <c r="I20" i="13"/>
  <c r="I14" i="13"/>
  <c r="I17" i="13"/>
  <c r="I21" i="13"/>
  <c r="Y88" i="4" l="1"/>
  <c r="Y79" i="4"/>
  <c r="Y153" i="4"/>
  <c r="Y147" i="4"/>
  <c r="Y99" i="4"/>
  <c r="Y124" i="4"/>
  <c r="Y49" i="4"/>
  <c r="F34" i="2" s="1"/>
  <c r="Y87" i="4"/>
  <c r="Y119" i="4"/>
  <c r="Y186" i="4"/>
  <c r="Y55" i="4"/>
  <c r="Y106" i="4"/>
  <c r="Y105" i="4"/>
  <c r="Y175" i="4"/>
  <c r="Y121" i="4"/>
  <c r="Y165" i="4"/>
  <c r="Y174" i="4"/>
  <c r="F39" i="1"/>
  <c r="Y62" i="4" s="1"/>
  <c r="F48" i="2" s="1"/>
  <c r="D40" i="1"/>
  <c r="V28" i="3"/>
  <c r="X21" i="13"/>
  <c r="K21" i="13" s="1"/>
  <c r="X17" i="13"/>
  <c r="K17" i="13" s="1"/>
  <c r="X14" i="13"/>
  <c r="I13" i="13"/>
  <c r="X20" i="13"/>
  <c r="AF42" i="3"/>
  <c r="AF44" i="3"/>
  <c r="U29" i="3"/>
  <c r="AF29" i="3"/>
  <c r="AF39" i="3"/>
  <c r="AF40" i="3"/>
  <c r="AF43" i="3"/>
  <c r="AF41" i="3"/>
  <c r="AF38" i="3"/>
  <c r="Y65" i="4" l="1"/>
  <c r="F51" i="2" s="1"/>
  <c r="Y51" i="4"/>
  <c r="Y73" i="4"/>
  <c r="F59" i="2" s="1"/>
  <c r="Y68" i="4"/>
  <c r="F54" i="2" s="1"/>
  <c r="Y42" i="4"/>
  <c r="F27" i="2" s="1"/>
  <c r="D41" i="1"/>
  <c r="F40" i="1"/>
  <c r="Y90" i="4"/>
  <c r="Y125" i="4"/>
  <c r="Y114" i="4"/>
  <c r="Y52" i="4"/>
  <c r="F37" i="2" s="1"/>
  <c r="Y69" i="4"/>
  <c r="F55" i="2" s="1"/>
  <c r="Y158" i="4"/>
  <c r="Y156" i="4"/>
  <c r="Y128" i="4"/>
  <c r="Y72" i="4"/>
  <c r="F58" i="2" s="1"/>
  <c r="Y176" i="4"/>
  <c r="Y118" i="4"/>
  <c r="Y70" i="4"/>
  <c r="F56" i="2" s="1"/>
  <c r="Y89" i="4"/>
  <c r="Y151" i="4"/>
  <c r="Y122" i="4"/>
  <c r="Y81" i="4"/>
  <c r="Y93" i="4"/>
  <c r="Y85" i="4"/>
  <c r="Y74" i="4"/>
  <c r="F60" i="2" s="1"/>
  <c r="Y50" i="4"/>
  <c r="F35" i="2" s="1"/>
  <c r="Y168" i="4"/>
  <c r="Y45" i="4"/>
  <c r="F30" i="2" s="1"/>
  <c r="F36" i="2"/>
  <c r="F40" i="2"/>
  <c r="F41" i="2"/>
  <c r="F3" i="2"/>
  <c r="V29" i="3"/>
  <c r="H19" i="8"/>
  <c r="L20" i="13"/>
  <c r="K20" i="13"/>
  <c r="L14" i="13"/>
  <c r="K14" i="13"/>
  <c r="Y14" i="13"/>
  <c r="AA14" i="13" s="1"/>
  <c r="S14" i="13" s="1"/>
  <c r="Y20" i="13"/>
  <c r="AA20" i="13" s="1"/>
  <c r="S20" i="13" s="1"/>
  <c r="X13" i="13"/>
  <c r="K13" i="13" s="1"/>
  <c r="L17" i="13"/>
  <c r="Y17" i="13"/>
  <c r="AA17" i="13" s="1"/>
  <c r="S17" i="13" s="1"/>
  <c r="L21" i="13"/>
  <c r="Y21" i="13"/>
  <c r="AA21" i="13" s="1"/>
  <c r="S21" i="13" s="1"/>
  <c r="Y71" i="4" l="1"/>
  <c r="F57" i="2" s="1"/>
  <c r="Y44" i="4"/>
  <c r="F29" i="2" s="1"/>
  <c r="Y35" i="4"/>
  <c r="F20" i="2" s="1"/>
  <c r="Y53" i="4"/>
  <c r="F38" i="2" s="1"/>
  <c r="Y20" i="4"/>
  <c r="F5" i="2" s="1"/>
  <c r="Y104" i="4"/>
  <c r="Y117" i="4"/>
  <c r="Y132" i="4"/>
  <c r="Y95" i="4"/>
  <c r="Y64" i="4"/>
  <c r="F50" i="2" s="1"/>
  <c r="Y36" i="4"/>
  <c r="Y112" i="4"/>
  <c r="Y184" i="4"/>
  <c r="I28" i="5" s="1"/>
  <c r="Y40" i="4"/>
  <c r="F25" i="2" s="1"/>
  <c r="Y91" i="4"/>
  <c r="Y97" i="4"/>
  <c r="Y37" i="4"/>
  <c r="Y173" i="4"/>
  <c r="Y67" i="4"/>
  <c r="F53" i="2" s="1"/>
  <c r="Y23" i="4"/>
  <c r="Y46" i="4"/>
  <c r="F31" i="2" s="1"/>
  <c r="Y59" i="4"/>
  <c r="F45" i="2" s="1"/>
  <c r="Y103" i="4"/>
  <c r="Y107" i="4"/>
  <c r="Y178" i="4"/>
  <c r="Y94" i="4"/>
  <c r="Y98" i="4"/>
  <c r="Y182" i="4"/>
  <c r="Y126" i="4"/>
  <c r="Y177" i="4"/>
  <c r="Y78" i="4"/>
  <c r="F41" i="1"/>
  <c r="D42" i="1"/>
  <c r="V30" i="3"/>
  <c r="M21" i="13"/>
  <c r="N21" i="13" s="1"/>
  <c r="M17" i="13"/>
  <c r="N17" i="13" s="1"/>
  <c r="M14" i="13"/>
  <c r="N14" i="13" s="1"/>
  <c r="M20" i="13"/>
  <c r="N20" i="13" s="1"/>
  <c r="L13" i="13"/>
  <c r="Y13" i="13"/>
  <c r="AA13" i="13" s="1"/>
  <c r="S13" i="13" s="1"/>
  <c r="Y58" i="4" l="1"/>
  <c r="F44" i="2" s="1"/>
  <c r="F22" i="2"/>
  <c r="Y57" i="4"/>
  <c r="F43" i="2" s="1"/>
  <c r="Y39" i="4"/>
  <c r="F24" i="2" s="1"/>
  <c r="Y38" i="4"/>
  <c r="F23" i="2" s="1"/>
  <c r="I11" i="5"/>
  <c r="F21" i="2"/>
  <c r="F14" i="2"/>
  <c r="F8" i="2"/>
  <c r="F13" i="2"/>
  <c r="F9" i="2"/>
  <c r="D43" i="1"/>
  <c r="F42" i="1"/>
  <c r="Y199" i="4"/>
  <c r="Y77" i="4"/>
  <c r="F63" i="2" s="1"/>
  <c r="Y75" i="4"/>
  <c r="F61" i="2" s="1"/>
  <c r="Y164" i="4"/>
  <c r="Y63" i="4"/>
  <c r="F49" i="2" s="1"/>
  <c r="Y179" i="4"/>
  <c r="Y183" i="4"/>
  <c r="Y92" i="4"/>
  <c r="V31" i="3"/>
  <c r="M13" i="13"/>
  <c r="N13" i="13" s="1"/>
  <c r="Y43" i="4" l="1"/>
  <c r="F28" i="2" s="1"/>
  <c r="Y61" i="4"/>
  <c r="F47" i="2" s="1"/>
  <c r="H9" i="15"/>
  <c r="H10" i="15"/>
  <c r="I10" i="5"/>
  <c r="Y102" i="4"/>
  <c r="Y180" i="4"/>
  <c r="Y41" i="4"/>
  <c r="Y76" i="4"/>
  <c r="F62" i="2" s="1"/>
  <c r="Y181" i="4"/>
  <c r="Y60" i="4"/>
  <c r="F46" i="2" s="1"/>
  <c r="Y54" i="4"/>
  <c r="F39" i="2" s="1"/>
  <c r="Y82" i="4"/>
  <c r="Y100" i="4"/>
  <c r="Y48" i="4"/>
  <c r="Y84" i="4"/>
  <c r="Y154" i="4"/>
  <c r="F43" i="1"/>
  <c r="Y31" i="4" s="1"/>
  <c r="F16" i="2" s="1"/>
  <c r="D44" i="1"/>
  <c r="V32" i="3"/>
  <c r="F18" i="2" l="1"/>
  <c r="I12" i="5"/>
  <c r="F33" i="2"/>
  <c r="F26" i="2"/>
  <c r="I22" i="5"/>
  <c r="D45" i="1"/>
  <c r="F44" i="1"/>
  <c r="Y66" i="4"/>
  <c r="F52" i="2" s="1"/>
  <c r="Y101" i="4"/>
  <c r="Y83" i="4"/>
  <c r="Y96" i="4"/>
  <c r="Y127" i="4"/>
  <c r="Y56" i="4"/>
  <c r="F42" i="2" s="1"/>
  <c r="V33" i="3"/>
  <c r="Y22" i="4" l="1"/>
  <c r="I14" i="5" s="1"/>
  <c r="Y33" i="4"/>
  <c r="I26" i="5" s="1"/>
  <c r="H14" i="7"/>
  <c r="H21" i="6"/>
  <c r="H11" i="15"/>
  <c r="H12" i="15"/>
  <c r="Y131" i="4"/>
  <c r="Y47" i="4"/>
  <c r="D46" i="1"/>
  <c r="F45" i="1"/>
  <c r="V34" i="3"/>
  <c r="H18" i="7" l="1"/>
  <c r="F7" i="2"/>
  <c r="F32" i="2"/>
  <c r="D47" i="1"/>
  <c r="F46" i="1"/>
  <c r="Y26" i="4" s="1"/>
  <c r="U21" i="3"/>
  <c r="AF21" i="3"/>
  <c r="V35" i="3"/>
  <c r="F11" i="2" l="1"/>
  <c r="I17" i="5"/>
  <c r="H15" i="6" s="1"/>
  <c r="D48" i="1"/>
  <c r="F47" i="1"/>
  <c r="Y27" i="4" s="1"/>
  <c r="V36" i="3"/>
  <c r="F12" i="2" l="1"/>
  <c r="D49" i="1"/>
  <c r="F48" i="1"/>
  <c r="V37" i="3"/>
  <c r="U37" i="3"/>
  <c r="Y30" i="4" l="1"/>
  <c r="Y34" i="4"/>
  <c r="H17" i="6"/>
  <c r="U3" i="3"/>
  <c r="AF3" i="3"/>
  <c r="AF36" i="3"/>
  <c r="U36" i="3"/>
  <c r="AF35" i="3"/>
  <c r="U35" i="3"/>
  <c r="AF34" i="3"/>
  <c r="U34" i="3"/>
  <c r="AF33" i="3"/>
  <c r="U33" i="3"/>
  <c r="AF32" i="3"/>
  <c r="U32" i="3"/>
  <c r="AF31" i="3"/>
  <c r="U31" i="3"/>
  <c r="AF30" i="3"/>
  <c r="U30" i="3"/>
  <c r="AF28" i="3"/>
  <c r="U28" i="3"/>
  <c r="U27" i="3"/>
  <c r="AF27" i="3"/>
  <c r="U26" i="3"/>
  <c r="AF26" i="3"/>
  <c r="U25" i="3"/>
  <c r="AF25" i="3"/>
  <c r="U24" i="3"/>
  <c r="AF24" i="3"/>
  <c r="U23" i="3"/>
  <c r="AF23" i="3"/>
  <c r="U22" i="3"/>
  <c r="AF22" i="3"/>
  <c r="D50" i="1"/>
  <c r="F49" i="1"/>
  <c r="V38" i="3"/>
  <c r="U38" i="3"/>
  <c r="Y25" i="4" l="1"/>
  <c r="Y28" i="4"/>
  <c r="F19" i="2"/>
  <c r="F15" i="2"/>
  <c r="I23" i="5"/>
  <c r="H15" i="7" s="1"/>
  <c r="D51" i="1"/>
  <c r="F50" i="1"/>
  <c r="Y21" i="4" s="1"/>
  <c r="I13" i="5" s="1"/>
  <c r="V39" i="3"/>
  <c r="U39" i="3"/>
  <c r="I20" i="5" l="1"/>
  <c r="H12" i="7" s="1"/>
  <c r="I24" i="5"/>
  <c r="H16" i="7" s="1"/>
  <c r="H18" i="6"/>
  <c r="F6" i="2"/>
  <c r="I18" i="5"/>
  <c r="H10" i="7" s="1"/>
  <c r="H9" i="7"/>
  <c r="F10" i="2"/>
  <c r="I16" i="5"/>
  <c r="D52" i="1"/>
  <c r="F51" i="1"/>
  <c r="V40" i="3"/>
  <c r="U40" i="3"/>
  <c r="H11" i="14" l="1"/>
  <c r="H16" i="6"/>
  <c r="H12" i="14"/>
  <c r="H14" i="14"/>
  <c r="H14" i="6"/>
  <c r="Y29" i="4"/>
  <c r="Y32" i="4"/>
  <c r="I27" i="5" s="1"/>
  <c r="H19" i="7" s="1"/>
  <c r="D53" i="1"/>
  <c r="F52" i="1"/>
  <c r="V41" i="3"/>
  <c r="U41" i="3"/>
  <c r="I21" i="5" l="1"/>
  <c r="H13" i="7" s="1"/>
  <c r="I19" i="5"/>
  <c r="F17" i="2"/>
  <c r="I25" i="5"/>
  <c r="H20" i="6"/>
  <c r="H19" i="6"/>
  <c r="H10" i="14"/>
  <c r="D54" i="1"/>
  <c r="F53" i="1"/>
  <c r="V42" i="3"/>
  <c r="U42" i="3"/>
  <c r="H9" i="14" l="1"/>
  <c r="H17" i="7"/>
  <c r="H13" i="14"/>
  <c r="H11" i="7"/>
  <c r="E5" i="3"/>
  <c r="P13" i="2"/>
  <c r="P12" i="2"/>
  <c r="D55" i="1"/>
  <c r="F54" i="1"/>
  <c r="Y24" i="4" s="1"/>
  <c r="V43" i="3"/>
  <c r="U43" i="3"/>
  <c r="F5" i="3" l="1"/>
  <c r="G5" i="3" s="1"/>
  <c r="B31" i="3"/>
  <c r="D56" i="1"/>
  <c r="F55" i="1"/>
  <c r="Y18" i="4" s="1"/>
  <c r="I15" i="5" s="1"/>
  <c r="E4" i="3" s="1"/>
  <c r="V44" i="3"/>
  <c r="U44" i="3"/>
  <c r="H20" i="8" l="1"/>
  <c r="I9" i="5"/>
  <c r="H15" i="14" s="1"/>
  <c r="B11" i="3"/>
  <c r="F4" i="3"/>
  <c r="G4" i="3" s="1"/>
  <c r="E6" i="3" s="1"/>
  <c r="D57" i="1"/>
  <c r="F56" i="1"/>
  <c r="H8" i="14" l="1"/>
  <c r="H8" i="15"/>
  <c r="Q11" i="5"/>
  <c r="P11" i="8"/>
  <c r="Q12" i="5"/>
  <c r="D58" i="1"/>
  <c r="F57" i="1"/>
  <c r="K50" i="5" l="1"/>
  <c r="K10" i="5"/>
  <c r="K18" i="5"/>
  <c r="K27" i="5"/>
  <c r="K13" i="5"/>
  <c r="K42" i="5"/>
  <c r="K31" i="5"/>
  <c r="K15" i="5"/>
  <c r="K14" i="5"/>
  <c r="K32" i="5"/>
  <c r="K11" i="5"/>
  <c r="K41" i="5"/>
  <c r="K16" i="5"/>
  <c r="K9" i="5"/>
  <c r="K44" i="5"/>
  <c r="AF37" i="3" s="1"/>
  <c r="K30" i="5"/>
  <c r="K21" i="5"/>
  <c r="K36" i="5"/>
  <c r="K12" i="5"/>
  <c r="K19" i="5"/>
  <c r="K17" i="5"/>
  <c r="K23" i="5"/>
  <c r="K46" i="5"/>
  <c r="K35" i="5"/>
  <c r="K47" i="5"/>
  <c r="K51" i="5"/>
  <c r="K33" i="5"/>
  <c r="K43" i="5"/>
  <c r="K20" i="5"/>
  <c r="K49" i="5"/>
  <c r="K38" i="5"/>
  <c r="K40" i="5"/>
  <c r="K39" i="5"/>
  <c r="K22" i="5"/>
  <c r="K34" i="5"/>
  <c r="K48" i="5"/>
  <c r="K24" i="5"/>
  <c r="K26" i="5"/>
  <c r="K28" i="5"/>
  <c r="K25" i="5"/>
  <c r="K45" i="5"/>
  <c r="K37" i="5"/>
  <c r="K29" i="5"/>
  <c r="D59" i="1"/>
  <c r="F58" i="1"/>
  <c r="AF15" i="3" l="1"/>
  <c r="U15" i="3"/>
  <c r="U12" i="3"/>
  <c r="AF12" i="3"/>
  <c r="U19" i="3"/>
  <c r="AF19" i="3"/>
  <c r="AF17" i="3"/>
  <c r="U17" i="3"/>
  <c r="P16" i="5"/>
  <c r="U2" i="3"/>
  <c r="AF2" i="3"/>
  <c r="U9" i="3"/>
  <c r="AF9" i="3"/>
  <c r="U6" i="3"/>
  <c r="AF6" i="3"/>
  <c r="AF20" i="3"/>
  <c r="U20" i="3"/>
  <c r="AF18" i="3"/>
  <c r="U18" i="3"/>
  <c r="AF14" i="3"/>
  <c r="U14" i="3"/>
  <c r="U4" i="3"/>
  <c r="AF4" i="3"/>
  <c r="AF13" i="3"/>
  <c r="U13" i="3"/>
  <c r="AF8" i="3"/>
  <c r="U8" i="3"/>
  <c r="AF11" i="3"/>
  <c r="U11" i="3"/>
  <c r="U5" i="3"/>
  <c r="AF5" i="3"/>
  <c r="AF7" i="3"/>
  <c r="U7" i="3"/>
  <c r="U16" i="3"/>
  <c r="AF16" i="3"/>
  <c r="AF10" i="3"/>
  <c r="U10" i="3"/>
  <c r="D60" i="1"/>
  <c r="F59" i="1"/>
  <c r="I20" i="10"/>
  <c r="J42" i="3" l="1"/>
  <c r="J36" i="3"/>
  <c r="J41" i="3"/>
  <c r="J39" i="3"/>
  <c r="J43" i="3"/>
  <c r="J37" i="3"/>
  <c r="J38" i="3"/>
  <c r="J34" i="3"/>
  <c r="J40" i="3"/>
  <c r="J35" i="3"/>
  <c r="J20" i="3"/>
  <c r="J21" i="3"/>
  <c r="J19" i="3"/>
  <c r="J15" i="3"/>
  <c r="J22" i="3"/>
  <c r="J16" i="3"/>
  <c r="J18" i="3"/>
  <c r="J14" i="3"/>
  <c r="J17" i="3"/>
  <c r="J23" i="3"/>
  <c r="F60" i="1"/>
  <c r="D61" i="1"/>
  <c r="X20" i="10"/>
  <c r="L20" i="10" s="1"/>
  <c r="M20" i="10" s="1"/>
  <c r="N20" i="10" s="1"/>
  <c r="C14" i="3" l="1"/>
  <c r="B14" i="3"/>
  <c r="B22" i="3"/>
  <c r="C22" i="3"/>
  <c r="C19" i="3"/>
  <c r="B19" i="3"/>
  <c r="B35" i="3"/>
  <c r="C35" i="3"/>
  <c r="C38" i="3"/>
  <c r="B38" i="3"/>
  <c r="B43" i="3"/>
  <c r="C43" i="3"/>
  <c r="C23" i="3"/>
  <c r="B23" i="3"/>
  <c r="B39" i="3"/>
  <c r="C39" i="3"/>
  <c r="B41" i="3"/>
  <c r="C41" i="3"/>
  <c r="B18" i="3"/>
  <c r="C18" i="3"/>
  <c r="C15" i="3"/>
  <c r="B15" i="3"/>
  <c r="B21" i="3"/>
  <c r="C21" i="3"/>
  <c r="B40" i="3"/>
  <c r="C40" i="3"/>
  <c r="B37" i="3"/>
  <c r="C37" i="3"/>
  <c r="B36" i="3"/>
  <c r="C36" i="3"/>
  <c r="B17" i="3"/>
  <c r="C17" i="3"/>
  <c r="B16" i="3"/>
  <c r="C16" i="3"/>
  <c r="B20" i="3"/>
  <c r="C20" i="3"/>
  <c r="B42" i="3"/>
  <c r="C42" i="3"/>
  <c r="D62" i="1"/>
  <c r="F61" i="1"/>
  <c r="K20" i="10"/>
  <c r="Y20" i="10"/>
  <c r="AA20" i="10" s="1"/>
  <c r="S20" i="10" s="1"/>
  <c r="F62" i="1" l="1"/>
  <c r="D63" i="1"/>
  <c r="D64" i="1" l="1"/>
  <c r="F63" i="1"/>
  <c r="D65" i="1" l="1"/>
  <c r="F64" i="1"/>
  <c r="F65" i="1" l="1"/>
  <c r="D66" i="1"/>
  <c r="D67" i="1" l="1"/>
  <c r="F66" i="1"/>
  <c r="D68" i="1" l="1"/>
  <c r="F67" i="1"/>
  <c r="F68" i="1" l="1"/>
  <c r="D69" i="1"/>
  <c r="F69" i="1" l="1"/>
  <c r="D70" i="1"/>
  <c r="D71" i="1" l="1"/>
  <c r="F70" i="1"/>
  <c r="D72" i="1" l="1"/>
  <c r="F71" i="1"/>
  <c r="D73" i="1" l="1"/>
  <c r="F72" i="1"/>
  <c r="D74" i="1" l="1"/>
  <c r="F73" i="1"/>
  <c r="F74" i="1" l="1"/>
  <c r="D75" i="1"/>
  <c r="D76" i="1" l="1"/>
  <c r="F75" i="1"/>
  <c r="D77" i="1" l="1"/>
  <c r="F76" i="1"/>
  <c r="F77" i="1" l="1"/>
  <c r="D78" i="1"/>
  <c r="D79" i="1" l="1"/>
  <c r="F78" i="1"/>
  <c r="F79" i="1" l="1"/>
  <c r="D80" i="1"/>
  <c r="F80" i="1" l="1"/>
  <c r="D81" i="1"/>
  <c r="D82" i="1" l="1"/>
  <c r="F81" i="1"/>
  <c r="D83" i="1" l="1"/>
  <c r="F82" i="1"/>
  <c r="F83" i="1" l="1"/>
  <c r="D84" i="1"/>
  <c r="D85" i="1" l="1"/>
  <c r="F84" i="1"/>
  <c r="D86" i="1" l="1"/>
  <c r="F85" i="1"/>
  <c r="D87" i="1" l="1"/>
  <c r="F86" i="1"/>
  <c r="D88" i="1" l="1"/>
  <c r="F87" i="1"/>
  <c r="D89" i="1" l="1"/>
  <c r="F88" i="1"/>
  <c r="F89" i="1" l="1"/>
  <c r="D90" i="1"/>
  <c r="F90" i="1" l="1"/>
  <c r="D91" i="1"/>
  <c r="D92" i="1" l="1"/>
  <c r="F91" i="1"/>
  <c r="F92" i="1" l="1"/>
  <c r="D93" i="1"/>
  <c r="D94" i="1" l="1"/>
  <c r="F93" i="1"/>
  <c r="D95" i="1" l="1"/>
  <c r="F94" i="1"/>
  <c r="F95" i="1" l="1"/>
  <c r="D96" i="1"/>
  <c r="F96" i="1" l="1"/>
  <c r="D97" i="1"/>
  <c r="F97" i="1" l="1"/>
  <c r="D98" i="1"/>
  <c r="F98" i="1" l="1"/>
  <c r="D99" i="1"/>
  <c r="D100" i="1" l="1"/>
  <c r="F99" i="1"/>
  <c r="F100" i="1" l="1"/>
  <c r="D101" i="1"/>
  <c r="D102" i="1" l="1"/>
  <c r="F101" i="1"/>
  <c r="D103" i="1" l="1"/>
  <c r="F102" i="1"/>
  <c r="D104" i="1" l="1"/>
  <c r="F103" i="1"/>
  <c r="F104" i="1" l="1"/>
  <c r="D105" i="1"/>
  <c r="D106" i="1" l="1"/>
  <c r="F105" i="1"/>
  <c r="D107" i="1" l="1"/>
  <c r="F106" i="1"/>
  <c r="D108" i="1" l="1"/>
  <c r="F107" i="1"/>
  <c r="D109" i="1" l="1"/>
  <c r="F108" i="1"/>
  <c r="D110" i="1" l="1"/>
  <c r="F109" i="1"/>
  <c r="D111" i="1" l="1"/>
  <c r="F110" i="1"/>
  <c r="D112" i="1" l="1"/>
  <c r="F111" i="1"/>
  <c r="D113" i="1" l="1"/>
  <c r="F112" i="1"/>
  <c r="D114" i="1" l="1"/>
  <c r="F113" i="1"/>
  <c r="D115" i="1" l="1"/>
  <c r="F114" i="1"/>
  <c r="D116" i="1" l="1"/>
  <c r="F115" i="1"/>
  <c r="F116" i="1" l="1"/>
  <c r="D117" i="1"/>
  <c r="D118" i="1" l="1"/>
  <c r="F117" i="1"/>
  <c r="D119" i="1" l="1"/>
  <c r="F118" i="1"/>
  <c r="F119" i="1" l="1"/>
  <c r="D120" i="1"/>
  <c r="F120" i="1" l="1"/>
  <c r="D121" i="1"/>
  <c r="D122" i="1" l="1"/>
  <c r="F121" i="1"/>
  <c r="D123" i="1" l="1"/>
  <c r="F122" i="1"/>
  <c r="D124" i="1" l="1"/>
  <c r="F123" i="1"/>
  <c r="F124" i="1" l="1"/>
  <c r="D125" i="1"/>
  <c r="F125" i="1" l="1"/>
  <c r="D126" i="1"/>
  <c r="D127" i="1" l="1"/>
  <c r="F126" i="1"/>
  <c r="F127" i="1" l="1"/>
  <c r="D128" i="1"/>
  <c r="D129" i="1" l="1"/>
  <c r="F128" i="1"/>
  <c r="F129" i="1" l="1"/>
  <c r="D130" i="1"/>
  <c r="D131" i="1" l="1"/>
  <c r="F130" i="1"/>
  <c r="D132" i="1" l="1"/>
  <c r="F131" i="1"/>
  <c r="F132" i="1" l="1"/>
  <c r="D133" i="1"/>
  <c r="D134" i="1" l="1"/>
  <c r="F133" i="1"/>
  <c r="D135" i="1" l="1"/>
  <c r="F134" i="1"/>
  <c r="D136" i="1" l="1"/>
  <c r="F135" i="1"/>
  <c r="F136" i="1" l="1"/>
  <c r="D137" i="1"/>
  <c r="D138" i="1" l="1"/>
  <c r="F137" i="1"/>
  <c r="D139" i="1" l="1"/>
  <c r="F138" i="1"/>
  <c r="D140" i="1" l="1"/>
  <c r="F139" i="1"/>
  <c r="F140" i="1" l="1"/>
  <c r="D141" i="1"/>
  <c r="D142" i="1" l="1"/>
  <c r="F141" i="1"/>
  <c r="D143" i="1" l="1"/>
  <c r="F142" i="1"/>
  <c r="D144" i="1" l="1"/>
  <c r="F143" i="1"/>
  <c r="F144" i="1" l="1"/>
  <c r="D145" i="1"/>
  <c r="D146" i="1" l="1"/>
  <c r="F145" i="1"/>
  <c r="F146" i="1" l="1"/>
  <c r="D147" i="1"/>
  <c r="D148" i="1" l="1"/>
  <c r="F147" i="1"/>
  <c r="D149" i="1" l="1"/>
  <c r="F148" i="1"/>
  <c r="D150" i="1" l="1"/>
  <c r="F149" i="1"/>
  <c r="D151" i="1" l="1"/>
  <c r="F150" i="1"/>
  <c r="D152" i="1" l="1"/>
  <c r="F151" i="1"/>
  <c r="F152" i="1" l="1"/>
  <c r="D153" i="1"/>
  <c r="D154" i="1" l="1"/>
  <c r="F153" i="1"/>
  <c r="D155" i="1" l="1"/>
  <c r="F154" i="1"/>
  <c r="D156" i="1" l="1"/>
  <c r="F155" i="1"/>
  <c r="D157" i="1" l="1"/>
  <c r="F156" i="1"/>
  <c r="D158" i="1" l="1"/>
  <c r="F157" i="1"/>
  <c r="F158" i="1" l="1"/>
  <c r="D159" i="1"/>
  <c r="D160" i="1" l="1"/>
  <c r="F159" i="1"/>
  <c r="D161" i="1" l="1"/>
  <c r="F160" i="1"/>
  <c r="D162" i="1" l="1"/>
  <c r="F161" i="1"/>
  <c r="D163" i="1" l="1"/>
  <c r="F162" i="1"/>
  <c r="D164" i="1" l="1"/>
  <c r="F163" i="1"/>
  <c r="F164" i="1" l="1"/>
  <c r="D165" i="1"/>
  <c r="D166" i="1" l="1"/>
  <c r="F165" i="1"/>
  <c r="D167" i="1" l="1"/>
  <c r="F166" i="1"/>
  <c r="F167" i="1" l="1"/>
  <c r="D168" i="1"/>
  <c r="F168" i="1" l="1"/>
  <c r="D169" i="1"/>
  <c r="D170" i="1" l="1"/>
  <c r="F169" i="1"/>
  <c r="D171" i="1" l="1"/>
  <c r="F170" i="1"/>
  <c r="D172" i="1" l="1"/>
  <c r="F171" i="1"/>
  <c r="D173" i="1" l="1"/>
  <c r="F172" i="1"/>
  <c r="D174" i="1" l="1"/>
  <c r="F173" i="1"/>
  <c r="F174" i="1" l="1"/>
  <c r="D175" i="1"/>
  <c r="F175" i="1" l="1"/>
  <c r="D176" i="1"/>
  <c r="D177" i="1" l="1"/>
  <c r="F176" i="1"/>
  <c r="D178" i="1" l="1"/>
  <c r="F177" i="1"/>
  <c r="D179" i="1" l="1"/>
  <c r="F178" i="1"/>
  <c r="D180" i="1" l="1"/>
  <c r="F179" i="1"/>
  <c r="D181" i="1" l="1"/>
  <c r="F180" i="1"/>
  <c r="D182" i="1" l="1"/>
  <c r="F181" i="1"/>
  <c r="D183" i="1" l="1"/>
  <c r="F182" i="1"/>
  <c r="D184" i="1" l="1"/>
  <c r="F183" i="1"/>
  <c r="D185" i="1" l="1"/>
  <c r="F184" i="1"/>
  <c r="D186" i="1" l="1"/>
  <c r="F185" i="1"/>
  <c r="D187" i="1" l="1"/>
  <c r="F186" i="1"/>
  <c r="F187" i="1" l="1"/>
  <c r="D188" i="1"/>
  <c r="F188" i="1" l="1"/>
  <c r="D189" i="1"/>
  <c r="D190" i="1" l="1"/>
  <c r="F189" i="1"/>
  <c r="F190" i="1" l="1"/>
  <c r="D191" i="1"/>
  <c r="D192" i="1" l="1"/>
  <c r="F191" i="1"/>
  <c r="F192" i="1" l="1"/>
  <c r="D193" i="1"/>
  <c r="D194" i="1" l="1"/>
  <c r="F193" i="1"/>
  <c r="D195" i="1" l="1"/>
  <c r="F194" i="1"/>
  <c r="D196" i="1" l="1"/>
  <c r="F195" i="1"/>
  <c r="D197" i="1" l="1"/>
  <c r="F196" i="1"/>
  <c r="D198" i="1" l="1"/>
  <c r="F197" i="1"/>
  <c r="D199" i="1" l="1"/>
  <c r="F198" i="1"/>
  <c r="F199" i="1" l="1"/>
  <c r="D200" i="1"/>
  <c r="D201" i="1" l="1"/>
  <c r="F200" i="1"/>
  <c r="D202" i="1" l="1"/>
  <c r="F201" i="1"/>
  <c r="F202" i="1" l="1"/>
  <c r="D203" i="1"/>
  <c r="D204" i="1" l="1"/>
  <c r="F203" i="1"/>
  <c r="F204" i="1" l="1"/>
  <c r="D205" i="1"/>
  <c r="D206" i="1" l="1"/>
  <c r="F205" i="1"/>
  <c r="F206" i="1" l="1"/>
  <c r="D207" i="1"/>
  <c r="F207" i="1" l="1"/>
  <c r="D208" i="1"/>
  <c r="D209" i="1" l="1"/>
  <c r="F208" i="1"/>
  <c r="D210" i="1" l="1"/>
  <c r="F209" i="1"/>
  <c r="F210" i="1" l="1"/>
  <c r="D211" i="1"/>
  <c r="D212" i="1" l="1"/>
  <c r="F211" i="1"/>
  <c r="F212" i="1" l="1"/>
  <c r="D213" i="1"/>
  <c r="D214" i="1" l="1"/>
  <c r="F213" i="1"/>
  <c r="D215" i="1" l="1"/>
  <c r="F214" i="1"/>
  <c r="D216" i="1" l="1"/>
  <c r="F215" i="1"/>
  <c r="F216" i="1" l="1"/>
  <c r="D217" i="1"/>
  <c r="D218" i="1" l="1"/>
  <c r="F217" i="1"/>
  <c r="F218" i="1" l="1"/>
  <c r="D219" i="1"/>
  <c r="D220" i="1" l="1"/>
  <c r="F219" i="1"/>
  <c r="D221" i="1" l="1"/>
  <c r="F220" i="1"/>
  <c r="D222" i="1" l="1"/>
  <c r="F221" i="1"/>
  <c r="F222" i="1" l="1"/>
  <c r="D223" i="1"/>
  <c r="D224" i="1" l="1"/>
  <c r="F223" i="1"/>
  <c r="D225" i="1" l="1"/>
  <c r="F224" i="1"/>
  <c r="D226" i="1" l="1"/>
  <c r="F225" i="1"/>
  <c r="D227" i="1" l="1"/>
  <c r="F226" i="1"/>
  <c r="D228" i="1" l="1"/>
  <c r="F227" i="1"/>
  <c r="F228" i="1" l="1"/>
  <c r="D229" i="1"/>
  <c r="D230" i="1" l="1"/>
  <c r="F229" i="1"/>
  <c r="D231" i="1" l="1"/>
  <c r="F230" i="1"/>
  <c r="D232" i="1" l="1"/>
  <c r="F231" i="1"/>
  <c r="F232" i="1" l="1"/>
  <c r="D233" i="1"/>
  <c r="F233" i="1" l="1"/>
  <c r="D234" i="1"/>
  <c r="D235" i="1" l="1"/>
  <c r="F234" i="1"/>
  <c r="D236" i="1" l="1"/>
  <c r="F235" i="1"/>
  <c r="D237" i="1" l="1"/>
  <c r="F236" i="1"/>
  <c r="D238" i="1" l="1"/>
  <c r="F237" i="1"/>
  <c r="D239" i="1" l="1"/>
  <c r="F238" i="1"/>
  <c r="D240" i="1" l="1"/>
  <c r="F239" i="1"/>
  <c r="F240" i="1" l="1"/>
  <c r="D241" i="1"/>
  <c r="D242" i="1" l="1"/>
  <c r="F241" i="1"/>
  <c r="F242" i="1" l="1"/>
  <c r="D243" i="1"/>
  <c r="D244" i="1" l="1"/>
  <c r="F243" i="1"/>
  <c r="F244" i="1" l="1"/>
  <c r="D245" i="1"/>
  <c r="D246" i="1" l="1"/>
  <c r="F245" i="1"/>
  <c r="F246" i="1" l="1"/>
  <c r="D247" i="1"/>
  <c r="D248" i="1" l="1"/>
  <c r="F247" i="1"/>
  <c r="D249" i="1" l="1"/>
  <c r="F248" i="1"/>
  <c r="D250" i="1" l="1"/>
  <c r="F249" i="1"/>
  <c r="D251" i="1" l="1"/>
  <c r="F250" i="1"/>
  <c r="D252" i="1" l="1"/>
  <c r="F251" i="1"/>
  <c r="F252" i="1" l="1"/>
  <c r="D253" i="1"/>
  <c r="D254" i="1" l="1"/>
  <c r="F253" i="1"/>
  <c r="D255" i="1" l="1"/>
  <c r="F254" i="1"/>
  <c r="F255" i="1" l="1"/>
  <c r="D256" i="1"/>
  <c r="D257" i="1" l="1"/>
  <c r="F256" i="1"/>
  <c r="D258" i="1" l="1"/>
  <c r="F257" i="1"/>
  <c r="D259" i="1" l="1"/>
  <c r="F258" i="1"/>
  <c r="F259" i="1" l="1"/>
  <c r="D260" i="1"/>
  <c r="D261" i="1" l="1"/>
  <c r="F260" i="1"/>
  <c r="D262" i="1" l="1"/>
  <c r="F261" i="1"/>
  <c r="F262" i="1" l="1"/>
  <c r="D263" i="1"/>
  <c r="D264" i="1" l="1"/>
  <c r="F263" i="1"/>
  <c r="D265" i="1" l="1"/>
  <c r="F264" i="1"/>
  <c r="D266" i="1" l="1"/>
  <c r="F265" i="1"/>
  <c r="D267" i="1" l="1"/>
  <c r="F266" i="1"/>
  <c r="D268" i="1" l="1"/>
  <c r="F267" i="1"/>
  <c r="D269" i="1" l="1"/>
  <c r="F268" i="1"/>
  <c r="D270" i="1" l="1"/>
  <c r="F269" i="1"/>
  <c r="D271" i="1" l="1"/>
  <c r="F270" i="1"/>
  <c r="D272" i="1" l="1"/>
  <c r="F271" i="1"/>
  <c r="F272" i="1" l="1"/>
  <c r="D273" i="1"/>
  <c r="F273" i="1" l="1"/>
  <c r="D274" i="1"/>
  <c r="D275" i="1" l="1"/>
  <c r="F274" i="1"/>
  <c r="D276" i="1" l="1"/>
  <c r="F275" i="1"/>
  <c r="D277" i="1" l="1"/>
  <c r="F276" i="1"/>
  <c r="F277" i="1" l="1"/>
  <c r="D278" i="1"/>
  <c r="F278" i="1" l="1"/>
  <c r="D279" i="1"/>
  <c r="D280" i="1" l="1"/>
  <c r="F279" i="1"/>
  <c r="D281" i="1" l="1"/>
  <c r="F280" i="1"/>
  <c r="D282" i="1" l="1"/>
  <c r="F281" i="1"/>
  <c r="F282" i="1" l="1"/>
  <c r="D283" i="1"/>
  <c r="D284" i="1" l="1"/>
  <c r="F283" i="1"/>
  <c r="D285" i="1" l="1"/>
  <c r="F284" i="1"/>
  <c r="D286" i="1" l="1"/>
  <c r="F285" i="1"/>
  <c r="F286" i="1" l="1"/>
  <c r="D287" i="1"/>
  <c r="D288" i="1" l="1"/>
  <c r="F287" i="1"/>
  <c r="F288" i="1" l="1"/>
  <c r="D289" i="1"/>
  <c r="D290" i="1" l="1"/>
  <c r="F289" i="1"/>
  <c r="F290" i="1" l="1"/>
  <c r="D291" i="1"/>
  <c r="D292" i="1" l="1"/>
  <c r="F291" i="1"/>
  <c r="F292" i="1" l="1"/>
  <c r="D293" i="1"/>
  <c r="D294" i="1" l="1"/>
  <c r="F293" i="1"/>
  <c r="D295" i="1" l="1"/>
  <c r="F294" i="1"/>
  <c r="D296" i="1" l="1"/>
  <c r="F295" i="1"/>
  <c r="D297" i="1" l="1"/>
  <c r="F296" i="1"/>
  <c r="D298" i="1" l="1"/>
  <c r="F297" i="1"/>
  <c r="D299" i="1" l="1"/>
  <c r="F298" i="1"/>
  <c r="F299" i="1" l="1"/>
  <c r="D300" i="1"/>
  <c r="F300" i="1" l="1"/>
  <c r="D301" i="1"/>
  <c r="D302" i="1" l="1"/>
  <c r="F301" i="1"/>
  <c r="F302" i="1" l="1"/>
  <c r="D303" i="1"/>
  <c r="F303" i="1" l="1"/>
  <c r="D304" i="1"/>
  <c r="D305" i="1" l="1"/>
  <c r="F304" i="1"/>
  <c r="D306" i="1" l="1"/>
  <c r="F305" i="1"/>
  <c r="D307" i="1" l="1"/>
  <c r="F306" i="1"/>
  <c r="D308" i="1" l="1"/>
  <c r="F307" i="1"/>
  <c r="D309" i="1" l="1"/>
  <c r="F308" i="1"/>
  <c r="D310" i="1" l="1"/>
  <c r="F309" i="1"/>
  <c r="F310" i="1" l="1"/>
  <c r="D311" i="1"/>
  <c r="D312" i="1" l="1"/>
  <c r="F311" i="1"/>
  <c r="F312" i="1" l="1"/>
  <c r="D313" i="1"/>
  <c r="D314" i="1" l="1"/>
  <c r="F313" i="1"/>
  <c r="F314" i="1" l="1"/>
  <c r="D315" i="1"/>
  <c r="F315" i="1" l="1"/>
  <c r="D316" i="1"/>
  <c r="D317" i="1" l="1"/>
  <c r="F316" i="1"/>
  <c r="D318" i="1" l="1"/>
  <c r="F317" i="1"/>
  <c r="D319" i="1" l="1"/>
  <c r="F318" i="1"/>
  <c r="D320" i="1" l="1"/>
  <c r="F319" i="1"/>
  <c r="D321" i="1" l="1"/>
  <c r="F320" i="1"/>
  <c r="D322" i="1" l="1"/>
  <c r="F321" i="1"/>
  <c r="F322" i="1" l="1"/>
  <c r="D323" i="1"/>
  <c r="D324" i="1" l="1"/>
  <c r="F323" i="1"/>
  <c r="D325" i="1" l="1"/>
  <c r="F324" i="1"/>
  <c r="D326" i="1" l="1"/>
  <c r="F325" i="1"/>
  <c r="D327" i="1" l="1"/>
  <c r="F326" i="1"/>
  <c r="F327" i="1" l="1"/>
  <c r="D328" i="1"/>
  <c r="F328" i="1" l="1"/>
  <c r="D329" i="1"/>
  <c r="D330" i="1" l="1"/>
  <c r="F329" i="1"/>
  <c r="D331" i="1" l="1"/>
  <c r="F330" i="1"/>
  <c r="D332" i="1" l="1"/>
  <c r="F331" i="1"/>
  <c r="AD3" i="3"/>
  <c r="AD44" i="3"/>
  <c r="AD40" i="3"/>
  <c r="F332" i="1" l="1"/>
  <c r="D333" i="1"/>
  <c r="S35" i="3"/>
  <c r="S41" i="3"/>
  <c r="S43" i="3"/>
  <c r="S39" i="3"/>
  <c r="S33" i="3"/>
  <c r="S36" i="3"/>
  <c r="S42" i="3"/>
  <c r="S40" i="3"/>
  <c r="S37" i="3"/>
  <c r="S44" i="3"/>
  <c r="S30" i="3"/>
  <c r="S29" i="3"/>
  <c r="S34" i="3"/>
  <c r="S38" i="3"/>
  <c r="F333" i="1" l="1"/>
  <c r="D334" i="1"/>
  <c r="P20" i="10"/>
  <c r="Q20" i="10" s="1"/>
  <c r="P22" i="10"/>
  <c r="Q22" i="10" s="1"/>
  <c r="P21" i="10"/>
  <c r="Q21" i="10" s="1"/>
  <c r="D335" i="1" l="1"/>
  <c r="F335" i="1" s="1"/>
  <c r="F334" i="1"/>
  <c r="R22" i="10"/>
  <c r="R21" i="10"/>
  <c r="R20" i="10"/>
  <c r="P14" i="13" l="1"/>
  <c r="R14" i="13" s="1"/>
  <c r="P18" i="13"/>
  <c r="Q18" i="13" s="1"/>
  <c r="P21" i="13"/>
  <c r="R21" i="13" s="1"/>
  <c r="P16" i="13"/>
  <c r="Q16" i="13" s="1"/>
  <c r="P19" i="13"/>
  <c r="Q19" i="13" s="1"/>
  <c r="P15" i="13"/>
  <c r="R15" i="13" s="1"/>
  <c r="P20" i="13"/>
  <c r="R20" i="13" s="1"/>
  <c r="P13" i="13"/>
  <c r="Q13" i="13" s="1"/>
  <c r="P22" i="13"/>
  <c r="R22" i="13" s="1"/>
  <c r="P17" i="13"/>
  <c r="R17" i="13" s="1"/>
  <c r="R18" i="13" l="1"/>
  <c r="R19" i="13"/>
  <c r="Q22" i="13"/>
  <c r="Q20" i="13"/>
  <c r="R16" i="13"/>
  <c r="R13" i="13"/>
  <c r="Q14" i="13"/>
  <c r="Q17" i="13"/>
  <c r="Q21" i="13"/>
  <c r="Q15" i="13"/>
  <c r="I19" i="13"/>
  <c r="X19" i="13" s="1"/>
  <c r="I16" i="13"/>
  <c r="X16" i="13" s="1"/>
  <c r="Y16" i="13" l="1"/>
  <c r="AA16" i="13" s="1"/>
  <c r="S16" i="13" s="1"/>
  <c r="K16" i="13"/>
  <c r="L16" i="13"/>
  <c r="M16" i="13" s="1"/>
  <c r="N16" i="13" s="1"/>
  <c r="L19" i="13"/>
  <c r="M19" i="13" s="1"/>
  <c r="N19" i="13" s="1"/>
  <c r="Y19" i="13"/>
  <c r="AA19" i="13" s="1"/>
  <c r="S19" i="13" s="1"/>
  <c r="K19" i="13"/>
  <c r="H13" i="6" l="1"/>
  <c r="H12" i="6" l="1"/>
  <c r="Z44" i="3" l="1"/>
  <c r="O44" i="3"/>
  <c r="P44" i="3" l="1"/>
  <c r="Q44" i="3"/>
  <c r="R44" i="3" s="1"/>
  <c r="T44" i="3"/>
  <c r="AE44" i="3"/>
  <c r="AB44" i="3"/>
  <c r="AC44" i="3" s="1"/>
  <c r="AA44" i="3"/>
  <c r="B34" i="3" l="1"/>
  <c r="C34" i="3" l="1"/>
  <c r="I18" i="10" l="1"/>
  <c r="X18" i="10" l="1"/>
  <c r="K18" i="10" s="1"/>
  <c r="L18" i="10" l="1"/>
  <c r="M18" i="10" s="1"/>
  <c r="N18" i="10" s="1"/>
  <c r="Y18" i="10"/>
  <c r="AA18" i="10" s="1"/>
  <c r="S18" i="10" s="1"/>
  <c r="I19" i="10"/>
  <c r="X19" i="10" l="1"/>
  <c r="Y19" i="10" s="1"/>
  <c r="AA19" i="10" s="1"/>
  <c r="S19" i="10" s="1"/>
  <c r="L19" i="10" l="1"/>
  <c r="M19" i="10" s="1"/>
  <c r="N19" i="10" s="1"/>
  <c r="K19" i="10"/>
  <c r="O18" i="10" l="1"/>
  <c r="P18" i="10" l="1"/>
  <c r="O19" i="10"/>
  <c r="R18" i="10" l="1"/>
  <c r="Q18" i="10"/>
  <c r="P19" i="10"/>
  <c r="R19" i="10" l="1"/>
  <c r="Q19" i="10"/>
  <c r="I11" i="13" l="1"/>
  <c r="I12" i="13"/>
  <c r="X12" i="13" l="1"/>
  <c r="L12" i="13" s="1"/>
  <c r="M12" i="13" s="1"/>
  <c r="N12" i="13" s="1"/>
  <c r="X11" i="13"/>
  <c r="L11" i="13" s="1"/>
  <c r="M11" i="13" s="1"/>
  <c r="N11" i="13" s="1"/>
  <c r="K11" i="13" l="1"/>
  <c r="Y11" i="13"/>
  <c r="AA11" i="13" s="1"/>
  <c r="S11" i="13" s="1"/>
  <c r="K12" i="13"/>
  <c r="Y12" i="13"/>
  <c r="AA12" i="13" s="1"/>
  <c r="S12" i="13" s="1"/>
  <c r="AD31" i="3" l="1"/>
  <c r="AD30" i="3"/>
  <c r="O16" i="9" l="1"/>
  <c r="P16" i="9" l="1"/>
  <c r="O17" i="9"/>
  <c r="P17" i="9" l="1"/>
  <c r="R17" i="9" s="1"/>
  <c r="Q16" i="9"/>
  <c r="R16" i="9"/>
  <c r="O17" i="10" l="1"/>
  <c r="Q17" i="9"/>
  <c r="P17" i="10" l="1"/>
  <c r="Q17" i="10" s="1"/>
  <c r="R17" i="10" l="1"/>
  <c r="AD33" i="3" l="1"/>
  <c r="H10" i="6" l="1"/>
  <c r="O12" i="13" l="1"/>
  <c r="P12" i="13" s="1"/>
  <c r="Q12" i="13" l="1"/>
  <c r="R12" i="13"/>
  <c r="H8" i="7" l="1"/>
  <c r="H8" i="6"/>
  <c r="H9" i="6" l="1"/>
  <c r="J8" i="7" l="1"/>
  <c r="J8" i="6"/>
  <c r="J9" i="6" l="1"/>
  <c r="AC8" i="6"/>
  <c r="Z8" i="6"/>
  <c r="Z8" i="7"/>
  <c r="AC8" i="7"/>
  <c r="AC9" i="6" l="1"/>
  <c r="Z9" i="6"/>
  <c r="J11" i="6"/>
  <c r="J10" i="6"/>
  <c r="Z10" i="6" l="1"/>
  <c r="AC10" i="6"/>
  <c r="Z11" i="6"/>
  <c r="AC11" i="6"/>
  <c r="J13" i="6"/>
  <c r="J12" i="6"/>
  <c r="Z12" i="6" l="1"/>
  <c r="AC12" i="6"/>
  <c r="Z13" i="6"/>
  <c r="AC13" i="6"/>
  <c r="H11" i="6"/>
  <c r="G11" i="11" l="1"/>
  <c r="G10" i="11" s="1"/>
  <c r="G19" i="11" l="1"/>
  <c r="G18" i="11"/>
  <c r="G17" i="11" s="1"/>
  <c r="G16" i="11" s="1"/>
  <c r="G15" i="11" s="1"/>
  <c r="G14" i="11" s="1"/>
  <c r="G13" i="11" s="1"/>
  <c r="G12" i="11" s="1"/>
  <c r="G9" i="11" s="1"/>
  <c r="G42" i="11" l="1"/>
  <c r="G33" i="11"/>
  <c r="G40" i="11"/>
  <c r="G23" i="11"/>
  <c r="G20" i="11"/>
  <c r="G26" i="11"/>
  <c r="G43" i="11"/>
  <c r="G30" i="11"/>
  <c r="G49" i="11"/>
  <c r="G48" i="11"/>
  <c r="G45" i="11"/>
  <c r="G32" i="11"/>
  <c r="G47" i="11"/>
  <c r="G24" i="11"/>
  <c r="G51" i="11"/>
  <c r="G21" i="11"/>
  <c r="G50" i="11"/>
  <c r="G34" i="11"/>
  <c r="G31" i="11"/>
  <c r="G28" i="11"/>
  <c r="G25" i="11"/>
  <c r="G44" i="11"/>
  <c r="G39" i="11"/>
  <c r="G38" i="11"/>
  <c r="G46" i="11"/>
  <c r="G36" i="11"/>
  <c r="G35" i="11"/>
  <c r="G29" i="11"/>
  <c r="G22" i="11"/>
  <c r="G37" i="11"/>
  <c r="G27" i="11"/>
  <c r="G41" i="11"/>
  <c r="I11" i="11"/>
  <c r="I10" i="11" l="1"/>
  <c r="I10" i="13"/>
  <c r="X10" i="13" s="1"/>
  <c r="I19" i="11"/>
  <c r="I16" i="12" s="1"/>
  <c r="L10" i="13" l="1"/>
  <c r="M10" i="13" s="1"/>
  <c r="N10" i="13" s="1"/>
  <c r="K10" i="13"/>
  <c r="Y10" i="13"/>
  <c r="AA10" i="13" s="1"/>
  <c r="S10" i="13" s="1"/>
  <c r="X16" i="12"/>
  <c r="L16" i="12" s="1"/>
  <c r="M16" i="12" s="1"/>
  <c r="N16" i="12" s="1"/>
  <c r="I18" i="11"/>
  <c r="I9" i="13"/>
  <c r="I17" i="11" l="1"/>
  <c r="I15" i="12"/>
  <c r="K16" i="12"/>
  <c r="Y16" i="12"/>
  <c r="AA16" i="12" s="1"/>
  <c r="S16" i="12" s="1"/>
  <c r="X9" i="13"/>
  <c r="L9" i="13" s="1"/>
  <c r="M9" i="13" s="1"/>
  <c r="N9" i="13" s="1"/>
  <c r="X15" i="12" l="1"/>
  <c r="L15" i="12" s="1"/>
  <c r="M15" i="12" s="1"/>
  <c r="N15" i="12" s="1"/>
  <c r="I16" i="11"/>
  <c r="I14" i="12"/>
  <c r="X14" i="12" s="1"/>
  <c r="K9" i="13"/>
  <c r="Y9" i="13"/>
  <c r="AA9" i="13" s="1"/>
  <c r="S9" i="13" s="1"/>
  <c r="L14" i="12" l="1"/>
  <c r="M14" i="12" s="1"/>
  <c r="N14" i="12" s="1"/>
  <c r="K14" i="12"/>
  <c r="Y14" i="12"/>
  <c r="I15" i="11"/>
  <c r="I13" i="12"/>
  <c r="Y15" i="12"/>
  <c r="K15" i="12"/>
  <c r="X13" i="12" l="1"/>
  <c r="L13" i="12" s="1"/>
  <c r="M13" i="12" s="1"/>
  <c r="N13" i="12" s="1"/>
  <c r="I14" i="11"/>
  <c r="I12" i="12"/>
  <c r="X12" i="12" l="1"/>
  <c r="L12" i="12" s="1"/>
  <c r="M12" i="12" s="1"/>
  <c r="N12" i="12" s="1"/>
  <c r="I13" i="11"/>
  <c r="I11" i="12"/>
  <c r="Y13" i="12"/>
  <c r="K13" i="12"/>
  <c r="X11" i="12" l="1"/>
  <c r="L11" i="12" s="1"/>
  <c r="M11" i="12" s="1"/>
  <c r="N11" i="12" s="1"/>
  <c r="I12" i="11"/>
  <c r="I10" i="12"/>
  <c r="Y12" i="12"/>
  <c r="K12" i="12"/>
  <c r="Z43" i="3"/>
  <c r="O43" i="3"/>
  <c r="X10" i="12" l="1"/>
  <c r="L10" i="12" s="1"/>
  <c r="M10" i="12" s="1"/>
  <c r="N10" i="12" s="1"/>
  <c r="I9" i="12"/>
  <c r="I9" i="11"/>
  <c r="K11" i="12"/>
  <c r="Y11" i="12"/>
  <c r="O42" i="3"/>
  <c r="P42" i="3" s="1"/>
  <c r="T42" i="3" s="1"/>
  <c r="Z42" i="3"/>
  <c r="AA42" i="3" s="1"/>
  <c r="AE42" i="3" s="1"/>
  <c r="P43" i="3"/>
  <c r="T43" i="3" s="1"/>
  <c r="Q43" i="3"/>
  <c r="R43" i="3" s="1"/>
  <c r="Z41" i="3"/>
  <c r="O41" i="3"/>
  <c r="AB43" i="3"/>
  <c r="AC43" i="3" s="1"/>
  <c r="AA43" i="3"/>
  <c r="AE43" i="3" s="1"/>
  <c r="Q42" i="3" l="1"/>
  <c r="R42" i="3" s="1"/>
  <c r="AB42" i="3"/>
  <c r="AC42" i="3" s="1"/>
  <c r="I27" i="11"/>
  <c r="O5" i="11"/>
  <c r="I37" i="11"/>
  <c r="I48" i="11"/>
  <c r="I25" i="11"/>
  <c r="I22" i="11"/>
  <c r="I32" i="11"/>
  <c r="I31" i="11"/>
  <c r="I21" i="11"/>
  <c r="I42" i="11"/>
  <c r="I35" i="11"/>
  <c r="I24" i="11"/>
  <c r="I45" i="11"/>
  <c r="I47" i="11"/>
  <c r="I34" i="11"/>
  <c r="I8" i="12"/>
  <c r="I41" i="11"/>
  <c r="I49" i="11"/>
  <c r="I20" i="11"/>
  <c r="I36" i="11"/>
  <c r="I51" i="11"/>
  <c r="I33" i="11"/>
  <c r="I39" i="11"/>
  <c r="I29" i="11"/>
  <c r="I8" i="13"/>
  <c r="I28" i="11"/>
  <c r="I40" i="11"/>
  <c r="I26" i="11"/>
  <c r="I44" i="11"/>
  <c r="AE24" i="4"/>
  <c r="I50" i="11"/>
  <c r="I23" i="11"/>
  <c r="I30" i="11"/>
  <c r="I43" i="11"/>
  <c r="I38" i="11"/>
  <c r="I46" i="11"/>
  <c r="X9" i="12"/>
  <c r="L9" i="12" s="1"/>
  <c r="M9" i="12" s="1"/>
  <c r="N9" i="12" s="1"/>
  <c r="K10" i="12"/>
  <c r="Y10" i="12"/>
  <c r="P41" i="3"/>
  <c r="T41" i="3" s="1"/>
  <c r="Q41" i="3"/>
  <c r="R41" i="3" s="1"/>
  <c r="AB41" i="3"/>
  <c r="AC41" i="3" s="1"/>
  <c r="AA41" i="3"/>
  <c r="AE41" i="3" s="1"/>
  <c r="P12" i="11" l="1"/>
  <c r="J28" i="11" s="1"/>
  <c r="AF4" i="12"/>
  <c r="X8" i="12"/>
  <c r="L8" i="12" s="1"/>
  <c r="M8" i="12" s="1"/>
  <c r="AF5" i="12"/>
  <c r="K9" i="12"/>
  <c r="Y9" i="12"/>
  <c r="AE28" i="4"/>
  <c r="AE30" i="4"/>
  <c r="K23" i="1"/>
  <c r="K24" i="1" s="1"/>
  <c r="K26" i="1" s="1"/>
  <c r="AE20" i="4"/>
  <c r="AE18" i="4" s="1"/>
  <c r="AF5" i="13"/>
  <c r="X8" i="13"/>
  <c r="L8" i="13" s="1"/>
  <c r="M8" i="13" s="1"/>
  <c r="AF4" i="13"/>
  <c r="O6" i="11"/>
  <c r="P2" i="11"/>
  <c r="O7" i="11"/>
  <c r="M9" i="11" l="1"/>
  <c r="N23" i="12"/>
  <c r="J35" i="11"/>
  <c r="J43" i="11"/>
  <c r="J40" i="11"/>
  <c r="J23" i="11"/>
  <c r="J48" i="11"/>
  <c r="J31" i="11"/>
  <c r="J26" i="11"/>
  <c r="J39" i="11"/>
  <c r="J11" i="11"/>
  <c r="J20" i="11"/>
  <c r="J49" i="11"/>
  <c r="J17" i="11"/>
  <c r="J18" i="11"/>
  <c r="J12" i="11"/>
  <c r="J41" i="11"/>
  <c r="J29" i="11"/>
  <c r="J34" i="11"/>
  <c r="J13" i="11"/>
  <c r="J27" i="11"/>
  <c r="J46" i="11"/>
  <c r="J42" i="11"/>
  <c r="J10" i="11"/>
  <c r="J36" i="11"/>
  <c r="J47" i="11"/>
  <c r="J22" i="11"/>
  <c r="J38" i="11"/>
  <c r="J19" i="11"/>
  <c r="J37" i="11"/>
  <c r="J25" i="11"/>
  <c r="J14" i="11"/>
  <c r="J32" i="11"/>
  <c r="J51" i="11"/>
  <c r="J9" i="11"/>
  <c r="J33" i="11"/>
  <c r="J21" i="11"/>
  <c r="J15" i="11"/>
  <c r="J16" i="11"/>
  <c r="J45" i="11"/>
  <c r="J24" i="11"/>
  <c r="J30" i="11"/>
  <c r="J44" i="11"/>
  <c r="J50" i="11"/>
  <c r="N8" i="13"/>
  <c r="O8" i="13" s="1"/>
  <c r="P8" i="13" s="1"/>
  <c r="N8" i="12"/>
  <c r="K8" i="13"/>
  <c r="Y8" i="13"/>
  <c r="AA8" i="13" s="1"/>
  <c r="S8" i="13" s="1"/>
  <c r="AB23" i="13"/>
  <c r="AB10" i="13"/>
  <c r="AB22" i="13"/>
  <c r="AB12" i="13"/>
  <c r="AB9" i="13"/>
  <c r="AB11" i="13"/>
  <c r="AB18" i="13"/>
  <c r="AB8" i="13"/>
  <c r="AB17" i="13"/>
  <c r="AB16" i="13"/>
  <c r="AB15" i="13"/>
  <c r="AB14" i="13"/>
  <c r="AB20" i="13"/>
  <c r="AB21" i="13"/>
  <c r="AB13" i="13"/>
  <c r="AB19" i="13"/>
  <c r="AB12" i="12"/>
  <c r="AB10" i="12"/>
  <c r="AB8" i="12"/>
  <c r="AB20" i="12"/>
  <c r="AB17" i="12"/>
  <c r="AB21" i="12"/>
  <c r="AB13" i="12"/>
  <c r="AB15" i="12"/>
  <c r="AB11" i="12"/>
  <c r="AB23" i="12"/>
  <c r="AB22" i="12"/>
  <c r="AB14" i="12"/>
  <c r="AB19" i="12"/>
  <c r="AB9" i="12"/>
  <c r="AB16" i="12"/>
  <c r="AB18" i="12"/>
  <c r="N23" i="13"/>
  <c r="Y8" i="12"/>
  <c r="K8" i="12"/>
  <c r="O16" i="11" l="1"/>
  <c r="Q8" i="13"/>
  <c r="R8" i="13"/>
  <c r="O9" i="13"/>
  <c r="O10" i="13" s="1"/>
  <c r="O23" i="13" s="1"/>
  <c r="P23" i="13" s="1"/>
  <c r="P9" i="13" l="1"/>
  <c r="R9" i="13" s="1"/>
  <c r="R23" i="13"/>
  <c r="Q23" i="13"/>
  <c r="O11" i="13"/>
  <c r="P11" i="13" s="1"/>
  <c r="P10" i="13"/>
  <c r="P32" i="11" l="1"/>
  <c r="M5" i="11" s="1"/>
  <c r="Q9" i="13"/>
  <c r="M10" i="11" s="1"/>
  <c r="Q10" i="13"/>
  <c r="R10" i="13"/>
  <c r="D2" i="13"/>
  <c r="R11" i="13"/>
  <c r="Q11" i="13"/>
  <c r="G25" i="8"/>
  <c r="G24" i="8" s="1"/>
  <c r="G23" i="8" s="1"/>
  <c r="G22" i="8" s="1"/>
  <c r="G21" i="8" s="1"/>
  <c r="G20" i="8" s="1"/>
  <c r="G19" i="8" s="1"/>
  <c r="G18" i="8" s="1"/>
  <c r="G17" i="8" s="1"/>
  <c r="G16" i="8" s="1"/>
  <c r="G15" i="8" s="1"/>
  <c r="C2" i="13" l="1"/>
  <c r="G14" i="8"/>
  <c r="G13" i="8" s="1"/>
  <c r="G12" i="8" s="1"/>
  <c r="G11" i="8" s="1"/>
  <c r="G10" i="8" s="1"/>
  <c r="G9" i="8" s="1"/>
  <c r="I25" i="8"/>
  <c r="I16" i="10" s="1"/>
  <c r="G51" i="8" l="1"/>
  <c r="G40" i="8"/>
  <c r="G49" i="8"/>
  <c r="G29" i="8"/>
  <c r="G34" i="8"/>
  <c r="G44" i="8"/>
  <c r="G36" i="8"/>
  <c r="G38" i="8"/>
  <c r="G28" i="8"/>
  <c r="G33" i="8"/>
  <c r="G41" i="8"/>
  <c r="G47" i="8"/>
  <c r="G35" i="8"/>
  <c r="G27" i="8"/>
  <c r="G48" i="8"/>
  <c r="G43" i="8"/>
  <c r="G39" i="8"/>
  <c r="G45" i="8"/>
  <c r="G32" i="8"/>
  <c r="G42" i="8"/>
  <c r="G31" i="8"/>
  <c r="G26" i="8"/>
  <c r="G46" i="8"/>
  <c r="G50" i="8"/>
  <c r="G37" i="8"/>
  <c r="G30" i="8"/>
  <c r="I24" i="8"/>
  <c r="I16" i="8"/>
  <c r="I15" i="9" s="1"/>
  <c r="X16" i="10"/>
  <c r="L16" i="10" s="1"/>
  <c r="M16" i="10" s="1"/>
  <c r="N16" i="10" s="1"/>
  <c r="Y16" i="10" l="1"/>
  <c r="AA16" i="10" s="1"/>
  <c r="S16" i="10" s="1"/>
  <c r="K16" i="10"/>
  <c r="X15" i="9"/>
  <c r="L15" i="9" s="1"/>
  <c r="M15" i="9" s="1"/>
  <c r="N15" i="9" s="1"/>
  <c r="I15" i="8"/>
  <c r="I14" i="8" s="1"/>
  <c r="I23" i="8"/>
  <c r="I15" i="10"/>
  <c r="I14" i="9" l="1"/>
  <c r="X14" i="9" s="1"/>
  <c r="X15" i="10"/>
  <c r="L15" i="10" s="1"/>
  <c r="M15" i="10" s="1"/>
  <c r="N15" i="10" s="1"/>
  <c r="I22" i="8"/>
  <c r="I14" i="10"/>
  <c r="I13" i="8"/>
  <c r="I13" i="9"/>
  <c r="X13" i="9" s="1"/>
  <c r="K15" i="9"/>
  <c r="Y15" i="9"/>
  <c r="AA15" i="9" l="1"/>
  <c r="S15" i="9" s="1"/>
  <c r="AA15" i="12"/>
  <c r="S15" i="12" s="1"/>
  <c r="L13" i="9"/>
  <c r="M13" i="9" s="1"/>
  <c r="N13" i="9" s="1"/>
  <c r="K13" i="9"/>
  <c r="Y13" i="9"/>
  <c r="AA13" i="12" s="1"/>
  <c r="S13" i="12" s="1"/>
  <c r="I21" i="8"/>
  <c r="I13" i="10"/>
  <c r="X13" i="10" s="1"/>
  <c r="I12" i="8"/>
  <c r="I12" i="9"/>
  <c r="L14" i="9"/>
  <c r="M14" i="9" s="1"/>
  <c r="N14" i="9" s="1"/>
  <c r="K14" i="9"/>
  <c r="Y14" i="9"/>
  <c r="AA14" i="12" s="1"/>
  <c r="S14" i="12" s="1"/>
  <c r="X14" i="10"/>
  <c r="L14" i="10" s="1"/>
  <c r="M14" i="10" s="1"/>
  <c r="N14" i="10" s="1"/>
  <c r="K15" i="10"/>
  <c r="Y15" i="10"/>
  <c r="AA15" i="10" s="1"/>
  <c r="S15" i="10" s="1"/>
  <c r="K14" i="10" l="1"/>
  <c r="Y14" i="10"/>
  <c r="AA14" i="10" s="1"/>
  <c r="S14" i="10" s="1"/>
  <c r="X12" i="9"/>
  <c r="L12" i="9" s="1"/>
  <c r="M12" i="9" s="1"/>
  <c r="N12" i="9" s="1"/>
  <c r="I11" i="8"/>
  <c r="I11" i="9"/>
  <c r="X11" i="9" s="1"/>
  <c r="L13" i="10"/>
  <c r="M13" i="10" s="1"/>
  <c r="N13" i="10" s="1"/>
  <c r="K13" i="10"/>
  <c r="Y13" i="10"/>
  <c r="AA13" i="10" s="1"/>
  <c r="S13" i="10" s="1"/>
  <c r="I20" i="8"/>
  <c r="I12" i="10"/>
  <c r="AA13" i="9"/>
  <c r="S13" i="9" s="1"/>
  <c r="AA14" i="9"/>
  <c r="S14" i="9" s="1"/>
  <c r="X12" i="10" l="1"/>
  <c r="L12" i="10" s="1"/>
  <c r="M12" i="10" s="1"/>
  <c r="N12" i="10" s="1"/>
  <c r="I19" i="8"/>
  <c r="I11" i="10"/>
  <c r="L11" i="9"/>
  <c r="M11" i="9" s="1"/>
  <c r="N11" i="9" s="1"/>
  <c r="Y11" i="9"/>
  <c r="AA11" i="12" s="1"/>
  <c r="S11" i="12" s="1"/>
  <c r="K11" i="9"/>
  <c r="I10" i="8"/>
  <c r="I10" i="9"/>
  <c r="K12" i="9"/>
  <c r="Y12" i="9"/>
  <c r="AA12" i="12" s="1"/>
  <c r="S12" i="12" s="1"/>
  <c r="O39" i="3" l="1"/>
  <c r="Z39" i="3"/>
  <c r="Z40" i="3"/>
  <c r="O40" i="3"/>
  <c r="X10" i="9"/>
  <c r="L10" i="9" s="1"/>
  <c r="M10" i="9" s="1"/>
  <c r="N10" i="9" s="1"/>
  <c r="AA11" i="9"/>
  <c r="S11" i="9" s="1"/>
  <c r="AA12" i="9"/>
  <c r="S12" i="9" s="1"/>
  <c r="I9" i="9"/>
  <c r="X9" i="9" s="1"/>
  <c r="X11" i="10"/>
  <c r="I18" i="8"/>
  <c r="I10" i="10" s="1"/>
  <c r="Y12" i="10"/>
  <c r="AA12" i="10" s="1"/>
  <c r="S12" i="10" s="1"/>
  <c r="K12" i="10"/>
  <c r="I17" i="8" l="1"/>
  <c r="I9" i="10" s="1"/>
  <c r="Q40" i="3"/>
  <c r="R40" i="3" s="1"/>
  <c r="P40" i="3"/>
  <c r="T40" i="3" s="1"/>
  <c r="AA40" i="3"/>
  <c r="AE40" i="3" s="1"/>
  <c r="AB40" i="3"/>
  <c r="AC40" i="3" s="1"/>
  <c r="AA39" i="3"/>
  <c r="AB39" i="3"/>
  <c r="AC39" i="3" s="1"/>
  <c r="AE39" i="3"/>
  <c r="Q39" i="3"/>
  <c r="R39" i="3" s="1"/>
  <c r="P39" i="3"/>
  <c r="T39" i="3"/>
  <c r="X10" i="10"/>
  <c r="L10" i="10" s="1"/>
  <c r="M10" i="10" s="1"/>
  <c r="N10" i="10" s="1"/>
  <c r="L11" i="10"/>
  <c r="M11" i="10" s="1"/>
  <c r="N11" i="10" s="1"/>
  <c r="K11" i="10"/>
  <c r="Y11" i="10"/>
  <c r="AA11" i="10" s="1"/>
  <c r="S11" i="10" s="1"/>
  <c r="I9" i="8"/>
  <c r="L9" i="9"/>
  <c r="M9" i="9" s="1"/>
  <c r="N9" i="9" s="1"/>
  <c r="K9" i="9"/>
  <c r="Y9" i="9"/>
  <c r="AA9" i="12" s="1"/>
  <c r="S9" i="12" s="1"/>
  <c r="K10" i="9"/>
  <c r="Y10" i="9"/>
  <c r="AA10" i="12" s="1"/>
  <c r="S10" i="12" s="1"/>
  <c r="X9" i="10" l="1"/>
  <c r="L9" i="10" s="1"/>
  <c r="M9" i="10" s="1"/>
  <c r="N9" i="10" s="1"/>
  <c r="Z38" i="3"/>
  <c r="O38" i="3"/>
  <c r="AA10" i="9"/>
  <c r="S10" i="9" s="1"/>
  <c r="AA9" i="9"/>
  <c r="S9" i="9" s="1"/>
  <c r="I37" i="8"/>
  <c r="I43" i="8"/>
  <c r="I36" i="8"/>
  <c r="AC24" i="4"/>
  <c r="I8" i="10"/>
  <c r="I30" i="8"/>
  <c r="I32" i="8"/>
  <c r="I8" i="9"/>
  <c r="I48" i="8"/>
  <c r="I33" i="8"/>
  <c r="I47" i="8"/>
  <c r="I27" i="8"/>
  <c r="I34" i="8"/>
  <c r="I38" i="8"/>
  <c r="I39" i="8"/>
  <c r="I45" i="8"/>
  <c r="I49" i="8"/>
  <c r="I51" i="8"/>
  <c r="I41" i="8"/>
  <c r="I44" i="8"/>
  <c r="I29" i="8"/>
  <c r="I35" i="8"/>
  <c r="I50" i="8"/>
  <c r="I40" i="8"/>
  <c r="I26" i="8"/>
  <c r="I28" i="8"/>
  <c r="I42" i="8"/>
  <c r="I46" i="8"/>
  <c r="I31" i="8"/>
  <c r="O5" i="8"/>
  <c r="K10" i="10"/>
  <c r="Y10" i="10"/>
  <c r="AA10" i="10" s="1"/>
  <c r="S10" i="10" s="1"/>
  <c r="Y9" i="10" l="1"/>
  <c r="AA9" i="10" s="1"/>
  <c r="S9" i="10" s="1"/>
  <c r="K9" i="10"/>
  <c r="AB38" i="3"/>
  <c r="AC38" i="3" s="1"/>
  <c r="AA38" i="3"/>
  <c r="AE38" i="3" s="1"/>
  <c r="Q38" i="3"/>
  <c r="R38" i="3" s="1"/>
  <c r="P38" i="3"/>
  <c r="T38" i="3" s="1"/>
  <c r="AF4" i="9"/>
  <c r="AF5" i="9"/>
  <c r="X8" i="9"/>
  <c r="L8" i="9" s="1"/>
  <c r="M8" i="9" s="1"/>
  <c r="N8" i="9" s="1"/>
  <c r="AF4" i="10"/>
  <c r="AF5" i="10"/>
  <c r="X8" i="10"/>
  <c r="L8" i="10" s="1"/>
  <c r="M8" i="10" s="1"/>
  <c r="AC28" i="4"/>
  <c r="K16" i="1"/>
  <c r="K17" i="1" s="1"/>
  <c r="K19" i="1" s="1"/>
  <c r="M9" i="8" s="1"/>
  <c r="AC20" i="4"/>
  <c r="AC18" i="4" s="1"/>
  <c r="AC30" i="4"/>
  <c r="O6" i="8"/>
  <c r="P2" i="8"/>
  <c r="O7" i="8"/>
  <c r="N23" i="10" l="1"/>
  <c r="N23" i="9"/>
  <c r="Y8" i="10"/>
  <c r="AA8" i="10" s="1"/>
  <c r="S8" i="10" s="1"/>
  <c r="K8" i="10"/>
  <c r="K8" i="9"/>
  <c r="Y8" i="9"/>
  <c r="AA8" i="12" s="1"/>
  <c r="S8" i="12" s="1"/>
  <c r="N8" i="10"/>
  <c r="AB10" i="10"/>
  <c r="AB21" i="10"/>
  <c r="AB18" i="10"/>
  <c r="AB16" i="10"/>
  <c r="AB22" i="10"/>
  <c r="AB8" i="10"/>
  <c r="AB15" i="10"/>
  <c r="AB13" i="10"/>
  <c r="AB14" i="10"/>
  <c r="AB23" i="10"/>
  <c r="AB17" i="10"/>
  <c r="AB9" i="10"/>
  <c r="AB12" i="10"/>
  <c r="AB11" i="10"/>
  <c r="AB20" i="10"/>
  <c r="AB19" i="10"/>
  <c r="AB15" i="9"/>
  <c r="AB19" i="9"/>
  <c r="AB10" i="9"/>
  <c r="AB23" i="9"/>
  <c r="AB11" i="9"/>
  <c r="AB13" i="9"/>
  <c r="AB16" i="9"/>
  <c r="AB12" i="9"/>
  <c r="AB17" i="9"/>
  <c r="AB21" i="9"/>
  <c r="AB18" i="9"/>
  <c r="AB20" i="9"/>
  <c r="AB22" i="9"/>
  <c r="AB8" i="9"/>
  <c r="AB14" i="9"/>
  <c r="AB9" i="9"/>
  <c r="AA8" i="9" l="1"/>
  <c r="S8" i="9" s="1"/>
  <c r="O10" i="9"/>
  <c r="P10" i="9" l="1"/>
  <c r="O11" i="9"/>
  <c r="R10" i="9" l="1"/>
  <c r="Q10" i="9"/>
  <c r="O12" i="9"/>
  <c r="P11" i="9"/>
  <c r="AD34" i="3"/>
  <c r="P12" i="9" l="1"/>
  <c r="O13" i="9"/>
  <c r="Q11" i="9"/>
  <c r="R11" i="9"/>
  <c r="AD35" i="3"/>
  <c r="O14" i="9" l="1"/>
  <c r="P13" i="9"/>
  <c r="R12" i="9"/>
  <c r="Q12" i="9"/>
  <c r="AD36" i="3"/>
  <c r="S31" i="3" l="1"/>
  <c r="P14" i="9"/>
  <c r="O15" i="9"/>
  <c r="R13" i="9"/>
  <c r="Q13" i="9"/>
  <c r="AD37" i="3"/>
  <c r="P15" i="9" l="1"/>
  <c r="R14" i="9"/>
  <c r="Q14" i="9"/>
  <c r="AD38" i="3"/>
  <c r="O16" i="10" l="1"/>
  <c r="Q15" i="9"/>
  <c r="R15" i="9"/>
  <c r="AD39" i="3"/>
  <c r="O9" i="10" l="1"/>
  <c r="P9" i="10" s="1"/>
  <c r="O10" i="10"/>
  <c r="P10" i="10" s="1"/>
  <c r="O11" i="10"/>
  <c r="P11" i="10" s="1"/>
  <c r="O12" i="10"/>
  <c r="P12" i="10" s="1"/>
  <c r="O13" i="10"/>
  <c r="P13" i="10" s="1"/>
  <c r="O14" i="10"/>
  <c r="P14" i="10" s="1"/>
  <c r="O15" i="10"/>
  <c r="P15" i="10" s="1"/>
  <c r="Q15" i="10" s="1"/>
  <c r="P16" i="10"/>
  <c r="AD41" i="3"/>
  <c r="O9" i="9" l="1"/>
  <c r="O8" i="10"/>
  <c r="P8" i="10" s="1"/>
  <c r="Q8" i="10" s="1"/>
  <c r="Q14" i="10"/>
  <c r="R14" i="10"/>
  <c r="R13" i="10"/>
  <c r="Q13" i="10"/>
  <c r="Q12" i="10"/>
  <c r="R12" i="10"/>
  <c r="R15" i="10"/>
  <c r="R10" i="10"/>
  <c r="Q10" i="10"/>
  <c r="R9" i="10"/>
  <c r="Q9" i="10"/>
  <c r="Q11" i="10"/>
  <c r="R11" i="10"/>
  <c r="Q16" i="10"/>
  <c r="R16" i="10"/>
  <c r="AD42" i="3"/>
  <c r="AD43" i="3"/>
  <c r="P9" i="9" l="1"/>
  <c r="Q9" i="9" s="1"/>
  <c r="O8" i="9"/>
  <c r="O23" i="10"/>
  <c r="P23" i="10" s="1"/>
  <c r="R23" i="10" s="1"/>
  <c r="R8" i="10"/>
  <c r="AG37" i="3"/>
  <c r="AG42" i="3"/>
  <c r="AG43" i="3"/>
  <c r="AG38" i="3"/>
  <c r="AG39" i="3"/>
  <c r="AG34" i="3"/>
  <c r="AG35" i="3"/>
  <c r="AG33" i="3"/>
  <c r="AG40" i="3"/>
  <c r="AG36" i="3"/>
  <c r="AG41" i="3"/>
  <c r="R9" i="9" l="1"/>
  <c r="P8" i="9"/>
  <c r="O23" i="9"/>
  <c r="P23" i="9" s="1"/>
  <c r="Q23" i="10"/>
  <c r="P32" i="8" s="1"/>
  <c r="D2" i="10"/>
  <c r="Q23" i="9" l="1"/>
  <c r="D2" i="9"/>
  <c r="R23" i="9"/>
  <c r="R8" i="9"/>
  <c r="Q8" i="9"/>
  <c r="C2" i="10"/>
  <c r="M5" i="8"/>
  <c r="C2" i="9" l="1"/>
  <c r="P31" i="8"/>
  <c r="M3" i="8" s="1"/>
  <c r="V19" i="3"/>
  <c r="V24" i="3"/>
  <c r="V21" i="3"/>
  <c r="V20" i="3"/>
  <c r="V23" i="3"/>
  <c r="V25" i="3"/>
  <c r="V18" i="3"/>
  <c r="V22" i="3"/>
  <c r="O9" i="12" l="1"/>
  <c r="P9" i="12" l="1"/>
  <c r="O10" i="12"/>
  <c r="P10" i="12" l="1"/>
  <c r="O11" i="12"/>
  <c r="R9" i="12"/>
  <c r="Q9" i="12"/>
  <c r="P11" i="12" l="1"/>
  <c r="O12" i="12"/>
  <c r="R10" i="12"/>
  <c r="Q10" i="12"/>
  <c r="P12" i="12" l="1"/>
  <c r="O13" i="12"/>
  <c r="Q11" i="12"/>
  <c r="R11" i="12"/>
  <c r="P13" i="12" l="1"/>
  <c r="O14" i="12"/>
  <c r="Q12" i="12"/>
  <c r="R12" i="12"/>
  <c r="P14" i="12" l="1"/>
  <c r="O15" i="12"/>
  <c r="R13" i="12"/>
  <c r="Q13" i="12"/>
  <c r="P15" i="12" l="1"/>
  <c r="O16" i="12"/>
  <c r="R14" i="12"/>
  <c r="Q14" i="12"/>
  <c r="P16" i="12" l="1"/>
  <c r="R15" i="12"/>
  <c r="Q15" i="12"/>
  <c r="O8" i="12" l="1"/>
  <c r="R16" i="12"/>
  <c r="Q16" i="12"/>
  <c r="P8" i="12" l="1"/>
  <c r="Q8" i="12" s="1"/>
  <c r="O23" i="12"/>
  <c r="P23" i="12" s="1"/>
  <c r="R8" i="12" l="1"/>
  <c r="Q23" i="12"/>
  <c r="P31" i="11" s="1"/>
  <c r="M3" i="11" s="1"/>
  <c r="R23" i="12"/>
  <c r="D2" i="12"/>
  <c r="M12" i="11"/>
  <c r="M13" i="11"/>
  <c r="M14" i="11"/>
  <c r="M15" i="11"/>
  <c r="M16" i="11"/>
  <c r="M17" i="11"/>
  <c r="M18" i="11"/>
  <c r="M19" i="11"/>
  <c r="C2" i="12" l="1"/>
  <c r="AG3" i="3" l="1"/>
  <c r="S25" i="3" l="1"/>
  <c r="S26" i="3"/>
  <c r="S32" i="3"/>
  <c r="S28" i="3" l="1"/>
  <c r="S27" i="3"/>
  <c r="S21" i="3" l="1"/>
  <c r="S22" i="3"/>
  <c r="S20" i="3"/>
  <c r="S19" i="3"/>
  <c r="AD32" i="3" l="1"/>
  <c r="AG26" i="3" l="1"/>
  <c r="AG32" i="3" l="1"/>
  <c r="AG30" i="3"/>
  <c r="AG31" i="3"/>
  <c r="Z29" i="3" l="1"/>
  <c r="O29" i="3"/>
  <c r="P29" i="3" l="1"/>
  <c r="T29" i="3" s="1"/>
  <c r="Q29" i="3"/>
  <c r="R29" i="3" s="1"/>
  <c r="AB29" i="3"/>
  <c r="AC29" i="3" s="1"/>
  <c r="AA29" i="3"/>
  <c r="AE29" i="3" s="1"/>
  <c r="AD29" i="3" l="1"/>
  <c r="AG25" i="3" l="1"/>
  <c r="AG27" i="3" l="1"/>
  <c r="AG29" i="3" l="1"/>
  <c r="AG28" i="3"/>
  <c r="V15" i="3" l="1"/>
  <c r="V16" i="3" l="1"/>
  <c r="E20" i="6" l="1"/>
  <c r="O22" i="6" l="1"/>
  <c r="P22" i="6" s="1"/>
  <c r="O23" i="6"/>
  <c r="P23" i="6" s="1"/>
  <c r="R22" i="6" l="1"/>
  <c r="Q22" i="6"/>
  <c r="Q23" i="6"/>
  <c r="R23" i="6"/>
  <c r="AG4" i="3"/>
  <c r="AD24" i="3" l="1"/>
  <c r="AD23" i="3" l="1"/>
  <c r="AD22" i="3" l="1"/>
  <c r="AG22" i="3" l="1"/>
  <c r="O20" i="6"/>
  <c r="P20" i="6" s="1"/>
  <c r="R20" i="6" s="1"/>
  <c r="I20" i="6"/>
  <c r="X20" i="6" s="1"/>
  <c r="K20" i="6" l="1"/>
  <c r="Y20" i="6"/>
  <c r="AA20" i="6" s="1"/>
  <c r="S20" i="6" s="1"/>
  <c r="L20" i="6"/>
  <c r="M20" i="6" s="1"/>
  <c r="N20" i="6" s="1"/>
  <c r="Q20" i="6"/>
  <c r="Z21" i="3" l="1"/>
  <c r="O21" i="3"/>
  <c r="AB21" i="3" l="1"/>
  <c r="AC21" i="3" s="1"/>
  <c r="AA21" i="3"/>
  <c r="AE21" i="3" s="1"/>
  <c r="Q21" i="3"/>
  <c r="R21" i="3" s="1"/>
  <c r="P21" i="3"/>
  <c r="T21" i="3" s="1"/>
  <c r="S23" i="3" l="1"/>
  <c r="S24" i="3"/>
  <c r="AG23" i="3" l="1"/>
  <c r="AG24" i="3"/>
  <c r="AD21" i="3" l="1"/>
  <c r="AG21" i="3" s="1"/>
  <c r="AG6" i="3" l="1"/>
  <c r="E9" i="15" l="1"/>
  <c r="E10" i="15"/>
  <c r="S3" i="3" l="1"/>
  <c r="AG7" i="3" l="1"/>
  <c r="N10" i="5" l="1"/>
  <c r="I10" i="15" l="1"/>
  <c r="X10" i="15" l="1"/>
  <c r="L10" i="15" s="1"/>
  <c r="M10" i="15" s="1"/>
  <c r="N10" i="15" s="1"/>
  <c r="K10" i="15" l="1"/>
  <c r="Y10" i="15"/>
  <c r="AA10" i="15" s="1"/>
  <c r="S10" i="15" s="1"/>
  <c r="E21" i="6" l="1"/>
  <c r="I21" i="6" l="1"/>
  <c r="X21" i="6" l="1"/>
  <c r="K21" i="6" l="1"/>
  <c r="Y21" i="6"/>
  <c r="AA21" i="6" s="1"/>
  <c r="S21" i="6" s="1"/>
  <c r="L21" i="6"/>
  <c r="M21" i="6" s="1"/>
  <c r="N21" i="6" s="1"/>
  <c r="O21" i="6" s="1"/>
  <c r="P21" i="6" s="1"/>
  <c r="Q21" i="6" l="1"/>
  <c r="R21" i="6"/>
  <c r="I9" i="15" l="1"/>
  <c r="X9" i="15" s="1"/>
  <c r="L9" i="15" l="1"/>
  <c r="M9" i="15" s="1"/>
  <c r="N9" i="15" s="1"/>
  <c r="K9" i="15"/>
  <c r="Y9" i="15"/>
  <c r="AA9" i="15" s="1"/>
  <c r="S9" i="15" s="1"/>
  <c r="E11" i="15" l="1"/>
  <c r="I11" i="15" l="1"/>
  <c r="X11" i="15" l="1"/>
  <c r="L11" i="15" s="1"/>
  <c r="M11" i="15" s="1"/>
  <c r="N11" i="15" s="1"/>
  <c r="Y11" i="15" l="1"/>
  <c r="AA11" i="15" s="1"/>
  <c r="S11" i="15" s="1"/>
  <c r="K11" i="15"/>
  <c r="V17" i="3" l="1"/>
  <c r="N36" i="5" l="1"/>
  <c r="E12" i="15" l="1"/>
  <c r="I12" i="15" l="1"/>
  <c r="X12" i="15" l="1"/>
  <c r="L12" i="15" s="1"/>
  <c r="M12" i="15" s="1"/>
  <c r="N12" i="15" s="1"/>
  <c r="Y12" i="15" l="1"/>
  <c r="AA12" i="15" s="1"/>
  <c r="S12" i="15" s="1"/>
  <c r="K12" i="15"/>
  <c r="E20" i="15" l="1"/>
  <c r="E20" i="7"/>
  <c r="E20" i="14"/>
  <c r="E21" i="15"/>
  <c r="E21" i="14"/>
  <c r="E21" i="7"/>
  <c r="I20" i="7" l="1"/>
  <c r="I20" i="15"/>
  <c r="O27" i="3"/>
  <c r="Z27" i="3"/>
  <c r="I20" i="14"/>
  <c r="E19" i="14"/>
  <c r="E19" i="15"/>
  <c r="I21" i="15"/>
  <c r="I21" i="14"/>
  <c r="I21" i="7"/>
  <c r="Z28" i="3"/>
  <c r="O28" i="3"/>
  <c r="E18" i="14" l="1"/>
  <c r="E18" i="15"/>
  <c r="X20" i="14"/>
  <c r="L20" i="14" s="1"/>
  <c r="M20" i="14" s="1"/>
  <c r="N20" i="14" s="1"/>
  <c r="Z26" i="3"/>
  <c r="I19" i="15"/>
  <c r="I19" i="14"/>
  <c r="X19" i="14" s="1"/>
  <c r="O26" i="3"/>
  <c r="AA27" i="3"/>
  <c r="AB27" i="3"/>
  <c r="P27" i="3"/>
  <c r="Q27" i="3"/>
  <c r="X20" i="15"/>
  <c r="L20" i="15" s="1"/>
  <c r="M20" i="15" s="1"/>
  <c r="N20" i="15" s="1"/>
  <c r="X20" i="7"/>
  <c r="P28" i="3"/>
  <c r="Q28" i="3"/>
  <c r="AB28" i="3"/>
  <c r="AA28" i="3"/>
  <c r="X21" i="7"/>
  <c r="L21" i="7" s="1"/>
  <c r="M21" i="7" s="1"/>
  <c r="N21" i="7" s="1"/>
  <c r="X21" i="14"/>
  <c r="X21" i="15"/>
  <c r="L21" i="15" s="1"/>
  <c r="M21" i="15" s="1"/>
  <c r="N21" i="15" s="1"/>
  <c r="AE27" i="3" l="1"/>
  <c r="T27" i="3"/>
  <c r="T28" i="3"/>
  <c r="Y20" i="14"/>
  <c r="AA20" i="14" s="1"/>
  <c r="S20" i="14" s="1"/>
  <c r="K20" i="14"/>
  <c r="L19" i="14"/>
  <c r="M19" i="14" s="1"/>
  <c r="N19" i="14" s="1"/>
  <c r="Y19" i="14"/>
  <c r="AA19" i="14" s="1"/>
  <c r="S19" i="14" s="1"/>
  <c r="K19" i="14"/>
  <c r="Z25" i="3"/>
  <c r="O25" i="3"/>
  <c r="I18" i="15"/>
  <c r="I18" i="14"/>
  <c r="R27" i="3"/>
  <c r="AC27" i="3"/>
  <c r="AA26" i="3"/>
  <c r="AB26" i="3"/>
  <c r="P26" i="3"/>
  <c r="T26" i="3"/>
  <c r="Q26" i="3"/>
  <c r="X19" i="15"/>
  <c r="L19" i="15" s="1"/>
  <c r="M19" i="15" s="1"/>
  <c r="N19" i="15" s="1"/>
  <c r="L20" i="7"/>
  <c r="M20" i="7" s="1"/>
  <c r="N20" i="7" s="1"/>
  <c r="K20" i="7"/>
  <c r="Y20" i="7"/>
  <c r="AA20" i="7" s="1"/>
  <c r="S20" i="7" s="1"/>
  <c r="Y20" i="15"/>
  <c r="AA20" i="15" s="1"/>
  <c r="S20" i="15" s="1"/>
  <c r="K20" i="15"/>
  <c r="Y21" i="14"/>
  <c r="AA21" i="14" s="1"/>
  <c r="S21" i="14" s="1"/>
  <c r="K21" i="14"/>
  <c r="AE28" i="3"/>
  <c r="L21" i="14"/>
  <c r="M21" i="14" s="1"/>
  <c r="N21" i="14" s="1"/>
  <c r="K21" i="15"/>
  <c r="Y21" i="15"/>
  <c r="AA21" i="15" s="1"/>
  <c r="S21" i="15" s="1"/>
  <c r="K21" i="7"/>
  <c r="Y21" i="7"/>
  <c r="AA21" i="7" s="1"/>
  <c r="S21" i="7" s="1"/>
  <c r="R28" i="3"/>
  <c r="AC28" i="3"/>
  <c r="AE26" i="3" l="1"/>
  <c r="O24" i="3"/>
  <c r="Z24" i="3"/>
  <c r="K19" i="15"/>
  <c r="Y19" i="15"/>
  <c r="AA19" i="15" s="1"/>
  <c r="S19" i="15" s="1"/>
  <c r="X18" i="15"/>
  <c r="L18" i="15" s="1"/>
  <c r="M18" i="15" s="1"/>
  <c r="N18" i="15" s="1"/>
  <c r="O18" i="15" s="1"/>
  <c r="P25" i="3"/>
  <c r="Q25" i="3"/>
  <c r="AC26" i="3"/>
  <c r="R26" i="3"/>
  <c r="AB25" i="3"/>
  <c r="AA25" i="3"/>
  <c r="X18" i="14"/>
  <c r="L18" i="14" s="1"/>
  <c r="M18" i="14" s="1"/>
  <c r="N18" i="14" s="1"/>
  <c r="AE25" i="3" l="1"/>
  <c r="T25" i="3"/>
  <c r="Z23" i="3"/>
  <c r="O23" i="3"/>
  <c r="R25" i="3"/>
  <c r="E15" i="15"/>
  <c r="AC25" i="3"/>
  <c r="O19" i="15"/>
  <c r="P18" i="15"/>
  <c r="K18" i="15"/>
  <c r="Y18" i="15"/>
  <c r="AA18" i="15" s="1"/>
  <c r="S18" i="15" s="1"/>
  <c r="AB24" i="3"/>
  <c r="AA24" i="3"/>
  <c r="AE24" i="3" s="1"/>
  <c r="K18" i="14"/>
  <c r="Y18" i="14"/>
  <c r="AA18" i="14" s="1"/>
  <c r="S18" i="14" s="1"/>
  <c r="P24" i="3"/>
  <c r="T24" i="3" s="1"/>
  <c r="Q24" i="3"/>
  <c r="O20" i="15" l="1"/>
  <c r="P19" i="15"/>
  <c r="O20" i="7"/>
  <c r="I15" i="15"/>
  <c r="O22" i="3"/>
  <c r="Z22" i="3"/>
  <c r="Q18" i="15"/>
  <c r="R18" i="15"/>
  <c r="AD25" i="3"/>
  <c r="P23" i="3"/>
  <c r="Q23" i="3"/>
  <c r="R23" i="3" s="1"/>
  <c r="R24" i="3"/>
  <c r="AC24" i="3"/>
  <c r="AB23" i="3"/>
  <c r="AC23" i="3" s="1"/>
  <c r="AA23" i="3"/>
  <c r="AE23" i="3" s="1"/>
  <c r="AA22" i="3" l="1"/>
  <c r="AB22" i="3"/>
  <c r="AC22" i="3" s="1"/>
  <c r="AE22" i="3"/>
  <c r="P22" i="3"/>
  <c r="Q22" i="3"/>
  <c r="R22" i="3" s="1"/>
  <c r="P20" i="7"/>
  <c r="O21" i="7"/>
  <c r="P21" i="7" s="1"/>
  <c r="AD26" i="3"/>
  <c r="X15" i="15"/>
  <c r="L15" i="15" s="1"/>
  <c r="M15" i="15" s="1"/>
  <c r="N15" i="15" s="1"/>
  <c r="T23" i="3"/>
  <c r="R19" i="15"/>
  <c r="Q19" i="15"/>
  <c r="P20" i="15"/>
  <c r="O21" i="15"/>
  <c r="P21" i="15" s="1"/>
  <c r="T22" i="3" l="1"/>
  <c r="Q21" i="15"/>
  <c r="R21" i="15"/>
  <c r="Q20" i="15"/>
  <c r="R20" i="15"/>
  <c r="AD28" i="3"/>
  <c r="R21" i="7"/>
  <c r="Q21" i="7"/>
  <c r="AD27" i="3"/>
  <c r="Q20" i="7"/>
  <c r="R20" i="7"/>
  <c r="K15" i="15"/>
  <c r="Y15" i="15"/>
  <c r="AA15" i="15" s="1"/>
  <c r="S15" i="15" s="1"/>
  <c r="O18" i="14" l="1"/>
  <c r="P18" i="14" s="1"/>
  <c r="Q18" i="14" l="1"/>
  <c r="R18" i="14"/>
  <c r="O19" i="14"/>
  <c r="P19" i="14" s="1"/>
  <c r="R19" i="14" l="1"/>
  <c r="Q19" i="14"/>
  <c r="O20" i="14"/>
  <c r="P20" i="14" s="1"/>
  <c r="Q20" i="14" l="1"/>
  <c r="R20" i="14"/>
  <c r="O21" i="14"/>
  <c r="P21" i="14" s="1"/>
  <c r="Q21" i="14" l="1"/>
  <c r="R21" i="14"/>
  <c r="Z37" i="3" l="1"/>
  <c r="O37" i="3"/>
  <c r="AA37" i="3" l="1"/>
  <c r="AB37" i="3"/>
  <c r="Q37" i="3"/>
  <c r="P37" i="3"/>
  <c r="Z36" i="3" l="1"/>
  <c r="O36" i="3"/>
  <c r="T37" i="3"/>
  <c r="R37" i="3"/>
  <c r="AC37" i="3"/>
  <c r="AE37" i="3"/>
  <c r="Q36" i="3" l="1"/>
  <c r="R36" i="3" s="1"/>
  <c r="P36" i="3"/>
  <c r="T36" i="3" s="1"/>
  <c r="AB36" i="3"/>
  <c r="AC36" i="3" s="1"/>
  <c r="AA36" i="3"/>
  <c r="AE36" i="3" s="1"/>
  <c r="Z35" i="3"/>
  <c r="O35" i="3"/>
  <c r="AB35" i="3" l="1"/>
  <c r="AC35" i="3" s="1"/>
  <c r="AA35" i="3"/>
  <c r="AE35" i="3" s="1"/>
  <c r="Z34" i="3"/>
  <c r="O34" i="3"/>
  <c r="Q35" i="3"/>
  <c r="R35" i="3" s="1"/>
  <c r="P35" i="3"/>
  <c r="T35" i="3" s="1"/>
  <c r="Z33" i="3" l="1"/>
  <c r="O33" i="3"/>
  <c r="P34" i="3"/>
  <c r="Q34" i="3"/>
  <c r="T34" i="3"/>
  <c r="AB34" i="3"/>
  <c r="AA34" i="3"/>
  <c r="AE34" i="3"/>
  <c r="Z32" i="3" l="1"/>
  <c r="O32" i="3"/>
  <c r="AC34" i="3"/>
  <c r="R34" i="3"/>
  <c r="P33" i="3"/>
  <c r="Q33" i="3"/>
  <c r="T33" i="3"/>
  <c r="AA33" i="3"/>
  <c r="AB33" i="3"/>
  <c r="AE33" i="3" l="1"/>
  <c r="AC33" i="3"/>
  <c r="O31" i="3"/>
  <c r="Z31" i="3"/>
  <c r="R33" i="3"/>
  <c r="P32" i="3"/>
  <c r="Q32" i="3"/>
  <c r="T32" i="3"/>
  <c r="AB32" i="3"/>
  <c r="AA32" i="3"/>
  <c r="AE32" i="3"/>
  <c r="AA31" i="3" l="1"/>
  <c r="AB31" i="3"/>
  <c r="AC31" i="3" s="1"/>
  <c r="P31" i="3"/>
  <c r="Q31" i="3"/>
  <c r="R31" i="3" s="1"/>
  <c r="T31" i="3"/>
  <c r="R32" i="3"/>
  <c r="Z30" i="3"/>
  <c r="O30" i="3"/>
  <c r="AC32" i="3"/>
  <c r="P30" i="3" l="1"/>
  <c r="T30" i="3" s="1"/>
  <c r="Q30" i="3"/>
  <c r="R30" i="3" s="1"/>
  <c r="AA30" i="3"/>
  <c r="AE30" i="3" s="1"/>
  <c r="AB30" i="3"/>
  <c r="AC30" i="3" s="1"/>
  <c r="AE31" i="3"/>
  <c r="O3" i="3" l="1"/>
  <c r="Q3" i="3" s="1"/>
  <c r="R3" i="3" s="1"/>
  <c r="P3" i="3" l="1"/>
  <c r="T3" i="3" s="1"/>
  <c r="O10" i="15" l="1"/>
  <c r="P10" i="15" l="1"/>
  <c r="O11" i="15"/>
  <c r="N37" i="5" l="1"/>
  <c r="R10" i="15"/>
  <c r="Q10" i="15"/>
  <c r="N38" i="5" s="1"/>
  <c r="P11" i="15"/>
  <c r="O12" i="15"/>
  <c r="P12" i="15" l="1"/>
  <c r="O13" i="15"/>
  <c r="Q11" i="15"/>
  <c r="N39" i="5" s="1"/>
  <c r="R11" i="15"/>
  <c r="O14" i="15" l="1"/>
  <c r="P13" i="15"/>
  <c r="Q12" i="15"/>
  <c r="N40" i="5" s="1"/>
  <c r="R12" i="15"/>
  <c r="O9" i="15" l="1"/>
  <c r="P9" i="15" s="1"/>
  <c r="R13" i="15"/>
  <c r="Q13" i="15"/>
  <c r="N41" i="5" s="1"/>
  <c r="P14" i="15"/>
  <c r="O15" i="15"/>
  <c r="Q9" i="15" l="1"/>
  <c r="R9" i="15"/>
  <c r="P15" i="15"/>
  <c r="O16" i="15"/>
  <c r="R14" i="15"/>
  <c r="Q14" i="15"/>
  <c r="N42" i="5" s="1"/>
  <c r="P16" i="15" l="1"/>
  <c r="R16" i="15" s="1"/>
  <c r="O23" i="15"/>
  <c r="P23" i="15" s="1"/>
  <c r="Q15" i="15"/>
  <c r="N43" i="5" s="1"/>
  <c r="R15" i="15"/>
  <c r="Q16" i="15" l="1"/>
  <c r="N44" i="5" s="1"/>
  <c r="D2" i="15"/>
  <c r="R23" i="15"/>
  <c r="Q23" i="15"/>
  <c r="C2" i="15" l="1"/>
  <c r="Q34" i="5"/>
  <c r="V3" i="3" l="1"/>
  <c r="Z3" i="3" l="1"/>
  <c r="AE3" i="3" l="1"/>
  <c r="AB3" i="3"/>
  <c r="AC3" i="3" s="1"/>
  <c r="AA3" i="3"/>
  <c r="E15" i="6" l="1"/>
  <c r="S15" i="3"/>
  <c r="E14" i="6" l="1"/>
  <c r="I14" i="6" l="1"/>
  <c r="X14" i="6" s="1"/>
  <c r="L14" i="6" s="1"/>
  <c r="M14" i="6" s="1"/>
  <c r="N14" i="6" s="1"/>
  <c r="O26" i="6"/>
  <c r="P26" i="6" s="1"/>
  <c r="K14" i="6" l="1"/>
  <c r="Y14" i="6"/>
  <c r="AA14" i="6" s="1"/>
  <c r="S14" i="6" s="1"/>
  <c r="Q26" i="6"/>
  <c r="R26" i="6"/>
  <c r="O7" i="3" l="1"/>
  <c r="Z7" i="3"/>
  <c r="S17" i="3"/>
  <c r="AA7" i="3" l="1"/>
  <c r="AE7" i="3" s="1"/>
  <c r="AB7" i="3"/>
  <c r="AC7" i="3" s="1"/>
  <c r="P7" i="3"/>
  <c r="T7" i="3" s="1"/>
  <c r="Q7" i="3"/>
  <c r="R7" i="3" s="1"/>
  <c r="S16" i="3"/>
  <c r="S18" i="3"/>
  <c r="AD7" i="3" l="1"/>
  <c r="AD6" i="3" l="1"/>
  <c r="N30" i="5"/>
  <c r="E17" i="6" l="1"/>
  <c r="E18" i="6"/>
  <c r="AD4" i="3" l="1"/>
  <c r="S11" i="3" l="1"/>
  <c r="AD5" i="3"/>
  <c r="S12" i="3" l="1"/>
  <c r="O14" i="6"/>
  <c r="P14" i="6" l="1"/>
  <c r="S13" i="3"/>
  <c r="R14" i="6" l="1"/>
  <c r="S9" i="3"/>
  <c r="Q14" i="6"/>
  <c r="S14" i="3"/>
  <c r="V14" i="3" l="1"/>
  <c r="V13" i="3"/>
  <c r="V12" i="3"/>
  <c r="V11" i="3"/>
  <c r="V9" i="3"/>
  <c r="N35" i="5" l="1"/>
  <c r="E16" i="6" l="1"/>
  <c r="I16" i="6"/>
  <c r="X16" i="6" l="1"/>
  <c r="L16" i="6" s="1"/>
  <c r="M16" i="6" s="1"/>
  <c r="N16" i="6" s="1"/>
  <c r="Y16" i="6" l="1"/>
  <c r="AA16" i="6" s="1"/>
  <c r="S16" i="6" s="1"/>
  <c r="K16" i="6"/>
  <c r="E19" i="6" l="1"/>
  <c r="I17" i="6" l="1"/>
  <c r="I15" i="6"/>
  <c r="I19" i="6"/>
  <c r="I18" i="6" l="1"/>
  <c r="X18" i="6" s="1"/>
  <c r="L18" i="6" s="1"/>
  <c r="M18" i="6" s="1"/>
  <c r="N18" i="6" s="1"/>
  <c r="O18" i="6" s="1"/>
  <c r="P18" i="6" s="1"/>
  <c r="X17" i="6"/>
  <c r="L17" i="6" s="1"/>
  <c r="M17" i="6" s="1"/>
  <c r="N17" i="6" s="1"/>
  <c r="O17" i="6" s="1"/>
  <c r="P17" i="6" s="1"/>
  <c r="X19" i="6"/>
  <c r="L19" i="6" s="1"/>
  <c r="M19" i="6" s="1"/>
  <c r="X15" i="6"/>
  <c r="L15" i="6" s="1"/>
  <c r="M15" i="6" s="1"/>
  <c r="N15" i="6" s="1"/>
  <c r="O15" i="6" s="1"/>
  <c r="K18" i="6" l="1"/>
  <c r="Y18" i="6"/>
  <c r="AA18" i="6" s="1"/>
  <c r="S18" i="6" s="1"/>
  <c r="Q18" i="6"/>
  <c r="R18" i="6"/>
  <c r="K17" i="6"/>
  <c r="Y17" i="6"/>
  <c r="AA17" i="6" s="1"/>
  <c r="S17" i="6" s="1"/>
  <c r="Q17" i="6"/>
  <c r="R17" i="6"/>
  <c r="P15" i="6"/>
  <c r="Y15" i="6"/>
  <c r="AA15" i="6" s="1"/>
  <c r="S15" i="6" s="1"/>
  <c r="K15" i="6"/>
  <c r="N19" i="6"/>
  <c r="Y19" i="6"/>
  <c r="AA19" i="6" s="1"/>
  <c r="S19" i="6" s="1"/>
  <c r="K19" i="6"/>
  <c r="O19" i="6" l="1"/>
  <c r="Q15" i="6"/>
  <c r="R15" i="6"/>
  <c r="P19" i="6" l="1"/>
  <c r="Q19" i="6" s="1"/>
  <c r="S10" i="3"/>
  <c r="V10" i="3" s="1"/>
  <c r="R19" i="6" l="1"/>
  <c r="O16" i="6"/>
  <c r="P16" i="6" l="1"/>
  <c r="Q16" i="6" l="1"/>
  <c r="R16" i="6"/>
  <c r="O16" i="3" l="1"/>
  <c r="Q16" i="3" s="1"/>
  <c r="R16" i="3" s="1"/>
  <c r="Z16" i="3"/>
  <c r="AA16" i="3" s="1"/>
  <c r="AE16" i="3" s="1"/>
  <c r="P16" i="3" l="1"/>
  <c r="T16" i="3" s="1"/>
  <c r="AB16" i="3"/>
  <c r="AC16" i="3" s="1"/>
  <c r="O15" i="3"/>
  <c r="Z15" i="3"/>
  <c r="AA15" i="3" l="1"/>
  <c r="AE15" i="3" s="1"/>
  <c r="AB15" i="3"/>
  <c r="AC15" i="3" s="1"/>
  <c r="P15" i="3"/>
  <c r="T15" i="3" s="1"/>
  <c r="Q15" i="3"/>
  <c r="R15" i="3" s="1"/>
  <c r="O14" i="3"/>
  <c r="Z14" i="3"/>
  <c r="Z13" i="3" l="1"/>
  <c r="O13" i="3"/>
  <c r="P14" i="3"/>
  <c r="T14" i="3" s="1"/>
  <c r="Q14" i="3"/>
  <c r="R14" i="3" s="1"/>
  <c r="AA14" i="3"/>
  <c r="AE14" i="3" s="1"/>
  <c r="AB14" i="3"/>
  <c r="AC14" i="3" s="1"/>
  <c r="Q13" i="3" l="1"/>
  <c r="R13" i="3" s="1"/>
  <c r="P13" i="3"/>
  <c r="T13" i="3" s="1"/>
  <c r="AA13" i="3"/>
  <c r="AE13" i="3" s="1"/>
  <c r="AB13" i="3"/>
  <c r="AC13" i="3" s="1"/>
  <c r="E11" i="14" l="1"/>
  <c r="O17" i="3" l="1"/>
  <c r="Z17" i="3"/>
  <c r="I11" i="14"/>
  <c r="X11" i="14" l="1"/>
  <c r="L11" i="14" s="1"/>
  <c r="M11" i="14" s="1"/>
  <c r="N11" i="14" s="1"/>
  <c r="AB17" i="3"/>
  <c r="AC17" i="3" s="1"/>
  <c r="AA17" i="3"/>
  <c r="AE17" i="3" s="1"/>
  <c r="Q17" i="3"/>
  <c r="R17" i="3" s="1"/>
  <c r="P17" i="3"/>
  <c r="T17" i="3" s="1"/>
  <c r="K11" i="14" l="1"/>
  <c r="Y11" i="14"/>
  <c r="AA11" i="14" s="1"/>
  <c r="S11" i="14" s="1"/>
  <c r="I13" i="7" l="1"/>
  <c r="Z20" i="3" l="1"/>
  <c r="O20" i="3"/>
  <c r="X13" i="7"/>
  <c r="K13" i="7" s="1"/>
  <c r="AA20" i="3"/>
  <c r="AE20" i="3" s="1"/>
  <c r="AB20" i="3"/>
  <c r="AC20" i="3" s="1"/>
  <c r="P20" i="3"/>
  <c r="T20" i="3" s="1"/>
  <c r="Q20" i="3"/>
  <c r="R20" i="3" s="1"/>
  <c r="Y13" i="7" l="1"/>
  <c r="AA13" i="7" s="1"/>
  <c r="S13" i="7" s="1"/>
  <c r="L13" i="7"/>
  <c r="M13" i="7" s="1"/>
  <c r="N13" i="7" s="1"/>
  <c r="E9" i="14"/>
  <c r="O19" i="3"/>
  <c r="Z19" i="3"/>
  <c r="AB19" i="3" l="1"/>
  <c r="AC19" i="3" s="1"/>
  <c r="AA19" i="3"/>
  <c r="AE19" i="3" s="1"/>
  <c r="P19" i="3"/>
  <c r="T19" i="3" s="1"/>
  <c r="Q19" i="3"/>
  <c r="R19" i="3" s="1"/>
  <c r="I9" i="14"/>
  <c r="O18" i="3"/>
  <c r="Z18" i="3"/>
  <c r="E10" i="14"/>
  <c r="X9" i="14" l="1"/>
  <c r="L9" i="14" s="1"/>
  <c r="M9" i="14" s="1"/>
  <c r="N9" i="14" s="1"/>
  <c r="I10" i="14"/>
  <c r="AB18" i="3"/>
  <c r="AC18" i="3" s="1"/>
  <c r="AA18" i="3"/>
  <c r="AE18" i="3" s="1"/>
  <c r="E12" i="14"/>
  <c r="Q18" i="3"/>
  <c r="R18" i="3" s="1"/>
  <c r="P18" i="3"/>
  <c r="T18" i="3" s="1"/>
  <c r="X10" i="14" l="1"/>
  <c r="L10" i="14" s="1"/>
  <c r="M10" i="14" s="1"/>
  <c r="N10" i="14" s="1"/>
  <c r="I12" i="14"/>
  <c r="K9" i="14"/>
  <c r="Y9" i="14"/>
  <c r="AA9" i="14" s="1"/>
  <c r="S9" i="14" s="1"/>
  <c r="X12" i="14" l="1"/>
  <c r="L12" i="14" s="1"/>
  <c r="M12" i="14" s="1"/>
  <c r="N12" i="14" s="1"/>
  <c r="K10" i="14"/>
  <c r="Y10" i="14"/>
  <c r="AA10" i="14" s="1"/>
  <c r="S10" i="14" s="1"/>
  <c r="H13" i="5" l="1"/>
  <c r="H12" i="5" s="1"/>
  <c r="H11" i="5" s="1"/>
  <c r="E18" i="7"/>
  <c r="E19" i="7"/>
  <c r="E13" i="7"/>
  <c r="E14" i="7"/>
  <c r="E15" i="7"/>
  <c r="E16" i="7"/>
  <c r="E17" i="7"/>
  <c r="K12" i="14"/>
  <c r="Y12" i="14"/>
  <c r="AA12" i="14" s="1"/>
  <c r="S12" i="14" s="1"/>
  <c r="J11" i="5" l="1"/>
  <c r="Z4" i="3" s="1"/>
  <c r="E9" i="6"/>
  <c r="J13" i="5"/>
  <c r="E11" i="6"/>
  <c r="J12" i="5"/>
  <c r="E10" i="6"/>
  <c r="I16" i="7"/>
  <c r="I15" i="7"/>
  <c r="D43" i="3"/>
  <c r="D23" i="3"/>
  <c r="I9" i="6" l="1"/>
  <c r="X9" i="6" s="1"/>
  <c r="Y9" i="6" s="1"/>
  <c r="AA9" i="6" s="1"/>
  <c r="S9" i="6" s="1"/>
  <c r="O4" i="3"/>
  <c r="I11" i="6"/>
  <c r="X11" i="6" s="1"/>
  <c r="Z6" i="3"/>
  <c r="O6" i="3"/>
  <c r="O5" i="3"/>
  <c r="I10" i="6"/>
  <c r="Z5" i="3"/>
  <c r="L9" i="6"/>
  <c r="M9" i="6" s="1"/>
  <c r="Q4" i="3"/>
  <c r="R4" i="3" s="1"/>
  <c r="P4" i="3"/>
  <c r="T4" i="3" s="1"/>
  <c r="AA4" i="3"/>
  <c r="AE4" i="3" s="1"/>
  <c r="AB4" i="3"/>
  <c r="AC4" i="3" s="1"/>
  <c r="X15" i="7"/>
  <c r="L15" i="7" s="1"/>
  <c r="M15" i="7" s="1"/>
  <c r="N15" i="7" s="1"/>
  <c r="X16" i="7"/>
  <c r="L16" i="7" s="1"/>
  <c r="M16" i="7" s="1"/>
  <c r="N16" i="7" s="1"/>
  <c r="E43" i="3"/>
  <c r="F43" i="3"/>
  <c r="F23" i="3"/>
  <c r="I43" i="3"/>
  <c r="E23" i="3"/>
  <c r="K9" i="6" l="1"/>
  <c r="P6" i="3"/>
  <c r="T6" i="3" s="1"/>
  <c r="Q6" i="3"/>
  <c r="R6" i="3" s="1"/>
  <c r="AA6" i="3"/>
  <c r="AE6" i="3" s="1"/>
  <c r="AB6" i="3"/>
  <c r="AC6" i="3" s="1"/>
  <c r="L11" i="6"/>
  <c r="M11" i="6" s="1"/>
  <c r="K11" i="6"/>
  <c r="Y11" i="6"/>
  <c r="AA11" i="6" s="1"/>
  <c r="S11" i="6" s="1"/>
  <c r="AB5" i="3"/>
  <c r="AC5" i="3" s="1"/>
  <c r="AA5" i="3"/>
  <c r="AE5" i="3" s="1"/>
  <c r="X10" i="6"/>
  <c r="Q5" i="3"/>
  <c r="R5" i="3" s="1"/>
  <c r="P5" i="3"/>
  <c r="T5" i="3" s="1"/>
  <c r="N9" i="6"/>
  <c r="K16" i="7"/>
  <c r="Y16" i="7"/>
  <c r="AA16" i="7" s="1"/>
  <c r="S16" i="7" s="1"/>
  <c r="Y15" i="7"/>
  <c r="AA15" i="7" s="1"/>
  <c r="S15" i="7" s="1"/>
  <c r="K15" i="7"/>
  <c r="N24" i="7"/>
  <c r="G23" i="3"/>
  <c r="G43" i="3"/>
  <c r="I23" i="3"/>
  <c r="L10" i="6" l="1"/>
  <c r="M10" i="6" s="1"/>
  <c r="N10" i="6" s="1"/>
  <c r="K10" i="6"/>
  <c r="Y10" i="6"/>
  <c r="AA10" i="6" s="1"/>
  <c r="S10" i="6" s="1"/>
  <c r="O12" i="14" l="1"/>
  <c r="AD17" i="3" l="1"/>
  <c r="O10" i="14"/>
  <c r="P12" i="14"/>
  <c r="O11" i="14"/>
  <c r="P11" i="14" s="1"/>
  <c r="H23" i="3"/>
  <c r="H43" i="3"/>
  <c r="Q11" i="14" l="1"/>
  <c r="N31" i="5" s="1"/>
  <c r="R11" i="14"/>
  <c r="R12" i="14"/>
  <c r="Q12" i="14"/>
  <c r="N32" i="5" s="1"/>
  <c r="P10" i="14"/>
  <c r="O9" i="14"/>
  <c r="P9" i="14" s="1"/>
  <c r="H18" i="5" l="1"/>
  <c r="AD18" i="3"/>
  <c r="R9" i="14"/>
  <c r="Q9" i="14"/>
  <c r="N29" i="5" s="1"/>
  <c r="R10" i="14"/>
  <c r="Q10" i="14"/>
  <c r="E14" i="14" l="1"/>
  <c r="H17" i="5"/>
  <c r="E12" i="6"/>
  <c r="J18" i="5"/>
  <c r="I14" i="14" s="1"/>
  <c r="X14" i="14" s="1"/>
  <c r="N11" i="6"/>
  <c r="AD19" i="3"/>
  <c r="AD13" i="3"/>
  <c r="S7" i="3"/>
  <c r="H16" i="5" l="1"/>
  <c r="E15" i="14"/>
  <c r="E11" i="7"/>
  <c r="J17" i="5"/>
  <c r="L14" i="14"/>
  <c r="M14" i="14" s="1"/>
  <c r="N14" i="14" s="1"/>
  <c r="K14" i="14"/>
  <c r="Y14" i="14"/>
  <c r="AA14" i="14" s="1"/>
  <c r="S14" i="14" s="1"/>
  <c r="E13" i="6"/>
  <c r="H19" i="5"/>
  <c r="I12" i="6"/>
  <c r="Z11" i="3"/>
  <c r="O11" i="3"/>
  <c r="AD20" i="3"/>
  <c r="V7" i="3"/>
  <c r="V8" i="3"/>
  <c r="O15" i="7"/>
  <c r="AD14" i="3"/>
  <c r="I11" i="7" l="1"/>
  <c r="Z10" i="3"/>
  <c r="I15" i="14"/>
  <c r="O10" i="3"/>
  <c r="E10" i="7"/>
  <c r="J16" i="5"/>
  <c r="E12" i="7"/>
  <c r="E13" i="14"/>
  <c r="J19" i="5"/>
  <c r="I13" i="14" s="1"/>
  <c r="X13" i="14" s="1"/>
  <c r="K13" i="14" s="1"/>
  <c r="H15" i="5"/>
  <c r="X12" i="6"/>
  <c r="L12" i="6" s="1"/>
  <c r="M12" i="6" s="1"/>
  <c r="N12" i="6" s="1"/>
  <c r="I13" i="6"/>
  <c r="P11" i="3"/>
  <c r="T11" i="3" s="1"/>
  <c r="Q11" i="3"/>
  <c r="R11" i="3" s="1"/>
  <c r="AA11" i="3"/>
  <c r="AE11" i="3" s="1"/>
  <c r="AB11" i="3"/>
  <c r="AC11" i="3" s="1"/>
  <c r="AD15" i="3"/>
  <c r="P15" i="7"/>
  <c r="Y13" i="14" l="1"/>
  <c r="AA13" i="14" s="1"/>
  <c r="S13" i="14" s="1"/>
  <c r="L13" i="14"/>
  <c r="M13" i="14" s="1"/>
  <c r="N13" i="14" s="1"/>
  <c r="O13" i="14" s="1"/>
  <c r="P13" i="14" s="1"/>
  <c r="Q13" i="14" s="1"/>
  <c r="N33" i="5" s="1"/>
  <c r="X15" i="14"/>
  <c r="L15" i="14"/>
  <c r="M15" i="14" s="1"/>
  <c r="N15" i="14" s="1"/>
  <c r="O15" i="14" s="1"/>
  <c r="I10" i="7"/>
  <c r="Z9" i="3"/>
  <c r="O9" i="3"/>
  <c r="Q10" i="3"/>
  <c r="R10" i="3" s="1"/>
  <c r="P10" i="3"/>
  <c r="T10" i="3" s="1"/>
  <c r="AA10" i="3"/>
  <c r="AE10" i="3" s="1"/>
  <c r="AB10" i="3"/>
  <c r="AC10" i="3" s="1"/>
  <c r="X11" i="7"/>
  <c r="L11" i="7"/>
  <c r="M11" i="7" s="1"/>
  <c r="N11" i="7" s="1"/>
  <c r="E9" i="7"/>
  <c r="H9" i="5"/>
  <c r="J15" i="5"/>
  <c r="O12" i="3"/>
  <c r="Z12" i="3"/>
  <c r="K12" i="6"/>
  <c r="Y12" i="6"/>
  <c r="AA12" i="6" s="1"/>
  <c r="S12" i="6" s="1"/>
  <c r="X13" i="6"/>
  <c r="L13" i="6" s="1"/>
  <c r="M13" i="6" s="1"/>
  <c r="R15" i="7"/>
  <c r="Q15" i="7"/>
  <c r="N23" i="5" s="1"/>
  <c r="AD16" i="3"/>
  <c r="O23" i="14" l="1"/>
  <c r="P23" i="14" s="1"/>
  <c r="P15" i="14"/>
  <c r="O14" i="14"/>
  <c r="P14" i="14" s="1"/>
  <c r="Y11" i="7"/>
  <c r="AA11" i="7" s="1"/>
  <c r="S11" i="7" s="1"/>
  <c r="K11" i="7"/>
  <c r="P9" i="3"/>
  <c r="T9" i="3" s="1"/>
  <c r="Q9" i="3"/>
  <c r="R9" i="3" s="1"/>
  <c r="AA9" i="3"/>
  <c r="AE9" i="3" s="1"/>
  <c r="AB9" i="3"/>
  <c r="AC9" i="3" s="1"/>
  <c r="X10" i="7"/>
  <c r="L10" i="7"/>
  <c r="M10" i="7" s="1"/>
  <c r="N10" i="7" s="1"/>
  <c r="R13" i="14"/>
  <c r="Y15" i="14"/>
  <c r="AA15" i="14" s="1"/>
  <c r="S15" i="14" s="1"/>
  <c r="K15" i="14"/>
  <c r="AB12" i="3"/>
  <c r="AC12" i="3" s="1"/>
  <c r="AA12" i="3"/>
  <c r="AE12" i="3" s="1"/>
  <c r="P12" i="3"/>
  <c r="T12" i="3" s="1"/>
  <c r="Q12" i="3"/>
  <c r="R12" i="3" s="1"/>
  <c r="O8" i="3"/>
  <c r="I9" i="7"/>
  <c r="Z8" i="3"/>
  <c r="H33" i="5"/>
  <c r="J33" i="5" s="1"/>
  <c r="H32" i="5"/>
  <c r="J32" i="5" s="1"/>
  <c r="H22" i="5"/>
  <c r="J22" i="5" s="1"/>
  <c r="I14" i="7" s="1"/>
  <c r="H50" i="5"/>
  <c r="J50" i="5" s="1"/>
  <c r="H34" i="5"/>
  <c r="J34" i="5" s="1"/>
  <c r="H45" i="5"/>
  <c r="J45" i="5" s="1"/>
  <c r="H46" i="5"/>
  <c r="J46" i="5" s="1"/>
  <c r="H42" i="5"/>
  <c r="J42" i="5" s="1"/>
  <c r="H43" i="5"/>
  <c r="J43" i="5" s="1"/>
  <c r="H47" i="5"/>
  <c r="J47" i="5" s="1"/>
  <c r="H41" i="5"/>
  <c r="J41" i="5" s="1"/>
  <c r="H10" i="5"/>
  <c r="J10" i="5" s="1"/>
  <c r="H39" i="5"/>
  <c r="J39" i="5" s="1"/>
  <c r="H29" i="5"/>
  <c r="J29" i="5" s="1"/>
  <c r="H49" i="5"/>
  <c r="J49" i="5" s="1"/>
  <c r="H40" i="5"/>
  <c r="J40" i="5" s="1"/>
  <c r="H26" i="5"/>
  <c r="J26" i="5" s="1"/>
  <c r="I18" i="7" s="1"/>
  <c r="H48" i="5"/>
  <c r="J48" i="5" s="1"/>
  <c r="H24" i="5"/>
  <c r="J24" i="5" s="1"/>
  <c r="R34" i="5" s="1"/>
  <c r="E8" i="14"/>
  <c r="H28" i="5"/>
  <c r="J28" i="5" s="1"/>
  <c r="H31" i="5"/>
  <c r="J31" i="5" s="1"/>
  <c r="H14" i="5"/>
  <c r="J14" i="5" s="1"/>
  <c r="H38" i="5"/>
  <c r="J38" i="5" s="1"/>
  <c r="H51" i="5"/>
  <c r="J51" i="5" s="1"/>
  <c r="E8" i="6"/>
  <c r="H21" i="5"/>
  <c r="J21" i="5" s="1"/>
  <c r="H23" i="5"/>
  <c r="J23" i="5" s="1"/>
  <c r="R33" i="5" s="1"/>
  <c r="H36" i="5"/>
  <c r="J36" i="5" s="1"/>
  <c r="J9" i="5"/>
  <c r="E8" i="15"/>
  <c r="H35" i="5"/>
  <c r="J35" i="5" s="1"/>
  <c r="H44" i="5"/>
  <c r="J44" i="5" s="1"/>
  <c r="H30" i="5"/>
  <c r="J30" i="5" s="1"/>
  <c r="H27" i="5"/>
  <c r="J27" i="5" s="1"/>
  <c r="I19" i="7" s="1"/>
  <c r="X19" i="7" s="1"/>
  <c r="H20" i="5"/>
  <c r="J20" i="5" s="1"/>
  <c r="I12" i="7" s="1"/>
  <c r="X12" i="7" s="1"/>
  <c r="H37" i="5"/>
  <c r="J37" i="5" s="1"/>
  <c r="E8" i="7"/>
  <c r="H25" i="5"/>
  <c r="J25" i="5" s="1"/>
  <c r="I17" i="7" s="1"/>
  <c r="AB38" i="4"/>
  <c r="Y13" i="6"/>
  <c r="AA13" i="6" s="1"/>
  <c r="S13" i="6" s="1"/>
  <c r="K13" i="6"/>
  <c r="AG20" i="3"/>
  <c r="AG19" i="3"/>
  <c r="AG18" i="3"/>
  <c r="AG17" i="3"/>
  <c r="AG16" i="3"/>
  <c r="AG14" i="3"/>
  <c r="AG13" i="3"/>
  <c r="AG15" i="3"/>
  <c r="R14" i="14" l="1"/>
  <c r="Q14" i="14"/>
  <c r="N34" i="5" s="1"/>
  <c r="R15" i="14"/>
  <c r="Q15" i="14"/>
  <c r="K10" i="7"/>
  <c r="Y10" i="7"/>
  <c r="AA10" i="7" s="1"/>
  <c r="S10" i="7" s="1"/>
  <c r="D2" i="14"/>
  <c r="Q23" i="14"/>
  <c r="R23" i="14"/>
  <c r="K7" i="1"/>
  <c r="I8" i="6"/>
  <c r="Z2" i="3"/>
  <c r="I8" i="15"/>
  <c r="O2" i="3"/>
  <c r="I8" i="7"/>
  <c r="P12" i="8"/>
  <c r="I8" i="14"/>
  <c r="R32" i="5"/>
  <c r="Q2" i="5"/>
  <c r="P5" i="5"/>
  <c r="AB37" i="4"/>
  <c r="AB39" i="4" s="1"/>
  <c r="L5" i="5"/>
  <c r="AB8" i="3"/>
  <c r="AC8" i="3" s="1"/>
  <c r="AA8" i="3"/>
  <c r="AE8" i="3" s="1"/>
  <c r="P8" i="3"/>
  <c r="T8" i="3" s="1"/>
  <c r="Q8" i="3"/>
  <c r="R8" i="3" s="1"/>
  <c r="X9" i="7"/>
  <c r="L9" i="7"/>
  <c r="M9" i="7" s="1"/>
  <c r="N9" i="7" s="1"/>
  <c r="X18" i="7"/>
  <c r="L18" i="7" s="1"/>
  <c r="M18" i="7" s="1"/>
  <c r="N18" i="7" s="1"/>
  <c r="O18" i="7" s="1"/>
  <c r="P18" i="7" s="1"/>
  <c r="X14" i="7"/>
  <c r="X17" i="7"/>
  <c r="L17" i="7" s="1"/>
  <c r="M17" i="7" s="1"/>
  <c r="N17" i="7" s="1"/>
  <c r="O17" i="7" s="1"/>
  <c r="P17" i="7" s="1"/>
  <c r="L12" i="7"/>
  <c r="M12" i="7" s="1"/>
  <c r="N12" i="7" s="1"/>
  <c r="Y12" i="7"/>
  <c r="AA12" i="7" s="1"/>
  <c r="S12" i="7" s="1"/>
  <c r="K12" i="7"/>
  <c r="L19" i="7"/>
  <c r="M19" i="7" s="1"/>
  <c r="N19" i="7" s="1"/>
  <c r="O19" i="7" s="1"/>
  <c r="P19" i="7" s="1"/>
  <c r="Y19" i="7"/>
  <c r="AA19" i="7" s="1"/>
  <c r="S19" i="7" s="1"/>
  <c r="K19" i="7"/>
  <c r="N13" i="6"/>
  <c r="O13" i="6" s="1"/>
  <c r="Q33" i="5" l="1"/>
  <c r="C2" i="14"/>
  <c r="Q17" i="7"/>
  <c r="N25" i="5" s="1"/>
  <c r="R17" i="7"/>
  <c r="P7" i="5"/>
  <c r="P6" i="5"/>
  <c r="L8" i="14"/>
  <c r="M8" i="14" s="1"/>
  <c r="AF5" i="14"/>
  <c r="X8" i="14"/>
  <c r="AF4" i="14"/>
  <c r="J36" i="8"/>
  <c r="J48" i="8"/>
  <c r="J17" i="8"/>
  <c r="J44" i="8"/>
  <c r="J31" i="8"/>
  <c r="J24" i="8"/>
  <c r="J42" i="8"/>
  <c r="J46" i="8"/>
  <c r="J27" i="8"/>
  <c r="J40" i="8"/>
  <c r="J51" i="8"/>
  <c r="J28" i="8"/>
  <c r="J47" i="8"/>
  <c r="J32" i="8"/>
  <c r="J12" i="8"/>
  <c r="J35" i="8"/>
  <c r="J25" i="8"/>
  <c r="J33" i="8"/>
  <c r="J34" i="8"/>
  <c r="J37" i="8"/>
  <c r="J39" i="8"/>
  <c r="J10" i="8"/>
  <c r="J45" i="8"/>
  <c r="J19" i="8"/>
  <c r="J20" i="8"/>
  <c r="J18" i="8"/>
  <c r="J30" i="8"/>
  <c r="J26" i="8"/>
  <c r="J11" i="8"/>
  <c r="J43" i="8"/>
  <c r="J50" i="8"/>
  <c r="J29" i="8"/>
  <c r="J21" i="8"/>
  <c r="J15" i="8"/>
  <c r="J41" i="8"/>
  <c r="J38" i="8"/>
  <c r="J22" i="8"/>
  <c r="J16" i="8"/>
  <c r="J13" i="8"/>
  <c r="J14" i="8"/>
  <c r="J23" i="8"/>
  <c r="J9" i="8"/>
  <c r="J49" i="8"/>
  <c r="AF5" i="7"/>
  <c r="X8" i="7"/>
  <c r="AF4" i="7"/>
  <c r="L8" i="7"/>
  <c r="M8" i="7" s="1"/>
  <c r="K17" i="7"/>
  <c r="Y17" i="7"/>
  <c r="AA17" i="7" s="1"/>
  <c r="S17" i="7" s="1"/>
  <c r="Q19" i="7"/>
  <c r="N27" i="5" s="1"/>
  <c r="R19" i="7"/>
  <c r="AF4" i="15"/>
  <c r="L8" i="15"/>
  <c r="M8" i="15" s="1"/>
  <c r="X8" i="15"/>
  <c r="AF5" i="15"/>
  <c r="Y14" i="7"/>
  <c r="AA14" i="7" s="1"/>
  <c r="S14" i="7" s="1"/>
  <c r="K14" i="7"/>
  <c r="L14" i="7"/>
  <c r="M14" i="7" s="1"/>
  <c r="N14" i="7" s="1"/>
  <c r="O14" i="7" s="1"/>
  <c r="P14" i="7" s="1"/>
  <c r="D42" i="3"/>
  <c r="AB2" i="3"/>
  <c r="D35" i="3"/>
  <c r="D34" i="3"/>
  <c r="D38" i="3"/>
  <c r="D36" i="3"/>
  <c r="D40" i="3"/>
  <c r="D41" i="3"/>
  <c r="D39" i="3"/>
  <c r="AA2" i="3"/>
  <c r="D37" i="3"/>
  <c r="AE2" i="3"/>
  <c r="K9" i="7"/>
  <c r="Y9" i="7"/>
  <c r="AA9" i="7" s="1"/>
  <c r="S9" i="7" s="1"/>
  <c r="R18" i="7"/>
  <c r="Q18" i="7"/>
  <c r="N26" i="5" s="1"/>
  <c r="AF4" i="6"/>
  <c r="X8" i="6"/>
  <c r="AF5" i="6"/>
  <c r="L8" i="6"/>
  <c r="M8" i="6" s="1"/>
  <c r="D22" i="3"/>
  <c r="D16" i="3"/>
  <c r="D14" i="3"/>
  <c r="D21" i="3"/>
  <c r="D20" i="3"/>
  <c r="P2" i="3"/>
  <c r="T2" i="3" s="1"/>
  <c r="D17" i="3"/>
  <c r="D18" i="3"/>
  <c r="D15" i="3"/>
  <c r="D19" i="3"/>
  <c r="Q2" i="3"/>
  <c r="Y18" i="7"/>
  <c r="AA18" i="7" s="1"/>
  <c r="S18" i="7" s="1"/>
  <c r="K18" i="7"/>
  <c r="T5" i="1"/>
  <c r="K8" i="1"/>
  <c r="B5" i="3"/>
  <c r="B7" i="3" s="1"/>
  <c r="P13" i="6"/>
  <c r="O12" i="6"/>
  <c r="I22" i="3" l="1"/>
  <c r="I15" i="3"/>
  <c r="I21" i="3"/>
  <c r="I14" i="3"/>
  <c r="I19" i="3"/>
  <c r="I16" i="3"/>
  <c r="I17" i="3"/>
  <c r="I20" i="3"/>
  <c r="I18" i="3"/>
  <c r="N8" i="6"/>
  <c r="O8" i="6" s="1"/>
  <c r="N8" i="7"/>
  <c r="O8" i="7" s="1"/>
  <c r="I42" i="3"/>
  <c r="I34" i="3"/>
  <c r="I37" i="3"/>
  <c r="I38" i="3"/>
  <c r="I36" i="3"/>
  <c r="I35" i="3"/>
  <c r="I40" i="3"/>
  <c r="I39" i="3"/>
  <c r="I41" i="3"/>
  <c r="AB22" i="15"/>
  <c r="AB25" i="15"/>
  <c r="AB19" i="15"/>
  <c r="AB10" i="15"/>
  <c r="AB20" i="15"/>
  <c r="AB15" i="15"/>
  <c r="AB8" i="15"/>
  <c r="AB16" i="15"/>
  <c r="AB18" i="15"/>
  <c r="AB9" i="15"/>
  <c r="AB21" i="15"/>
  <c r="AB24" i="15"/>
  <c r="AB14" i="15"/>
  <c r="AB11" i="15"/>
  <c r="AB23" i="15"/>
  <c r="AB17" i="15"/>
  <c r="AB13" i="15"/>
  <c r="AB12" i="15"/>
  <c r="AB23" i="14"/>
  <c r="AB20" i="14"/>
  <c r="AB8" i="14"/>
  <c r="AB18" i="14"/>
  <c r="AB19" i="14"/>
  <c r="AB21" i="14"/>
  <c r="AB17" i="14"/>
  <c r="AB22" i="14"/>
  <c r="AB13" i="14"/>
  <c r="AB16" i="14"/>
  <c r="AB14" i="14"/>
  <c r="AB11" i="14"/>
  <c r="AB25" i="14"/>
  <c r="AB12" i="14"/>
  <c r="AB10" i="14"/>
  <c r="AB15" i="14"/>
  <c r="AB24" i="14"/>
  <c r="AB9" i="14"/>
  <c r="K8" i="7"/>
  <c r="Y8" i="7"/>
  <c r="AA8" i="7" s="1"/>
  <c r="S8" i="7" s="1"/>
  <c r="Y8" i="14"/>
  <c r="AA8" i="14" s="1"/>
  <c r="S8" i="14" s="1"/>
  <c r="K8" i="14"/>
  <c r="Y8" i="6"/>
  <c r="AA8" i="6" s="1"/>
  <c r="S8" i="6" s="1"/>
  <c r="K8" i="6"/>
  <c r="AB14" i="7"/>
  <c r="AB23" i="7"/>
  <c r="AB16" i="7"/>
  <c r="AB22" i="7"/>
  <c r="AB13" i="7"/>
  <c r="AB8" i="7"/>
  <c r="AB20" i="7"/>
  <c r="AB12" i="7"/>
  <c r="AB17" i="7"/>
  <c r="AB24" i="7"/>
  <c r="AB15" i="7"/>
  <c r="AB18" i="7"/>
  <c r="AB11" i="7"/>
  <c r="AB25" i="7"/>
  <c r="AB21" i="7"/>
  <c r="AB10" i="7"/>
  <c r="AB9" i="7"/>
  <c r="AB19" i="7"/>
  <c r="O16" i="8"/>
  <c r="F42" i="3"/>
  <c r="F36" i="3"/>
  <c r="F34" i="3"/>
  <c r="F38" i="3"/>
  <c r="F40" i="3"/>
  <c r="F41" i="3"/>
  <c r="F37" i="3"/>
  <c r="F39" i="3"/>
  <c r="F35" i="3"/>
  <c r="AC2" i="3"/>
  <c r="AB18" i="6"/>
  <c r="AB22" i="6"/>
  <c r="AB9" i="6"/>
  <c r="AB11" i="6"/>
  <c r="AB15" i="6"/>
  <c r="AB24" i="6"/>
  <c r="AB26" i="6"/>
  <c r="AB17" i="6"/>
  <c r="AB8" i="6"/>
  <c r="AB13" i="6"/>
  <c r="AB23" i="6"/>
  <c r="AB14" i="6"/>
  <c r="AB21" i="6"/>
  <c r="AB25" i="6"/>
  <c r="AB16" i="6"/>
  <c r="AB20" i="6"/>
  <c r="AB19" i="6"/>
  <c r="AB10" i="6"/>
  <c r="AB12" i="6"/>
  <c r="F22" i="3"/>
  <c r="F21" i="3"/>
  <c r="F20" i="3"/>
  <c r="F16" i="3"/>
  <c r="F15" i="3"/>
  <c r="F18" i="3"/>
  <c r="F19" i="3"/>
  <c r="R2" i="3"/>
  <c r="F14" i="3"/>
  <c r="F17" i="3"/>
  <c r="K10" i="1"/>
  <c r="N8" i="14" s="1"/>
  <c r="O8" i="14" s="1"/>
  <c r="P8" i="14" s="1"/>
  <c r="T6" i="1"/>
  <c r="K8" i="15"/>
  <c r="Y8" i="15"/>
  <c r="AA8" i="15" s="1"/>
  <c r="S8" i="15" s="1"/>
  <c r="E42" i="3"/>
  <c r="E41" i="3"/>
  <c r="E40" i="3"/>
  <c r="E37" i="3"/>
  <c r="E34" i="3"/>
  <c r="E39" i="3"/>
  <c r="E36" i="3"/>
  <c r="E35" i="3"/>
  <c r="E38" i="3"/>
  <c r="E22" i="3"/>
  <c r="E20" i="3"/>
  <c r="E16" i="3"/>
  <c r="E18" i="3"/>
  <c r="E19" i="3"/>
  <c r="E17" i="3"/>
  <c r="E14" i="3"/>
  <c r="E21" i="3"/>
  <c r="E15" i="3"/>
  <c r="R14" i="7"/>
  <c r="Q14" i="7"/>
  <c r="N22" i="5" s="1"/>
  <c r="P12" i="6"/>
  <c r="R13" i="6"/>
  <c r="Q13" i="6"/>
  <c r="Q8" i="14" l="1"/>
  <c r="R8" i="14"/>
  <c r="P8" i="6"/>
  <c r="O9" i="6"/>
  <c r="O9" i="7"/>
  <c r="O13" i="7" s="1"/>
  <c r="P13" i="7" s="1"/>
  <c r="P8" i="7"/>
  <c r="G22" i="3"/>
  <c r="G21" i="3"/>
  <c r="G17" i="3"/>
  <c r="G19" i="3"/>
  <c r="G14" i="3"/>
  <c r="G16" i="3"/>
  <c r="G20" i="3"/>
  <c r="G18" i="3"/>
  <c r="G15" i="3"/>
  <c r="G42" i="3"/>
  <c r="G41" i="3"/>
  <c r="G37" i="3"/>
  <c r="G34" i="3"/>
  <c r="G39" i="3"/>
  <c r="G38" i="3"/>
  <c r="G36" i="3"/>
  <c r="G40" i="3"/>
  <c r="G35" i="3"/>
  <c r="N25" i="6"/>
  <c r="O25" i="6" s="1"/>
  <c r="P25" i="6" s="1"/>
  <c r="N25" i="7"/>
  <c r="O25" i="7" s="1"/>
  <c r="P25" i="7" s="1"/>
  <c r="N25" i="14"/>
  <c r="N26" i="6"/>
  <c r="N9" i="5"/>
  <c r="N24" i="14"/>
  <c r="N24" i="15"/>
  <c r="N25" i="15"/>
  <c r="T7" i="1"/>
  <c r="N8" i="15"/>
  <c r="O8" i="15" s="1"/>
  <c r="P8" i="15" s="1"/>
  <c r="O16" i="7"/>
  <c r="P16" i="7" s="1"/>
  <c r="Q12" i="6"/>
  <c r="N14" i="5" s="1"/>
  <c r="R12" i="6"/>
  <c r="S8" i="3"/>
  <c r="Q13" i="7" l="1"/>
  <c r="N21" i="5" s="1"/>
  <c r="R13" i="7"/>
  <c r="R25" i="6"/>
  <c r="Q25" i="6"/>
  <c r="R25" i="7"/>
  <c r="Q25" i="7"/>
  <c r="AD2" i="3"/>
  <c r="R8" i="7"/>
  <c r="Q8" i="7"/>
  <c r="Q8" i="6"/>
  <c r="R8" i="6"/>
  <c r="S2" i="3"/>
  <c r="Q8" i="15"/>
  <c r="R8" i="15"/>
  <c r="P9" i="7"/>
  <c r="O10" i="7"/>
  <c r="P9" i="6"/>
  <c r="O10" i="6"/>
  <c r="Q16" i="7"/>
  <c r="N24" i="5" s="1"/>
  <c r="R16" i="7"/>
  <c r="N20" i="5"/>
  <c r="O11" i="6" l="1"/>
  <c r="P10" i="6"/>
  <c r="R9" i="6"/>
  <c r="S4" i="3"/>
  <c r="Q9" i="6"/>
  <c r="N11" i="5" s="1"/>
  <c r="O24" i="7"/>
  <c r="P24" i="7" s="1"/>
  <c r="AD8" i="3"/>
  <c r="R9" i="7"/>
  <c r="Q9" i="7"/>
  <c r="N15" i="5" s="1"/>
  <c r="P10" i="7"/>
  <c r="O11" i="7"/>
  <c r="O12" i="7" s="1"/>
  <c r="P12" i="7" s="1"/>
  <c r="H21" i="3"/>
  <c r="H22" i="3"/>
  <c r="H20" i="3"/>
  <c r="H17" i="3"/>
  <c r="H19" i="3"/>
  <c r="H14" i="3"/>
  <c r="H15" i="3"/>
  <c r="H18" i="3"/>
  <c r="H16" i="3"/>
  <c r="H42" i="3"/>
  <c r="H37" i="3"/>
  <c r="H35" i="3"/>
  <c r="H38" i="3"/>
  <c r="H41" i="3"/>
  <c r="H34" i="3"/>
  <c r="H40" i="3"/>
  <c r="H39" i="3"/>
  <c r="H36" i="3"/>
  <c r="AD12" i="3" l="1"/>
  <c r="R12" i="7"/>
  <c r="AD11" i="3"/>
  <c r="Q12" i="7"/>
  <c r="R24" i="7"/>
  <c r="Q24" i="7"/>
  <c r="Q10" i="6"/>
  <c r="N12" i="5" s="1"/>
  <c r="R10" i="6"/>
  <c r="S5" i="3"/>
  <c r="O23" i="7"/>
  <c r="P23" i="7" s="1"/>
  <c r="P11" i="7"/>
  <c r="AD9" i="3"/>
  <c r="R10" i="7"/>
  <c r="Q10" i="7"/>
  <c r="N16" i="5" s="1"/>
  <c r="O24" i="6"/>
  <c r="P24" i="6" s="1"/>
  <c r="P11" i="6"/>
  <c r="N18" i="5" l="1"/>
  <c r="N19" i="5"/>
  <c r="R11" i="6"/>
  <c r="S6" i="3"/>
  <c r="Q11" i="6"/>
  <c r="N13" i="5" s="1"/>
  <c r="D11" i="3"/>
  <c r="D2" i="6"/>
  <c r="Q24" i="6"/>
  <c r="R24" i="6"/>
  <c r="D2" i="7"/>
  <c r="Q23" i="7"/>
  <c r="R23" i="7"/>
  <c r="R11" i="7"/>
  <c r="AD10" i="3"/>
  <c r="Q11" i="7"/>
  <c r="N17" i="5" s="1"/>
  <c r="D31" i="3"/>
  <c r="AG12" i="3" s="1"/>
  <c r="AG11" i="3" l="1"/>
  <c r="AG9" i="3"/>
  <c r="AG10" i="3"/>
  <c r="AG8" i="3"/>
  <c r="C2" i="7"/>
  <c r="Q32" i="5"/>
  <c r="N5" i="5" s="1"/>
  <c r="Q31" i="5"/>
  <c r="N3" i="5" s="1"/>
  <c r="C2" i="6"/>
  <c r="V4" i="3"/>
  <c r="V5" i="3"/>
  <c r="V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P1" authorId="0" shapeId="0" xr:uid="{00000000-0006-0000-0000-000001000000}">
      <text>
        <r>
          <rPr>
            <sz val="11"/>
            <color rgb="FF000000"/>
            <rFont val="Aptos Narrow"/>
            <family val="2"/>
            <charset val="1"/>
          </rPr>
          <t>I_MIN: Mostra medida em metros do trecho para referencia de extensao.</t>
        </r>
      </text>
    </comment>
    <comment ref="Q1" authorId="0" shapeId="0" xr:uid="{00000000-0006-0000-0000-000002000000}">
      <text>
        <r>
          <rPr>
            <sz val="11"/>
            <color rgb="FF000000"/>
            <rFont val="Aptos Narrow"/>
            <family val="2"/>
            <charset val="1"/>
          </rPr>
          <t>IN_PADRAO: identifica este campo e serve para facilitar a leitura e conferencia dos dados desta aba.</t>
        </r>
      </text>
    </comment>
    <comment ref="S1" authorId="0" shapeId="0" xr:uid="{00000000-0006-0000-0000-000003000000}">
      <text>
        <r>
          <rPr>
            <sz val="11"/>
            <color rgb="FF000000"/>
            <rFont val="Aptos Narrow"/>
            <family val="2"/>
            <charset val="1"/>
          </rPr>
          <t>PARAMETRO: Mostra medida em metros do trecho para referencia de extensao.</t>
        </r>
      </text>
    </comment>
    <comment ref="T1" authorId="0" shapeId="0" xr:uid="{00000000-0006-0000-0000-000004000000}">
      <text>
        <r>
          <rPr>
            <sz val="11"/>
            <color rgb="FF000000"/>
            <rFont val="Aptos Narrow"/>
            <family val="2"/>
            <charset val="1"/>
          </rPr>
          <t>VALOR: identifica este campo e serve para facilitar a leitura e conferencia dos dados desta aba.</t>
        </r>
      </text>
    </comment>
    <comment ref="U1" authorId="0" shapeId="0" xr:uid="{00000000-0006-0000-0000-000005000000}">
      <text>
        <r>
          <rPr>
            <sz val="11"/>
            <color rgb="FF000000"/>
            <rFont val="Aptos Narrow"/>
            <family val="2"/>
            <charset val="1"/>
          </rPr>
          <t>UNIDADE: identifica este campo e serve para facilitar a leitura e conferencia dos dados desta aba.</t>
        </r>
      </text>
    </comment>
    <comment ref="W1" authorId="0" shapeId="0" xr:uid="{00000000-0006-0000-0000-000006000000}">
      <text>
        <r>
          <rPr>
            <sz val="11"/>
            <color rgb="FF000000"/>
            <rFont val="Aptos Narrow"/>
            <family val="2"/>
            <charset val="1"/>
          </rPr>
          <t>CONDUTOR: Informa o condutor vinculado ao ponto para identificacao do trecho.</t>
        </r>
      </text>
    </comment>
    <comment ref="X1" authorId="0" shapeId="0" xr:uid="{00000000-0006-0000-0000-000007000000}">
      <text>
        <r>
          <rPr>
            <sz val="11"/>
            <color rgb="FF000000"/>
            <rFont val="Aptos Narrow"/>
            <family val="2"/>
            <charset val="1"/>
          </rPr>
          <t>MATERIAL: Mostra medida em metros do trecho para referencia de extensao.</t>
        </r>
      </text>
    </comment>
    <comment ref="Y1" authorId="0" shapeId="0" xr:uid="{00000000-0006-0000-0000-000008000000}">
      <text>
        <r>
          <rPr>
            <sz val="11"/>
            <color rgb="FF000000"/>
            <rFont val="Aptos Narrow"/>
            <family val="2"/>
            <charset val="1"/>
          </rPr>
          <t>COD_CONDUTOR: Informa o condutor vinculado ao ponto para identificacao do trecho.</t>
        </r>
      </text>
    </comment>
    <comment ref="M3" authorId="0" shapeId="0" xr:uid="{00000000-0006-0000-0000-000009000000}">
      <text>
        <r>
          <rPr>
            <sz val="11"/>
            <color rgb="FF000000"/>
            <rFont val="Aptos Narrow"/>
            <family val="2"/>
            <charset val="1"/>
          </rPr>
          <t>TRAFO: Mostra o transformador atual/sugerido para o cenario analisado.</t>
        </r>
      </text>
    </comment>
    <comment ref="N3" authorId="0" shapeId="0" xr:uid="{00000000-0006-0000-0000-00000A000000}">
      <text>
        <r>
          <rPr>
            <sz val="11"/>
            <color rgb="FF000000"/>
            <rFont val="Aptos Narrow"/>
            <family val="2"/>
            <charset val="1"/>
          </rPr>
          <t>Z%: identifica este campo e serve para facilitar a leitura e conferencia dos dados desta aba.</t>
        </r>
      </text>
    </comment>
    <comment ref="N28" authorId="0" shapeId="0" xr:uid="{00000000-0006-0000-0000-00000B000000}">
      <text>
        <r>
          <rPr>
            <sz val="11"/>
            <color rgb="FF000000"/>
            <rFont val="Aptos Narrow"/>
            <family val="2"/>
            <charset val="1"/>
          </rPr>
          <t>Rede Com Estrutura: Mostra medida em metros do trecho para referencia de extensao.</t>
        </r>
      </text>
    </comment>
    <comment ref="O28" authorId="0" shapeId="0" xr:uid="{00000000-0006-0000-0000-00000C000000}">
      <text>
        <r>
          <rPr>
            <sz val="11"/>
            <color rgb="FF000000"/>
            <rFont val="Aptos Narrow"/>
            <family val="2"/>
            <charset val="1"/>
          </rPr>
          <t>BT: identifica este campo e serve para facilitar a leitura e conferencia dos dados desta aba.</t>
        </r>
      </text>
    </comment>
    <comment ref="N29" authorId="0" shapeId="0" xr:uid="{00000000-0006-0000-0000-00000D000000}">
      <text>
        <r>
          <rPr>
            <sz val="11"/>
            <color rgb="FF000000"/>
            <rFont val="Aptos Narrow"/>
            <family val="2"/>
            <charset val="1"/>
          </rPr>
          <t>Cabo 53 mm² CA – Nu e PVC: Mostra medida em metros do trecho para referencia de extensao.</t>
        </r>
      </text>
    </comment>
    <comment ref="N30" authorId="0" shapeId="0" xr:uid="{00000000-0006-0000-0000-00000E000000}">
      <text>
        <r>
          <rPr>
            <sz val="11"/>
            <color rgb="FF000000"/>
            <rFont val="Aptos Narrow"/>
            <family val="2"/>
            <charset val="1"/>
          </rPr>
          <t>Cabo 201 mm² CA - Nu e PVC: Mostra medida em metros do trecho para referencia de extensao.</t>
        </r>
      </text>
    </comment>
    <comment ref="N31" authorId="0" shapeId="0" xr:uid="{00000000-0006-0000-0000-00000F000000}">
      <text>
        <r>
          <rPr>
            <sz val="11"/>
            <color rgb="FF000000"/>
            <rFont val="Aptos Narrow"/>
            <family val="2"/>
            <charset val="1"/>
          </rPr>
          <t>Cabo 70 mm² CA MMX: Mostra coordenada X para localizar o ponto no eixo horizontal.</t>
        </r>
      </text>
    </comment>
    <comment ref="N32" authorId="0" shapeId="0" xr:uid="{00000000-0006-0000-0000-000010000000}">
      <text>
        <r>
          <rPr>
            <sz val="11"/>
            <color rgb="FF000000"/>
            <rFont val="Aptos Narrow"/>
            <family val="2"/>
            <charset val="1"/>
          </rPr>
          <t>Cabo 185 mm² CA MMX: Mostra coordenada X para localizar o ponto no eixo horizontal.</t>
        </r>
      </text>
    </comment>
    <comment ref="N33" authorId="0" shapeId="0" xr:uid="{00000000-0006-0000-0000-000011000000}">
      <text>
        <r>
          <rPr>
            <sz val="11"/>
            <color rgb="FF000000"/>
            <rFont val="Aptos Narrow"/>
            <family val="2"/>
            <charset val="1"/>
          </rPr>
          <t>Cabo 240 mm² CA MMX: Mostra coordenada X para localizar o ponto no eixo horizontal.</t>
        </r>
      </text>
    </comment>
    <comment ref="C35" authorId="0" shapeId="0" xr:uid="{00000000-0006-0000-0000-000012000000}">
      <text>
        <r>
          <rPr>
            <sz val="11"/>
            <color rgb="FF000000"/>
            <rFont val="Aptos Narrow"/>
            <family val="2"/>
            <charset val="1"/>
          </rPr>
          <t>QTD Clientes: Mostra o percentual de QT do ponto para apoiar a priorizacao.</t>
        </r>
      </text>
    </comment>
    <comment ref="D35" authorId="0" shapeId="0" xr:uid="{00000000-0006-0000-0000-000013000000}">
      <text>
        <r>
          <rPr>
            <sz val="11"/>
            <color rgb="FF000000"/>
            <rFont val="Aptos Narrow"/>
            <family val="2"/>
            <charset val="1"/>
          </rPr>
          <t>Fator por área: identifica este campo e serve para facilitar a leitura e conferencia dos dados desta aba.</t>
        </r>
      </text>
    </comment>
    <comment ref="E35" authorId="0" shapeId="0" xr:uid="{00000000-0006-0000-0000-000014000000}">
      <text>
        <r>
          <rPr>
            <sz val="11"/>
            <color rgb="FF000000"/>
            <rFont val="Aptos Narrow"/>
            <family val="2"/>
            <charset val="1"/>
          </rPr>
          <t>Fator Diversificação: identifica este campo e serve para facilitar a leitura e conferencia dos dados desta aba.</t>
        </r>
      </text>
    </comment>
    <comment ref="F35" authorId="0" shapeId="0" xr:uid="{00000000-0006-0000-0000-000015000000}">
      <text>
        <r>
          <rPr>
            <sz val="11"/>
            <color rgb="FF000000"/>
            <rFont val="Aptos Narrow"/>
            <family val="2"/>
            <charset val="1"/>
          </rPr>
          <t>Demanda (KVA): Mostra a carga em kVA usada para analise e dimensionamento geral.</t>
        </r>
      </text>
    </comment>
    <comment ref="N35" authorId="0" shapeId="0" xr:uid="{00000000-0006-0000-0000-000016000000}">
      <text>
        <r>
          <rPr>
            <sz val="11"/>
            <color rgb="FF000000"/>
            <rFont val="Aptos Narrow"/>
            <family val="2"/>
            <charset val="1"/>
          </rPr>
          <t>Rede Cabo Armado: Mostra medida em metros do trecho para referencia de extensao.</t>
        </r>
      </text>
    </comment>
    <comment ref="N36" authorId="0" shapeId="0" xr:uid="{00000000-0006-0000-0000-000017000000}">
      <text>
        <r>
          <rPr>
            <sz val="11"/>
            <color rgb="FF000000"/>
            <rFont val="Aptos Narrow"/>
            <family val="2"/>
            <charset val="1"/>
          </rPr>
          <t>Cabo armado 3X1X50 mm²+35 mm²: Mostra coordenada X para localizar o ponto no eixo horizontal.</t>
        </r>
      </text>
    </comment>
    <comment ref="N37" authorId="0" shapeId="0" xr:uid="{00000000-0006-0000-0000-000018000000}">
      <text>
        <r>
          <rPr>
            <sz val="11"/>
            <color rgb="FF000000"/>
            <rFont val="Aptos Narrow"/>
            <family val="2"/>
            <charset val="1"/>
          </rPr>
          <t>Cabo armado 3X1X95 mm²+50 mm²: Mostra coordenada X para localizar o ponto no eixo horizontal.</t>
        </r>
      </text>
    </comment>
    <comment ref="N38" authorId="0" shapeId="0" xr:uid="{00000000-0006-0000-0000-000019000000}">
      <text>
        <r>
          <rPr>
            <sz val="11"/>
            <color rgb="FF000000"/>
            <rFont val="Aptos Narrow"/>
            <family val="2"/>
            <charset val="1"/>
          </rPr>
          <t>Cabo armado 3X1X240 mm²+120 mm²: Mostra coordenada X para localizar o ponto no eixo horizontal.</t>
        </r>
      </text>
    </comment>
    <comment ref="O39" authorId="0" shapeId="0" xr:uid="{00000000-0006-0000-0000-00001A000000}">
      <text>
        <r>
          <rPr>
            <sz val="11"/>
            <color rgb="FF000000"/>
            <rFont val="Aptos Narrow"/>
            <family val="2"/>
            <charset val="1"/>
          </rPr>
          <t>TRAFO: Mostra o transformador atual/sugerido para o cenario analisado.</t>
        </r>
      </text>
    </comment>
    <comment ref="O49" authorId="0" shapeId="0" xr:uid="{00000000-0006-0000-0000-00001B000000}">
      <text>
        <r>
          <rPr>
            <sz val="11"/>
            <color rgb="FF000000"/>
            <rFont val="Aptos Narrow"/>
            <family val="2"/>
            <charset val="1"/>
          </rPr>
          <t>MT: Mostra medida em metros do trecho para referencia de extensao.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K1" authorId="0" shapeId="0" xr:uid="{00000000-0006-0000-0200-000001000000}">
      <text>
        <r>
          <rPr>
            <sz val="11"/>
            <color rgb="FF000000"/>
            <rFont val="Aptos Narrow"/>
            <family val="2"/>
            <charset val="1"/>
          </rPr>
          <t>PARAMETROS SCORE: Mostra a nota final da sugestao para apoiar a comparacao entre opcoes.</t>
        </r>
      </text>
    </comment>
    <comment ref="K2" authorId="0" shapeId="0" xr:uid="{00000000-0006-0000-0200-000002000000}">
      <text>
        <r>
          <rPr>
            <sz val="11"/>
            <color rgb="FF000000"/>
            <rFont val="Aptos Narrow"/>
            <family val="2"/>
            <charset val="1"/>
          </rPr>
          <t>Peso carga acumulada: Mostra o acumulado ate este ponto para acompanhar a evolucao dos valores.</t>
        </r>
      </text>
    </comment>
    <comment ref="K3" authorId="0" shapeId="0" xr:uid="{00000000-0006-0000-0200-000004000000}">
      <text>
        <r>
          <rPr>
            <sz val="11"/>
            <color rgb="FF000000"/>
            <rFont val="Aptos Narrow"/>
            <family val="2"/>
            <charset val="1"/>
          </rPr>
          <t>Peso QT: Mostra o percentual de QT do ponto para apoiar a priorizacao.</t>
        </r>
      </text>
    </comment>
    <comment ref="K4" authorId="0" shapeId="0" xr:uid="{00000000-0006-0000-0200-000006000000}">
      <text>
        <r>
          <rPr>
            <sz val="11"/>
            <color rgb="FF000000"/>
            <rFont val="Aptos Narrow"/>
            <family val="2"/>
            <charset val="1"/>
          </rPr>
          <t>Peso balanceamento: Mostra um indicador de equilibrio entre os lados apos a sugestao de corte.</t>
        </r>
      </text>
    </comment>
    <comment ref="K5" authorId="0" shapeId="0" xr:uid="{00000000-0006-0000-0200-000008000000}">
      <text>
        <r>
          <rPr>
            <sz val="11"/>
            <color rgb="FF000000"/>
            <rFont val="Aptos Narrow"/>
            <family val="2"/>
            <charset val="1"/>
          </rPr>
          <t>Penalidade distancia: Mostra indicador de distancia/posicao para comparar a distribuicao dos pontos.</t>
        </r>
      </text>
    </comment>
    <comment ref="K6" authorId="0" shapeId="0" xr:uid="{00000000-0006-0000-0200-00000A000000}">
      <text>
        <r>
          <rPr>
            <sz val="11"/>
            <color rgb="FF000000"/>
            <rFont val="Aptos Narrow"/>
            <family val="2"/>
            <charset val="1"/>
          </rPr>
          <t>Penalidade saturacao: Mostra o nivel de saturacao para avaliar folga ou sobrecarga.</t>
        </r>
      </text>
    </comment>
    <comment ref="K7" authorId="0" shapeId="0" xr:uid="{00000000-0006-0000-0200-00000B000000}">
      <text>
        <r>
          <rPr>
            <sz val="11"/>
            <color rgb="FF000000"/>
            <rFont val="Aptos Narrow"/>
            <family val="2"/>
            <charset val="1"/>
          </rPr>
          <t>Limite sat pos-corte: Mostra o nivel de saturacao para avaliar folga ou sobrecarga.</t>
        </r>
      </text>
    </comment>
    <comment ref="K8" authorId="0" shapeId="0" xr:uid="{00000000-0006-0000-0200-00000C000000}">
      <text>
        <r>
          <rPr>
            <sz val="11"/>
            <color rgb="FF000000"/>
            <rFont val="Aptos Narrow"/>
            <family val="2"/>
            <charset val="1"/>
          </rPr>
          <t>Soma pesos (ideal 1,00): Mostra medida em metros do trecho para referencia de extensao.</t>
        </r>
      </text>
    </comment>
    <comment ref="A10" authorId="0" shapeId="0" xr:uid="{00000000-0006-0000-0200-00000D000000}">
      <text>
        <r>
          <rPr>
            <sz val="11"/>
            <color rgb="FF000000"/>
            <rFont val="Aptos Narrow"/>
            <family val="2"/>
            <charset val="1"/>
          </rPr>
          <t>LADO ESQUERDO - TOP CORTES: Mostra o lado do circuito (ex.: esquerdo/direito) para separar a analise.</t>
        </r>
      </text>
    </comment>
    <comment ref="A13" authorId="0" shapeId="0" xr:uid="{00000000-0006-0000-0200-00000E000000}">
      <text>
        <r>
          <rPr>
            <sz val="11"/>
            <color rgb="FF000000"/>
            <rFont val="Aptos Narrow"/>
            <family val="2"/>
            <charset val="1"/>
          </rPr>
          <t>RANK: Mostra a posicao no ranking, onde 1 representa a melhor sugestao.</t>
        </r>
      </text>
    </comment>
    <comment ref="B13" authorId="0" shapeId="0" xr:uid="{00000000-0006-0000-0200-00000F000000}">
      <text>
        <r>
          <rPr>
            <sz val="11"/>
            <color rgb="FF000000"/>
            <rFont val="Aptos Narrow"/>
            <family val="2"/>
            <charset val="1"/>
          </rPr>
          <t>PONTO: Identifica o ponto de referencia deste registro e ajuda na localizacao dos dados.</t>
        </r>
      </text>
    </comment>
    <comment ref="C13" authorId="0" shapeId="0" xr:uid="{00000000-0006-0000-0200-000010000000}">
      <text>
        <r>
          <rPr>
            <sz val="11"/>
            <color rgb="FF000000"/>
            <rFont val="Aptos Narrow"/>
            <family val="2"/>
            <charset val="1"/>
          </rPr>
          <t>SUB_KVA: Mostra a carga em kVA usada para analise e dimensionamento geral.</t>
        </r>
      </text>
    </comment>
    <comment ref="D13" authorId="0" shapeId="0" xr:uid="{00000000-0006-0000-0200-000011000000}">
      <text>
        <r>
          <rPr>
            <sz val="11"/>
            <color rgb="FF000000"/>
            <rFont val="Aptos Narrow"/>
            <family val="2"/>
            <charset val="1"/>
          </rPr>
          <t>REM_KVA: Mostra a carga em kVA usada para analise e dimensionamento geral.</t>
        </r>
      </text>
    </comment>
    <comment ref="E13" authorId="0" shapeId="0" xr:uid="{00000000-0006-0000-0200-000012000000}">
      <text>
        <r>
          <rPr>
            <sz val="11"/>
            <color rgb="FF000000"/>
            <rFont val="Aptos Narrow"/>
            <family val="2"/>
            <charset val="1"/>
          </rPr>
          <t>CAP_SUG: Mostra a capacidade sugerida/considerada para atender a carga do ponto.</t>
        </r>
      </text>
    </comment>
    <comment ref="F13" authorId="0" shapeId="0" xr:uid="{00000000-0006-0000-0200-000013000000}">
      <text>
        <r>
          <rPr>
            <sz val="11"/>
            <color rgb="FF000000"/>
            <rFont val="Aptos Narrow"/>
            <family val="2"/>
            <charset val="1"/>
          </rPr>
          <t>SAT_NOVA: Mostra o nivel de saturacao para avaliar folga ou sobrecarga.</t>
        </r>
      </text>
    </comment>
    <comment ref="G13" authorId="0" shapeId="0" xr:uid="{00000000-0006-0000-0200-000014000000}">
      <text>
        <r>
          <rPr>
            <sz val="11"/>
            <color rgb="FF000000"/>
            <rFont val="Aptos Narrow"/>
            <family val="2"/>
            <charset val="1"/>
          </rPr>
          <t>QT_PONTO: Identifica o ponto de referencia deste registro e ajuda na localizacao dos dados.</t>
        </r>
      </text>
    </comment>
    <comment ref="H13" authorId="0" shapeId="0" xr:uid="{00000000-0006-0000-0200-000015000000}">
      <text>
        <r>
          <rPr>
            <sz val="11"/>
            <color rgb="FF000000"/>
            <rFont val="Aptos Narrow"/>
            <family val="2"/>
            <charset val="1"/>
          </rPr>
          <t>BAL: Mostra um indicador de equilibrio entre os lados apos a sugestao de corte.</t>
        </r>
      </text>
    </comment>
    <comment ref="I13" authorId="0" shapeId="0" xr:uid="{00000000-0006-0000-0200-000016000000}">
      <text>
        <r>
          <rPr>
            <sz val="11"/>
            <color rgb="FF000000"/>
            <rFont val="Aptos Narrow"/>
            <family val="2"/>
            <charset val="1"/>
          </rPr>
          <t>DIST_NORM: Mostra indicador de distancia/posicao para comparar a distribuicao dos pontos.</t>
        </r>
      </text>
    </comment>
    <comment ref="J13" authorId="0" shapeId="0" xr:uid="{00000000-0006-0000-0200-000017000000}">
      <text>
        <r>
          <rPr>
            <sz val="11"/>
            <color rgb="FF000000"/>
            <rFont val="Aptos Narrow"/>
            <family val="2"/>
            <charset val="1"/>
          </rPr>
          <t>SCORE: Mostra a nota final da sugestao para apoiar a comparacao entre opcoes.</t>
        </r>
      </text>
    </comment>
    <comment ref="A30" authorId="0" shapeId="0" xr:uid="{00000000-0006-0000-0200-000018000000}">
      <text>
        <r>
          <rPr>
            <sz val="11"/>
            <color rgb="FF000000"/>
            <rFont val="Aptos Narrow"/>
            <family val="2"/>
            <charset val="1"/>
          </rPr>
          <t>LADO DIREITO - TOP CORTES: Mostra o lado do circuito (ex.: esquerdo/direito) para separar a analise.</t>
        </r>
      </text>
    </comment>
    <comment ref="A33" authorId="0" shapeId="0" xr:uid="{00000000-0006-0000-0200-000019000000}">
      <text>
        <r>
          <rPr>
            <sz val="11"/>
            <color rgb="FF000000"/>
            <rFont val="Aptos Narrow"/>
            <family val="2"/>
            <charset val="1"/>
          </rPr>
          <t>RANK: Mostra a posicao no ranking, onde 1 representa a melhor sugestao.</t>
        </r>
      </text>
    </comment>
    <comment ref="B33" authorId="0" shapeId="0" xr:uid="{00000000-0006-0000-0200-00001A000000}">
      <text>
        <r>
          <rPr>
            <sz val="11"/>
            <color rgb="FF000000"/>
            <rFont val="Aptos Narrow"/>
            <family val="2"/>
            <charset val="1"/>
          </rPr>
          <t>PONTO: Identifica o ponto de referencia deste registro e ajuda na localizacao dos dados.</t>
        </r>
      </text>
    </comment>
    <comment ref="C33" authorId="0" shapeId="0" xr:uid="{00000000-0006-0000-0200-00001B000000}">
      <text>
        <r>
          <rPr>
            <sz val="11"/>
            <color rgb="FF000000"/>
            <rFont val="Aptos Narrow"/>
            <family val="2"/>
            <charset val="1"/>
          </rPr>
          <t>SUB_KVA: Mostra a carga em kVA usada para analise e dimensionamento geral.</t>
        </r>
      </text>
    </comment>
    <comment ref="D33" authorId="0" shapeId="0" xr:uid="{00000000-0006-0000-0200-00001C000000}">
      <text>
        <r>
          <rPr>
            <sz val="11"/>
            <color rgb="FF000000"/>
            <rFont val="Aptos Narrow"/>
            <family val="2"/>
            <charset val="1"/>
          </rPr>
          <t>REM_KVA: Mostra a carga em kVA usada para analise e dimensionamento geral.</t>
        </r>
      </text>
    </comment>
    <comment ref="E33" authorId="0" shapeId="0" xr:uid="{00000000-0006-0000-0200-00001D000000}">
      <text>
        <r>
          <rPr>
            <sz val="11"/>
            <color rgb="FF000000"/>
            <rFont val="Aptos Narrow"/>
            <family val="2"/>
            <charset val="1"/>
          </rPr>
          <t>CAP_SUG: Mostra a capacidade sugerida/considerada para atender a carga do ponto.</t>
        </r>
      </text>
    </comment>
    <comment ref="F33" authorId="0" shapeId="0" xr:uid="{00000000-0006-0000-0200-00001E000000}">
      <text>
        <r>
          <rPr>
            <sz val="11"/>
            <color rgb="FF000000"/>
            <rFont val="Aptos Narrow"/>
            <family val="2"/>
            <charset val="1"/>
          </rPr>
          <t>SAT_NOVA: Mostra o nivel de saturacao para avaliar folga ou sobrecarga.</t>
        </r>
      </text>
    </comment>
    <comment ref="G33" authorId="0" shapeId="0" xr:uid="{00000000-0006-0000-0200-00001F000000}">
      <text>
        <r>
          <rPr>
            <sz val="11"/>
            <color rgb="FF000000"/>
            <rFont val="Aptos Narrow"/>
            <family val="2"/>
            <charset val="1"/>
          </rPr>
          <t>QT_PONTO: Identifica o ponto de referencia deste registro e ajuda na localizacao dos dados.</t>
        </r>
      </text>
    </comment>
    <comment ref="H33" authorId="0" shapeId="0" xr:uid="{00000000-0006-0000-0200-000020000000}">
      <text>
        <r>
          <rPr>
            <sz val="11"/>
            <color rgb="FF000000"/>
            <rFont val="Aptos Narrow"/>
            <family val="2"/>
            <charset val="1"/>
          </rPr>
          <t>BAL: Mostra um indicador de equilibrio entre os lados apos a sugestao de corte.</t>
        </r>
      </text>
    </comment>
    <comment ref="I33" authorId="0" shapeId="0" xr:uid="{00000000-0006-0000-0200-000021000000}">
      <text>
        <r>
          <rPr>
            <sz val="11"/>
            <color rgb="FF000000"/>
            <rFont val="Aptos Narrow"/>
            <family val="2"/>
            <charset val="1"/>
          </rPr>
          <t>DIST_NORM: Mostra indicador de distancia/posicao para comparar a distribuicao dos pontos.</t>
        </r>
      </text>
    </comment>
    <comment ref="J33" authorId="0" shapeId="0" xr:uid="{00000000-0006-0000-0200-000022000000}">
      <text>
        <r>
          <rPr>
            <sz val="11"/>
            <color rgb="FF000000"/>
            <rFont val="Aptos Narrow"/>
            <family val="2"/>
            <charset val="1"/>
          </rPr>
          <t>SCORE: Mostra a nota final da sugestao para apoiar a comparacao entre opcoes.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2" authorId="0" shapeId="0" xr:uid="{00000000-0006-0000-0C00-000001000000}">
      <text>
        <r>
          <rPr>
            <sz val="11"/>
            <color rgb="FF000000"/>
            <rFont val="Aptos Narrow"/>
            <family val="2"/>
            <charset val="1"/>
          </rPr>
          <t>CQT FINAL: Mostra o percentual de QT do ponto para apoiar a priorizacao.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026684-4275-499F-B80D-E966B9A5E2FB}" name="Consulta - LDA CARMETIBA - ZNA 19165_utm_23s" description="Conexão com a consulta 'LDA CARMETIBA - ZNA 19165_utm_23s' na pasta de trabalho." type="100" refreshedVersion="8" minRefreshableVersion="5">
    <extLst>
      <ext xmlns:x15="http://schemas.microsoft.com/office/spreadsheetml/2010/11/main" uri="{DE250136-89BD-433C-8126-D09CA5730AF9}">
        <x15:connection id="1a986d7a-d8aa-41e0-93dc-a86b9f6206c8"/>
      </ext>
    </extLst>
  </connection>
  <connection id="2" xr16:uid="{6F884428-D4A5-4797-915E-AC722145CCEA}" keepAlive="1" name="ModelConnection_DadosExternos_1" description="Modelo de Dados" type="5" refreshedVersion="8" minRefreshableVersion="5" saveData="1">
    <dbPr connection="Data Model Connection" command="LDA CARMETIBA - ZNA 19165_utm_23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A7FAAF14-7C2E-408F-B28D-79A92D230B4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<sst xmlns="http://schemas.openxmlformats.org/spreadsheetml/2006/main" count="1241" uniqueCount="365">
  <si>
    <t>CLANDESTINO?</t>
  </si>
  <si>
    <t>CONSIDERA CASAS COM:</t>
  </si>
  <si>
    <t>RAMAL ESQ</t>
  </si>
  <si>
    <t>TRAFO</t>
  </si>
  <si>
    <t>CABO BT</t>
  </si>
  <si>
    <t>TOTAL</t>
  </si>
  <si>
    <t>70 Al - MX</t>
  </si>
  <si>
    <t>RAMAL DIR</t>
  </si>
  <si>
    <t>DEMANDA</t>
  </si>
  <si>
    <t>185 Al - MX</t>
  </si>
  <si>
    <t>LEV 27/03/2026</t>
  </si>
  <si>
    <t>EST 31/03/2026</t>
  </si>
  <si>
    <t>240 Al - MX</t>
  </si>
  <si>
    <t>PONTO</t>
  </si>
  <si>
    <t>TRECHO</t>
  </si>
  <si>
    <t>COMPRIMENTO</t>
  </si>
  <si>
    <t>COORDENADAS UTM</t>
  </si>
  <si>
    <t>CARGA PONTO</t>
  </si>
  <si>
    <t>ACUMULADA</t>
  </si>
  <si>
    <t>DIST ATÉ O CENTRO DE CARGA</t>
  </si>
  <si>
    <t>53 Al - QX</t>
  </si>
  <si>
    <t>MONTATE</t>
  </si>
  <si>
    <t>metros</t>
  </si>
  <si>
    <t>LONG</t>
  </si>
  <si>
    <t>LAT</t>
  </si>
  <si>
    <t>M</t>
  </si>
  <si>
    <t>X</t>
  </si>
  <si>
    <t>Y</t>
  </si>
  <si>
    <t>CLIENTES</t>
  </si>
  <si>
    <t>CLT ACUMULADO</t>
  </si>
  <si>
    <t>TOTAL DO TRECHO</t>
  </si>
  <si>
    <t>SNAP</t>
  </si>
  <si>
    <t>LADO</t>
  </si>
  <si>
    <t>CONDUTOR</t>
  </si>
  <si>
    <t>CQT NO PONTO</t>
  </si>
  <si>
    <t>240 Cu</t>
  </si>
  <si>
    <t>CENTRO DE CARGA</t>
  </si>
  <si>
    <t>POSTE IDEAL</t>
  </si>
  <si>
    <t>LEAD / TAQUEAMENTO</t>
  </si>
  <si>
    <t>TRONCO</t>
  </si>
  <si>
    <t>&lt;= 45KVA</t>
  </si>
  <si>
    <t>70AMX</t>
  </si>
  <si>
    <t>75kVA</t>
  </si>
  <si>
    <t>185AMX</t>
  </si>
  <si>
    <t>SUB-CIRCUITOS SUGERIDOS</t>
  </si>
  <si>
    <t>112,5kVA</t>
  </si>
  <si>
    <t>150kVA</t>
  </si>
  <si>
    <t>225kVA</t>
  </si>
  <si>
    <t>185/240AMX</t>
  </si>
  <si>
    <t>ATENTAR-SE PARA CQT</t>
  </si>
  <si>
    <t>300kVA</t>
  </si>
  <si>
    <t>240AMX</t>
  </si>
  <si>
    <t>METROS REDE TOTAL</t>
  </si>
  <si>
    <t>RAMAL (DMDI)</t>
  </si>
  <si>
    <t>CONDUTORES</t>
  </si>
  <si>
    <t>(A)</t>
  </si>
  <si>
    <t>Resistência</t>
  </si>
  <si>
    <t>Reatância</t>
  </si>
  <si>
    <t>α</t>
  </si>
  <si>
    <t>DIVISOR_R</t>
  </si>
  <si>
    <t>TEMP_LIM</t>
  </si>
  <si>
    <t>DELTA_TEMP_30</t>
  </si>
  <si>
    <t>K_TERM_30</t>
  </si>
  <si>
    <t>I_MIN</t>
  </si>
  <si>
    <t>IN_PADRAO</t>
  </si>
  <si>
    <t>PARAMETRO</t>
  </si>
  <si>
    <t>VALOR</t>
  </si>
  <si>
    <t>UNIDADE</t>
  </si>
  <si>
    <t>MATERIAL</t>
  </si>
  <si>
    <t>COD_CONDUTOR</t>
  </si>
  <si>
    <t>25 Al - Arm</t>
  </si>
  <si>
    <t>fator</t>
  </si>
  <si>
    <t>fator_potencia</t>
  </si>
  <si>
    <t>pu</t>
  </si>
  <si>
    <t>50 Al - Arm</t>
  </si>
  <si>
    <t>Z%</t>
  </si>
  <si>
    <t>QT_MT</t>
  </si>
  <si>
    <t>95 Al - Arm</t>
  </si>
  <si>
    <t>TR_ATUAL</t>
  </si>
  <si>
    <t>kVA</t>
  </si>
  <si>
    <t>150 Al - Arm</t>
  </si>
  <si>
    <t>DEM_ATUAL</t>
  </si>
  <si>
    <t>240 Al - Arm</t>
  </si>
  <si>
    <t>QT_TR</t>
  </si>
  <si>
    <t>25 Al</t>
  </si>
  <si>
    <t>QT_MTTR</t>
  </si>
  <si>
    <t>35 Cu</t>
  </si>
  <si>
    <t>70 Cu</t>
  </si>
  <si>
    <t>95 Al</t>
  </si>
  <si>
    <t>120 Cu</t>
  </si>
  <si>
    <t>240 Al</t>
  </si>
  <si>
    <t>500 Cu</t>
  </si>
  <si>
    <t>10 Cu_CONC_bi</t>
  </si>
  <si>
    <t>TR_PROJ1</t>
  </si>
  <si>
    <t>10 Cu_CONC_Tri</t>
  </si>
  <si>
    <t>DEM_PROJ1</t>
  </si>
  <si>
    <t>16 Al_CONC_bi</t>
  </si>
  <si>
    <t>16 Al_CONC_Tri</t>
  </si>
  <si>
    <t>13 Al - DX</t>
  </si>
  <si>
    <t>QT_MTTR2</t>
  </si>
  <si>
    <t>13 Al - TX</t>
  </si>
  <si>
    <t>13 Al - QX</t>
  </si>
  <si>
    <t>21 Al - QX</t>
  </si>
  <si>
    <t>TR_PROJ2</t>
  </si>
  <si>
    <t>DEM_PROJ2</t>
  </si>
  <si>
    <t>QT_MTTR3</t>
  </si>
  <si>
    <t>6 AWG</t>
  </si>
  <si>
    <t>km construido</t>
  </si>
  <si>
    <t>cusot final</t>
  </si>
  <si>
    <t>2 AWG</t>
  </si>
  <si>
    <t xml:space="preserve">Rede Com Estrutura                                                                                                                                                                                            </t>
  </si>
  <si>
    <t>BT</t>
  </si>
  <si>
    <t>CUSTO</t>
  </si>
  <si>
    <t>1/0 AWG</t>
  </si>
  <si>
    <t>Cabo 53 mm² CA – Nu e PVC</t>
  </si>
  <si>
    <t>3/0 AWG</t>
  </si>
  <si>
    <t>Cabo 201 mm² CA - Nu e PVC</t>
  </si>
  <si>
    <t>4/0 AWG</t>
  </si>
  <si>
    <t>Cabo 70 mm² CA MMX</t>
  </si>
  <si>
    <t>Cabo 185 mm² CA MMX</t>
  </si>
  <si>
    <t>Cabo 240 mm² CA MMX</t>
  </si>
  <si>
    <t xml:space="preserve">Área (m²) </t>
  </si>
  <si>
    <t>QTD Clientes</t>
  </si>
  <si>
    <t xml:space="preserve">Fator por área </t>
  </si>
  <si>
    <t xml:space="preserve">Fator Diversificação </t>
  </si>
  <si>
    <t>Demanda (KVA)</t>
  </si>
  <si>
    <t>Rede Cabo Armado</t>
  </si>
  <si>
    <t>Cabo armado 3X1X50 mm²+35 mm²</t>
  </si>
  <si>
    <t>Cabo armado 3X1X95 mm²+50 mm²</t>
  </si>
  <si>
    <t>Cabo armado 3X1X240 mm²+120 mm²</t>
  </si>
  <si>
    <t>Trafo Aéreo 45 kVA – Trifásico – 25,6 kV – Convencional ( Unidade )</t>
  </si>
  <si>
    <t>Trafo Aéreo 15 kVA – Trifásico – 13,8 kV – Convencional ( Unidade )</t>
  </si>
  <si>
    <t>Trafo Aéreo 30 kVA – Trifásico – 13,8 kV – Convencional ( Unidade )</t>
  </si>
  <si>
    <t>Trafo Aéreo 45 kVA – Trifásico – 13,8 kV – Convencional ( Unidade )</t>
  </si>
  <si>
    <t>Trafo Aéreo 75 kVA – Trifásico – 13,8 kV – Convencional ( Unidade )</t>
  </si>
  <si>
    <t>Trafo Aéreo 112,5 kVA – Trifásico – 13,8 kV – Convencional ( Unidade )</t>
  </si>
  <si>
    <t>Trafo Aéreo 150 kVA – Trifásico – 13,8 kV – Convencional ( Unidade )</t>
  </si>
  <si>
    <t>Trafo Aéreo 225 kVA – Trifásico – 13,8 kV – Convencional ( Unidade )</t>
  </si>
  <si>
    <t>Trafo Aéreo 300 kVA – Trifásico – 13,8 kV – Convencional ( Unidade )</t>
  </si>
  <si>
    <t>MT</t>
  </si>
  <si>
    <t xml:space="preserve">Rede Com Estrutura                                                                                                                                                         </t>
  </si>
  <si>
    <t>Cabo 201 mm² CA Nu</t>
  </si>
  <si>
    <t>Cabo 95 mm² - Spacer Cable (Utilização nas ligações de GD)</t>
  </si>
  <si>
    <t>Cabo 201 mm² - Spacer Cable</t>
  </si>
  <si>
    <t>Cabo 185 mm² - PR – Blindado</t>
  </si>
  <si>
    <t xml:space="preserve">Rede Sem estrutura                                                                                                                                                                       </t>
  </si>
  <si>
    <t>X / LAT / E</t>
  </si>
  <si>
    <t>Y / LON / N</t>
  </si>
  <si>
    <t>PAINEL DE SUGESTAO DE CORTES (HEURISTICO)</t>
  </si>
  <si>
    <t>PARAMETROS SCORE</t>
  </si>
  <si>
    <t>Peso carga acumulada</t>
  </si>
  <si>
    <t>Arquivo analisado</t>
  </si>
  <si>
    <t>Cenario 2 trafos</t>
  </si>
  <si>
    <t>Peso QT</t>
  </si>
  <si>
    <t>Gerado em</t>
  </si>
  <si>
    <t>Peso balanceamento</t>
  </si>
  <si>
    <t>Demanda atual (kVA)</t>
  </si>
  <si>
    <t>Penalidade distancia</t>
  </si>
  <si>
    <t>Trafo atual (kVA)</t>
  </si>
  <si>
    <t>Status</t>
  </si>
  <si>
    <t>Penalidade saturacao</t>
  </si>
  <si>
    <t>Saturacao atual</t>
  </si>
  <si>
    <t>Limite sat pos-corte</t>
  </si>
  <si>
    <t>Soma pesos (ideal 1,00)</t>
  </si>
  <si>
    <t>TOTAL_LADO_KVA</t>
  </si>
  <si>
    <t>MAX_QT</t>
  </si>
  <si>
    <t>RANK</t>
  </si>
  <si>
    <t>SUB_KVA</t>
  </si>
  <si>
    <t>REM_KVA</t>
  </si>
  <si>
    <t>CAP_SUG</t>
  </si>
  <si>
    <t>SAT_NOVA</t>
  </si>
  <si>
    <t>QT_PONTO</t>
  </si>
  <si>
    <t>BAL</t>
  </si>
  <si>
    <t>DIST_NORM</t>
  </si>
  <si>
    <t>SCORE</t>
  </si>
  <si>
    <t>Ampacidade dos Condutores de Ramais de BT (A)</t>
  </si>
  <si>
    <t>Item</t>
  </si>
  <si>
    <t>Condutores Fora de Padrão</t>
  </si>
  <si>
    <t>Condutores Padrão</t>
  </si>
  <si>
    <t>Condutor</t>
  </si>
  <si>
    <t>13 DX</t>
  </si>
  <si>
    <t>13 TX</t>
  </si>
  <si>
    <t>13 QX</t>
  </si>
  <si>
    <t>21 QX</t>
  </si>
  <si>
    <t>53 QX</t>
  </si>
  <si>
    <t>85 QX</t>
  </si>
  <si>
    <t>107 QX</t>
  </si>
  <si>
    <t>CC</t>
  </si>
  <si>
    <t>4 AWG</t>
  </si>
  <si>
    <t>1/0</t>
  </si>
  <si>
    <t>3/0</t>
  </si>
  <si>
    <t>4/0</t>
  </si>
  <si>
    <t>MMX</t>
  </si>
  <si>
    <t>Carregamento</t>
  </si>
  <si>
    <t>Cabo de Rede</t>
  </si>
  <si>
    <t>AA</t>
  </si>
  <si>
    <t>AC</t>
  </si>
  <si>
    <t>A</t>
  </si>
  <si>
    <t>R (Ohms)</t>
  </si>
  <si>
    <t>X (Ohms)</t>
  </si>
  <si>
    <t>Comercial</t>
  </si>
  <si>
    <t>Residencial</t>
  </si>
  <si>
    <t>Misto</t>
  </si>
  <si>
    <t>MONO</t>
  </si>
  <si>
    <t>BIF</t>
  </si>
  <si>
    <t>TRIF</t>
  </si>
  <si>
    <t>N° de ramais ATUAL</t>
  </si>
  <si>
    <t>KVA CLANDESTINO</t>
  </si>
  <si>
    <t>LEITURA DO TRAFO - ATUAL</t>
  </si>
  <si>
    <t>LEITURA DO TRAFO - PROJ</t>
  </si>
  <si>
    <t>LEITURA DO TRAFO - PROJ2</t>
  </si>
  <si>
    <t>AMP NO PONTO</t>
  </si>
  <si>
    <t>N° do Poste</t>
  </si>
  <si>
    <t>CC2</t>
  </si>
  <si>
    <t>CC3</t>
  </si>
  <si>
    <t>CC4</t>
  </si>
  <si>
    <t>CC5</t>
  </si>
  <si>
    <t>CC6</t>
  </si>
  <si>
    <t>CC7</t>
  </si>
  <si>
    <t>CC8</t>
  </si>
  <si>
    <t>CC9</t>
  </si>
  <si>
    <t>CC10</t>
  </si>
  <si>
    <t>CC11</t>
  </si>
  <si>
    <t>MMX14</t>
  </si>
  <si>
    <t>TOTAL PONTO</t>
  </si>
  <si>
    <t>KVA</t>
  </si>
  <si>
    <t>KVA2</t>
  </si>
  <si>
    <t>Corrente Máxima</t>
  </si>
  <si>
    <t>Demanda Máxima</t>
  </si>
  <si>
    <t>Fator de Temperatura</t>
  </si>
  <si>
    <t>Demanda Corrigida</t>
  </si>
  <si>
    <t>TRAFO PROJ</t>
  </si>
  <si>
    <t>CARREGAMENTO ATUAL</t>
  </si>
  <si>
    <t>DMDI (RAMAL)</t>
  </si>
  <si>
    <t>CLANDESTINOS</t>
  </si>
  <si>
    <t>QTD CASAS</t>
  </si>
  <si>
    <t>Dem. Prevista</t>
  </si>
  <si>
    <t>CQT FINAL</t>
  </si>
  <si>
    <t>PONTO MONTANTE</t>
  </si>
  <si>
    <t>COMPRIMENTO (m)</t>
  </si>
  <si>
    <t>CARGA PONTO (kVA)</t>
  </si>
  <si>
    <t>ACUMULADO (kVA)</t>
  </si>
  <si>
    <t>QT NO PONTO</t>
  </si>
  <si>
    <t>QT ACUMULADA</t>
  </si>
  <si>
    <t>QT %</t>
  </si>
  <si>
    <t>TENSÃO PONTO</t>
  </si>
  <si>
    <t>I trecho x I condutor</t>
  </si>
  <si>
    <t>FASES</t>
  </si>
  <si>
    <t>KVA PONTO</t>
  </si>
  <si>
    <t>T</t>
  </si>
  <si>
    <t>R CORR</t>
  </si>
  <si>
    <t>QT-PONTO</t>
  </si>
  <si>
    <t>Coluna1</t>
  </si>
  <si>
    <t>127</t>
  </si>
  <si>
    <t>220</t>
  </si>
  <si>
    <t>TEMP2</t>
  </si>
  <si>
    <t>FASE</t>
  </si>
  <si>
    <t>ETA</t>
  </si>
  <si>
    <t>METODO_INST</t>
  </si>
  <si>
    <t>TEMP_AMB</t>
  </si>
  <si>
    <t>Ib</t>
  </si>
  <si>
    <t>In</t>
  </si>
  <si>
    <t>Iz</t>
  </si>
  <si>
    <t>PROTECAO</t>
  </si>
  <si>
    <t>Coluna2</t>
  </si>
  <si>
    <t>O QUE VAI NA PLANILHA DA LIGHT</t>
  </si>
  <si>
    <t>Trecho</t>
  </si>
  <si>
    <t>ACUMALADA -</t>
  </si>
  <si>
    <t>kVA     por Cons.</t>
  </si>
  <si>
    <t>Seção            [ mm2 ]</t>
  </si>
  <si>
    <t>AMPERAGEM</t>
  </si>
  <si>
    <t>Corrente do cabo para a condição</t>
  </si>
  <si>
    <t>OBSERVAÇÃO</t>
  </si>
  <si>
    <t>Nº de circuito no trecho</t>
  </si>
  <si>
    <t>QUANTO TRAFO DE 225kVA/300kVA ALTERAR PARA 3 CIRCUITOS</t>
  </si>
  <si>
    <t>RAMAL</t>
  </si>
  <si>
    <t>MÍNIMO 117V</t>
  </si>
  <si>
    <t>AMP</t>
  </si>
  <si>
    <t>ETA2</t>
  </si>
  <si>
    <t>QUANTO TRAFO DE 225kVA/300kVA ALTERAR PARA 3 CIRCUITOS - NA ROBUSTA</t>
  </si>
  <si>
    <t>C/ RESERVA</t>
  </si>
  <si>
    <t>SATURAÇÃO</t>
  </si>
  <si>
    <t>53AA</t>
  </si>
  <si>
    <t>LADO 1</t>
  </si>
  <si>
    <t>53 AA</t>
  </si>
  <si>
    <t xml:space="preserve">ZNA 31232 - RUA IRINEIA VERCOSA </t>
  </si>
  <si>
    <t>LEV</t>
  </si>
  <si>
    <t>EST</t>
  </si>
  <si>
    <t>14/04/26</t>
  </si>
  <si>
    <t>RAMAL LD 1</t>
  </si>
  <si>
    <t>RAMAL LD 2</t>
  </si>
  <si>
    <t>Demanda Corrigida (kva)</t>
  </si>
  <si>
    <t>RAMAL LD1</t>
  </si>
  <si>
    <t>RAMAL LD2</t>
  </si>
  <si>
    <t xml:space="preserve">6 AWG3 </t>
  </si>
  <si>
    <t xml:space="preserve">6 AWG  </t>
  </si>
  <si>
    <t xml:space="preserve">4 AWG </t>
  </si>
  <si>
    <t>DIST ENTRE COORDE</t>
  </si>
  <si>
    <t>USAR FATOR 0,85?</t>
  </si>
  <si>
    <t>SIM</t>
  </si>
  <si>
    <t>Z</t>
  </si>
  <si>
    <t xml:space="preserve">6 AWG </t>
  </si>
  <si>
    <t>POSTE A</t>
  </si>
  <si>
    <t>POSTE B</t>
  </si>
  <si>
    <t>DISTANCIA</t>
  </si>
  <si>
    <t>LADO 2</t>
  </si>
  <si>
    <t>LADO LADO 2 - TOP CORTES</t>
  </si>
  <si>
    <t>LADO 1 - TOP CORTES</t>
  </si>
  <si>
    <t>POSTE</t>
  </si>
  <si>
    <t>TAXA DE CRESCIMENTO</t>
  </si>
  <si>
    <t>LADO 2 PROJ</t>
  </si>
  <si>
    <t>TR, LID</t>
  </si>
  <si>
    <t>LID, P1</t>
  </si>
  <si>
    <t>P1, P2</t>
  </si>
  <si>
    <t>P2, P3</t>
  </si>
  <si>
    <t>P5, P6</t>
  </si>
  <si>
    <t>P6, P7</t>
  </si>
  <si>
    <t>P7, P8</t>
  </si>
  <si>
    <t>ZNA 30460 - RELOCADO</t>
  </si>
  <si>
    <t>P3, P4</t>
  </si>
  <si>
    <t>Coluna3</t>
  </si>
  <si>
    <t>CLT ACUM</t>
  </si>
  <si>
    <t>ID LIGHT</t>
  </si>
  <si>
    <t>PX, RL</t>
  </si>
  <si>
    <t>P10, P11</t>
  </si>
  <si>
    <t>P9, P10</t>
  </si>
  <si>
    <t>P11, P12</t>
  </si>
  <si>
    <t>P12, P13</t>
  </si>
  <si>
    <t>P13, P14</t>
  </si>
  <si>
    <t>P14, P15</t>
  </si>
  <si>
    <t>TRECHO (m)</t>
  </si>
  <si>
    <t>TR1</t>
  </si>
  <si>
    <t>TR2</t>
  </si>
  <si>
    <t>TR3</t>
  </si>
  <si>
    <t>DMDI GERAL</t>
  </si>
  <si>
    <t>KVA CLAN</t>
  </si>
  <si>
    <t>FATOR DIVERS</t>
  </si>
  <si>
    <t>O</t>
  </si>
  <si>
    <t>V.A/m Trif</t>
  </si>
  <si>
    <t>V.A/m mono</t>
  </si>
  <si>
    <t>QT  MAX TRIF</t>
  </si>
  <si>
    <t>QT  MAX MONO</t>
  </si>
  <si>
    <t>EM 40m</t>
  </si>
  <si>
    <t>CABO</t>
  </si>
  <si>
    <t>RAMAL L1</t>
  </si>
  <si>
    <t>RAMAL L2</t>
  </si>
  <si>
    <t>RAMAL L3</t>
  </si>
  <si>
    <t>LID, P18</t>
  </si>
  <si>
    <t>P18, P19</t>
  </si>
  <si>
    <t>P19, P20</t>
  </si>
  <si>
    <t>P20, P21</t>
  </si>
  <si>
    <t>P12. P22</t>
  </si>
  <si>
    <t>P22, P23</t>
  </si>
  <si>
    <t>P23, P24</t>
  </si>
  <si>
    <t>RAMAL L4</t>
  </si>
  <si>
    <t>LID, P25</t>
  </si>
  <si>
    <t>P25, P26</t>
  </si>
  <si>
    <t>P26, P27</t>
  </si>
  <si>
    <t>P27, P28</t>
  </si>
  <si>
    <t>P28, P29</t>
  </si>
  <si>
    <t>P29, P30</t>
  </si>
  <si>
    <t>P30, P31</t>
  </si>
  <si>
    <t>P31, P32</t>
  </si>
  <si>
    <t>LID, P5</t>
  </si>
  <si>
    <t>LID, 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</si>
</sst>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00"/>
    <numFmt numFmtId="165" formatCode="0.000"/>
    <numFmt numFmtId="166" formatCode="0.0%"/>
    <numFmt numFmtId="167" formatCode="0.0000"/>
    <numFmt numFmtId="168" formatCode="General\ &quot;m²&quot;"/>
    <numFmt numFmtId="169" formatCode="0.00\ &quot;V&quot;"/>
    <numFmt numFmtId="170" formatCode="0.0"/>
    <numFmt numFmtId="171" formatCode="General\ &quot;m&quot;"/>
    <numFmt numFmtId="172" formatCode="0\ &quot;m&quot;"/>
  </numFmts>
  <fonts count="35" x14ac:knownFonts="1">
    <font>
      <sz val="11"/>
      <color rgb="FF000000"/>
      <name val="Aptos Narrow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name val="Arial"/>
      <family val="2"/>
    </font>
    <font>
      <b/>
      <sz val="11"/>
      <color theme="0"/>
      <name val="Arial"/>
      <family val="2"/>
      <charset val="1"/>
    </font>
    <font>
      <b/>
      <sz val="12"/>
      <color theme="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  <charset val="1"/>
    </font>
    <font>
      <b/>
      <sz val="8"/>
      <color theme="0"/>
      <name val="Arial"/>
      <family val="2"/>
      <charset val="1"/>
    </font>
    <font>
      <sz val="11"/>
      <color rgb="FF000000"/>
      <name val="Calibri"/>
      <family val="2"/>
    </font>
    <font>
      <b/>
      <sz val="8"/>
      <color rgb="FFFF0000"/>
      <name val="Arial"/>
      <family val="2"/>
      <charset val="1"/>
    </font>
    <font>
      <b/>
      <i/>
      <sz val="12"/>
      <name val="Arial"/>
      <family val="2"/>
    </font>
    <font>
      <sz val="12"/>
      <name val="Arial"/>
      <family val="2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charset val="1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FFFF"/>
      <name val="Aptos Narrow"/>
      <family val="2"/>
    </font>
    <font>
      <b/>
      <sz val="11"/>
      <name val="Aptos Narrow"/>
      <family val="2"/>
    </font>
    <font>
      <b/>
      <sz val="11"/>
      <color rgb="FFFFFFFF"/>
      <name val="Aptos Narrow"/>
      <family val="2"/>
    </font>
    <font>
      <b/>
      <sz val="11"/>
      <name val="Aptos Narrow"/>
      <family val="2"/>
    </font>
    <font>
      <b/>
      <sz val="9"/>
      <color theme="0"/>
      <name val="Arial"/>
      <family val="2"/>
      <charset val="1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color rgb="FFFF0000"/>
      <name val="Arial"/>
      <family val="2"/>
      <charset val="1"/>
    </font>
    <font>
      <sz val="8"/>
      <name val="Aptos Narrow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4E95D9"/>
        <bgColor rgb="FF46B1E1"/>
      </patternFill>
    </fill>
    <fill>
      <patternFill patternType="solid">
        <fgColor rgb="FF000000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1E5F5"/>
        <bgColor rgb="FFCCFFFF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auto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5">
    <border>
      <left/>
      <right/>
      <top/>
      <bottom/>
      <diagonal/>
    </border>
    <border>
      <left/>
      <right/>
      <top style="thin">
        <color rgb="FF46B1E1"/>
      </top>
      <bottom/>
      <diagonal/>
    </border>
    <border>
      <left/>
      <right/>
      <top style="thin">
        <color rgb="FF46B1E1"/>
      </top>
      <bottom style="thin">
        <color rgb="FF46B1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46B1E1"/>
      </top>
      <bottom style="thin">
        <color theme="4" tint="0.3999755851924192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/>
      <top/>
      <bottom style="thin">
        <color rgb="FF46B1E1"/>
      </bottom>
      <diagonal/>
    </border>
  </borders>
  <cellStyleXfs count="5">
    <xf numFmtId="0" fontId="0" fillId="0" borderId="0"/>
    <xf numFmtId="9" fontId="5" fillId="0" borderId="0"/>
    <xf numFmtId="0" fontId="10" fillId="0" borderId="0"/>
    <xf numFmtId="44" fontId="5" fillId="0" borderId="0"/>
    <xf numFmtId="43" fontId="5" fillId="0" borderId="0"/>
  </cellStyleXfs>
  <cellXfs count="269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4" fillId="0" borderId="0" xfId="0" applyFont="1"/>
    <xf numFmtId="0" fontId="0" fillId="4" borderId="0" xfId="0" applyFill="1"/>
    <xf numFmtId="49" fontId="1" fillId="0" borderId="0" xfId="0" applyNumberFormat="1" applyFont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6" fillId="4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2" fontId="6" fillId="4" borderId="4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8" fillId="6" borderId="9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1" fillId="6" borderId="13" xfId="0" applyFont="1" applyFill="1" applyBorder="1" applyAlignment="1">
      <alignment horizontal="center"/>
    </xf>
    <xf numFmtId="0" fontId="11" fillId="6" borderId="14" xfId="0" applyFont="1" applyFill="1" applyBorder="1" applyAlignment="1">
      <alignment horizontal="center"/>
    </xf>
    <xf numFmtId="0" fontId="11" fillId="6" borderId="26" xfId="0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164" fontId="10" fillId="0" borderId="17" xfId="0" applyNumberFormat="1" applyFont="1" applyBorder="1" applyAlignment="1">
      <alignment horizontal="center"/>
    </xf>
    <xf numFmtId="164" fontId="10" fillId="0" borderId="18" xfId="0" applyNumberFormat="1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29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64" fontId="10" fillId="0" borderId="22" xfId="0" applyNumberFormat="1" applyFont="1" applyBorder="1" applyAlignment="1">
      <alignment horizontal="center"/>
    </xf>
    <xf numFmtId="164" fontId="10" fillId="0" borderId="23" xfId="0" applyNumberFormat="1" applyFont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1" fillId="6" borderId="31" xfId="0" applyFont="1" applyFill="1" applyBorder="1" applyAlignment="1">
      <alignment horizontal="center"/>
    </xf>
    <xf numFmtId="0" fontId="12" fillId="0" borderId="3" xfId="0" applyFont="1" applyBorder="1" applyAlignment="1" applyProtection="1">
      <alignment horizontal="center"/>
      <protection locked="0"/>
    </xf>
    <xf numFmtId="0" fontId="11" fillId="6" borderId="32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11" fillId="6" borderId="37" xfId="0" applyFont="1" applyFill="1" applyBorder="1" applyAlignment="1">
      <alignment horizontal="center"/>
    </xf>
    <xf numFmtId="0" fontId="11" fillId="6" borderId="38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 applyProtection="1">
      <alignment horizontal="center"/>
      <protection locked="0"/>
    </xf>
    <xf numFmtId="0" fontId="10" fillId="0" borderId="0" xfId="2" applyAlignment="1" applyProtection="1">
      <alignment horizontal="center" vertical="center"/>
      <protection hidden="1"/>
    </xf>
    <xf numFmtId="0" fontId="14" fillId="3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0" fontId="6" fillId="0" borderId="3" xfId="1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0" xfId="0" applyAlignment="1">
      <alignment wrapText="1"/>
    </xf>
    <xf numFmtId="2" fontId="6" fillId="8" borderId="3" xfId="0" applyNumberFormat="1" applyFont="1" applyFill="1" applyBorder="1" applyAlignment="1">
      <alignment horizontal="center" vertical="center"/>
    </xf>
    <xf numFmtId="165" fontId="6" fillId="8" borderId="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1" applyNumberFormat="1" applyFont="1"/>
    <xf numFmtId="10" fontId="0" fillId="0" borderId="0" xfId="1" applyNumberFormat="1" applyFont="1"/>
    <xf numFmtId="0" fontId="15" fillId="3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167" fontId="6" fillId="8" borderId="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2" fontId="6" fillId="0" borderId="40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0" fontId="0" fillId="0" borderId="0" xfId="0" applyNumberFormat="1"/>
    <xf numFmtId="49" fontId="3" fillId="2" borderId="0" xfId="0" applyNumberFormat="1" applyFont="1" applyFill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44" fontId="0" fillId="0" borderId="0" xfId="3" applyFont="1"/>
    <xf numFmtId="0" fontId="19" fillId="9" borderId="47" xfId="0" applyFont="1" applyFill="1" applyBorder="1" applyAlignment="1">
      <alignment horizontal="left"/>
    </xf>
    <xf numFmtId="0" fontId="18" fillId="9" borderId="46" xfId="0" applyFont="1" applyFill="1" applyBorder="1" applyAlignment="1">
      <alignment horizontal="left"/>
    </xf>
    <xf numFmtId="0" fontId="19" fillId="9" borderId="49" xfId="0" applyFont="1" applyFill="1" applyBorder="1" applyAlignment="1">
      <alignment horizontal="left"/>
    </xf>
    <xf numFmtId="0" fontId="18" fillId="8" borderId="46" xfId="0" applyFont="1" applyFill="1" applyBorder="1" applyAlignment="1">
      <alignment horizontal="left"/>
    </xf>
    <xf numFmtId="44" fontId="0" fillId="8" borderId="0" xfId="3" applyFont="1" applyFill="1"/>
    <xf numFmtId="0" fontId="0" fillId="8" borderId="0" xfId="0" applyFill="1"/>
    <xf numFmtId="0" fontId="19" fillId="10" borderId="48" xfId="0" applyFont="1" applyFill="1" applyBorder="1" applyAlignment="1">
      <alignment horizontal="left"/>
    </xf>
    <xf numFmtId="44" fontId="0" fillId="0" borderId="0" xfId="0" applyNumberFormat="1"/>
    <xf numFmtId="0" fontId="20" fillId="11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2" borderId="3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9" fontId="21" fillId="0" borderId="0" xfId="0" applyNumberFormat="1" applyFont="1"/>
    <xf numFmtId="0" fontId="22" fillId="0" borderId="0" xfId="0" applyFont="1" applyAlignment="1">
      <alignment horizontal="left" vertical="center"/>
    </xf>
    <xf numFmtId="0" fontId="25" fillId="0" borderId="3" xfId="0" applyFont="1" applyBorder="1" applyAlignment="1" applyProtection="1">
      <alignment horizontal="center"/>
      <protection locked="0"/>
    </xf>
    <xf numFmtId="0" fontId="25" fillId="7" borderId="3" xfId="0" applyFont="1" applyFill="1" applyBorder="1" applyAlignment="1" applyProtection="1">
      <alignment horizontal="center"/>
      <protection locked="0"/>
    </xf>
    <xf numFmtId="0" fontId="25" fillId="0" borderId="3" xfId="0" applyFont="1" applyBorder="1" applyAlignment="1">
      <alignment horizontal="center" vertical="center"/>
    </xf>
    <xf numFmtId="0" fontId="21" fillId="0" borderId="0" xfId="0" applyFont="1"/>
    <xf numFmtId="2" fontId="6" fillId="13" borderId="17" xfId="0" applyNumberFormat="1" applyFont="1" applyFill="1" applyBorder="1" applyAlignment="1">
      <alignment horizontal="center" vertical="center"/>
    </xf>
    <xf numFmtId="0" fontId="26" fillId="14" borderId="0" xfId="0" applyFont="1" applyFill="1"/>
    <xf numFmtId="0" fontId="27" fillId="0" borderId="0" xfId="0" applyFont="1"/>
    <xf numFmtId="0" fontId="27" fillId="15" borderId="0" xfId="0" applyFont="1" applyFill="1" applyAlignment="1">
      <alignment horizontal="center"/>
    </xf>
    <xf numFmtId="43" fontId="0" fillId="0" borderId="0" xfId="4" applyFont="1"/>
    <xf numFmtId="10" fontId="5" fillId="0" borderId="0" xfId="1" applyNumberFormat="1"/>
    <xf numFmtId="165" fontId="0" fillId="0" borderId="0" xfId="4" applyNumberFormat="1" applyFont="1" applyAlignment="1">
      <alignment horizontal="center"/>
    </xf>
    <xf numFmtId="10" fontId="5" fillId="0" borderId="0" xfId="1" applyNumberFormat="1" applyAlignment="1">
      <alignment horizontal="center"/>
    </xf>
    <xf numFmtId="0" fontId="28" fillId="16" borderId="0" xfId="0" applyFont="1" applyFill="1"/>
    <xf numFmtId="0" fontId="29" fillId="0" borderId="0" xfId="0" applyFont="1" applyAlignment="1">
      <alignment horizontal="left"/>
    </xf>
    <xf numFmtId="17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" fontId="23" fillId="0" borderId="3" xfId="0" applyNumberFormat="1" applyFont="1" applyBorder="1" applyAlignment="1">
      <alignment horizontal="center"/>
    </xf>
    <xf numFmtId="2" fontId="23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" fontId="6" fillId="0" borderId="40" xfId="0" applyNumberFormat="1" applyFont="1" applyBorder="1" applyAlignment="1">
      <alignment horizontal="center"/>
    </xf>
    <xf numFmtId="1" fontId="6" fillId="0" borderId="40" xfId="0" applyNumberFormat="1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6" fillId="8" borderId="3" xfId="1" applyNumberFormat="1" applyFont="1" applyFill="1" applyBorder="1" applyAlignment="1">
      <alignment horizontal="center" vertical="center"/>
    </xf>
    <xf numFmtId="170" fontId="6" fillId="8" borderId="3" xfId="0" applyNumberFormat="1" applyFont="1" applyFill="1" applyBorder="1" applyAlignment="1">
      <alignment horizontal="center" vertical="center"/>
    </xf>
    <xf numFmtId="2" fontId="6" fillId="17" borderId="3" xfId="0" applyNumberFormat="1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  <xf numFmtId="0" fontId="11" fillId="6" borderId="30" xfId="0" applyFont="1" applyFill="1" applyBorder="1" applyAlignment="1">
      <alignment vertical="center" wrapText="1"/>
    </xf>
    <xf numFmtId="0" fontId="11" fillId="6" borderId="0" xfId="0" applyFont="1" applyFill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2" fontId="21" fillId="0" borderId="3" xfId="0" applyNumberFormat="1" applyFont="1" applyBorder="1" applyAlignment="1">
      <alignment horizontal="center"/>
    </xf>
    <xf numFmtId="0" fontId="11" fillId="6" borderId="52" xfId="0" applyFont="1" applyFill="1" applyBorder="1" applyAlignment="1">
      <alignment horizontal="center"/>
    </xf>
    <xf numFmtId="0" fontId="12" fillId="7" borderId="3" xfId="0" applyFont="1" applyFill="1" applyBorder="1" applyAlignment="1" applyProtection="1">
      <alignment horizontal="center" vertical="center"/>
      <protection locked="0"/>
    </xf>
    <xf numFmtId="0" fontId="25" fillId="7" borderId="3" xfId="0" applyFont="1" applyFill="1" applyBorder="1" applyAlignment="1" applyProtection="1">
      <alignment horizontal="center" vertical="center"/>
      <protection locked="0"/>
    </xf>
    <xf numFmtId="0" fontId="0" fillId="7" borderId="3" xfId="0" applyFill="1" applyBorder="1" applyAlignment="1">
      <alignment horizontal="center"/>
    </xf>
    <xf numFmtId="0" fontId="23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2" fontId="23" fillId="7" borderId="3" xfId="0" applyNumberFormat="1" applyFont="1" applyFill="1" applyBorder="1" applyAlignment="1">
      <alignment horizontal="center"/>
    </xf>
    <xf numFmtId="2" fontId="6" fillId="7" borderId="3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6" fillId="7" borderId="40" xfId="0" applyFont="1" applyFill="1" applyBorder="1" applyAlignment="1">
      <alignment horizontal="center" vertical="center"/>
    </xf>
    <xf numFmtId="2" fontId="6" fillId="7" borderId="3" xfId="0" applyNumberFormat="1" applyFont="1" applyFill="1" applyBorder="1" applyAlignment="1">
      <alignment horizontal="center" vertical="center"/>
    </xf>
    <xf numFmtId="0" fontId="10" fillId="18" borderId="0" xfId="2" applyFill="1" applyAlignment="1" applyProtection="1">
      <alignment horizontal="center" vertical="center"/>
      <protection hidden="1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2" fontId="6" fillId="0" borderId="3" xfId="0" applyNumberFormat="1" applyFont="1" applyBorder="1" applyAlignment="1">
      <alignment horizontal="center" wrapText="1"/>
    </xf>
    <xf numFmtId="17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30" fillId="3" borderId="0" xfId="0" applyNumberFormat="1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70" fontId="23" fillId="0" borderId="3" xfId="0" applyNumberFormat="1" applyFont="1" applyBorder="1" applyAlignment="1">
      <alignment horizontal="center"/>
    </xf>
    <xf numFmtId="170" fontId="6" fillId="0" borderId="3" xfId="0" applyNumberFormat="1" applyFont="1" applyBorder="1" applyAlignment="1">
      <alignment horizontal="center"/>
    </xf>
    <xf numFmtId="0" fontId="21" fillId="19" borderId="0" xfId="0" applyFont="1" applyFill="1"/>
    <xf numFmtId="2" fontId="6" fillId="7" borderId="40" xfId="0" applyNumberFormat="1" applyFont="1" applyFill="1" applyBorder="1" applyAlignment="1">
      <alignment horizontal="center"/>
    </xf>
    <xf numFmtId="2" fontId="6" fillId="0" borderId="40" xfId="0" applyNumberFormat="1" applyFont="1" applyBorder="1" applyAlignment="1">
      <alignment horizontal="center" wrapText="1"/>
    </xf>
    <xf numFmtId="170" fontId="12" fillId="0" borderId="3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170" fontId="31" fillId="0" borderId="3" xfId="0" applyNumberFormat="1" applyFont="1" applyBorder="1" applyAlignment="1">
      <alignment horizontal="center"/>
    </xf>
    <xf numFmtId="170" fontId="32" fillId="0" borderId="3" xfId="0" applyNumberFormat="1" applyFont="1" applyBorder="1" applyAlignment="1">
      <alignment horizontal="center"/>
    </xf>
    <xf numFmtId="2" fontId="32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/>
    </xf>
    <xf numFmtId="2" fontId="12" fillId="0" borderId="40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 vertical="center"/>
    </xf>
    <xf numFmtId="167" fontId="10" fillId="0" borderId="0" xfId="2" applyNumberFormat="1" applyAlignment="1" applyProtection="1">
      <alignment horizontal="center" vertical="center"/>
      <protection hidden="1"/>
    </xf>
    <xf numFmtId="14" fontId="2" fillId="0" borderId="0" xfId="0" applyNumberFormat="1" applyFont="1" applyAlignment="1">
      <alignment horizontal="center" vertical="center"/>
    </xf>
    <xf numFmtId="2" fontId="6" fillId="20" borderId="3" xfId="0" applyNumberFormat="1" applyFont="1" applyFill="1" applyBorder="1" applyAlignment="1">
      <alignment horizontal="center" wrapText="1"/>
    </xf>
    <xf numFmtId="171" fontId="0" fillId="0" borderId="0" xfId="0" applyNumberFormat="1"/>
    <xf numFmtId="1" fontId="25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32" fillId="0" borderId="3" xfId="0" applyNumberFormat="1" applyFont="1" applyBorder="1" applyAlignment="1">
      <alignment horizontal="center" vertical="center"/>
    </xf>
    <xf numFmtId="2" fontId="23" fillId="0" borderId="3" xfId="0" applyNumberFormat="1" applyFont="1" applyBorder="1" applyAlignment="1">
      <alignment horizontal="center" wrapText="1"/>
    </xf>
    <xf numFmtId="2" fontId="5" fillId="0" borderId="0" xfId="1" applyNumberFormat="1" applyAlignment="1">
      <alignment horizontal="center"/>
    </xf>
    <xf numFmtId="2" fontId="23" fillId="0" borderId="3" xfId="0" applyNumberFormat="1" applyFont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/>
    <xf numFmtId="2" fontId="32" fillId="0" borderId="3" xfId="0" applyNumberFormat="1" applyFont="1" applyBorder="1" applyAlignment="1">
      <alignment horizontal="center" vertical="center"/>
    </xf>
    <xf numFmtId="10" fontId="7" fillId="3" borderId="0" xfId="1" applyNumberFormat="1" applyFont="1" applyFill="1" applyAlignment="1">
      <alignment horizontal="center" vertical="center"/>
    </xf>
    <xf numFmtId="0" fontId="14" fillId="3" borderId="5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8" fontId="0" fillId="0" borderId="0" xfId="0" applyNumberFormat="1"/>
    <xf numFmtId="2" fontId="0" fillId="7" borderId="3" xfId="0" applyNumberFormat="1" applyFill="1" applyBorder="1" applyAlignment="1">
      <alignment horizontal="center"/>
    </xf>
    <xf numFmtId="1" fontId="6" fillId="0" borderId="40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left" vertical="center"/>
    </xf>
    <xf numFmtId="0" fontId="6" fillId="0" borderId="37" xfId="0" applyFont="1" applyBorder="1" applyAlignment="1">
      <alignment horizontal="center" vertical="center"/>
    </xf>
    <xf numFmtId="2" fontId="6" fillId="13" borderId="37" xfId="0" applyNumberFormat="1" applyFont="1" applyFill="1" applyBorder="1" applyAlignment="1">
      <alignment horizontal="center" vertical="center"/>
    </xf>
    <xf numFmtId="2" fontId="6" fillId="8" borderId="40" xfId="0" applyNumberFormat="1" applyFont="1" applyFill="1" applyBorder="1" applyAlignment="1">
      <alignment horizontal="center" vertical="center"/>
    </xf>
    <xf numFmtId="170" fontId="6" fillId="8" borderId="40" xfId="0" applyNumberFormat="1" applyFont="1" applyFill="1" applyBorder="1" applyAlignment="1">
      <alignment horizontal="center" vertical="center"/>
    </xf>
    <xf numFmtId="167" fontId="6" fillId="8" borderId="40" xfId="0" applyNumberFormat="1" applyFont="1" applyFill="1" applyBorder="1" applyAlignment="1">
      <alignment horizontal="center" vertical="center"/>
    </xf>
    <xf numFmtId="165" fontId="6" fillId="8" borderId="40" xfId="0" applyNumberFormat="1" applyFont="1" applyFill="1" applyBorder="1" applyAlignment="1">
      <alignment horizontal="center" vertical="center"/>
    </xf>
    <xf numFmtId="2" fontId="6" fillId="8" borderId="40" xfId="1" applyNumberFormat="1" applyFont="1" applyFill="1" applyBorder="1" applyAlignment="1">
      <alignment horizontal="center" vertical="center"/>
    </xf>
    <xf numFmtId="10" fontId="6" fillId="0" borderId="40" xfId="1" applyNumberFormat="1" applyFont="1" applyBorder="1" applyAlignment="1">
      <alignment horizontal="center" vertical="center"/>
    </xf>
    <xf numFmtId="0" fontId="0" fillId="4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9" fontId="5" fillId="0" borderId="0" xfId="1"/>
    <xf numFmtId="170" fontId="0" fillId="0" borderId="0" xfId="0" applyNumberFormat="1"/>
    <xf numFmtId="0" fontId="10" fillId="8" borderId="0" xfId="2" applyFill="1" applyAlignment="1" applyProtection="1">
      <alignment horizontal="center" vertical="center"/>
      <protection hidden="1"/>
    </xf>
    <xf numFmtId="167" fontId="10" fillId="8" borderId="0" xfId="2" applyNumberFormat="1" applyFill="1" applyAlignment="1" applyProtection="1">
      <alignment horizontal="center" vertical="center"/>
      <protection hidden="1"/>
    </xf>
    <xf numFmtId="167" fontId="0" fillId="8" borderId="0" xfId="0" applyNumberFormat="1" applyFill="1" applyAlignment="1">
      <alignment horizontal="center"/>
    </xf>
    <xf numFmtId="170" fontId="0" fillId="8" borderId="0" xfId="0" applyNumberFormat="1" applyFill="1"/>
    <xf numFmtId="10" fontId="5" fillId="8" borderId="0" xfId="1" applyNumberFormat="1" applyFill="1"/>
    <xf numFmtId="10" fontId="0" fillId="8" borderId="0" xfId="1" applyNumberFormat="1" applyFont="1" applyFill="1"/>
    <xf numFmtId="0" fontId="0" fillId="0" borderId="0" xfId="0" applyAlignment="1">
      <alignment horizontal="left"/>
    </xf>
    <xf numFmtId="0" fontId="6" fillId="18" borderId="40" xfId="0" applyFont="1" applyFill="1" applyBorder="1" applyAlignment="1">
      <alignment horizontal="center" vertical="center"/>
    </xf>
    <xf numFmtId="0" fontId="0" fillId="7" borderId="40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6" fillId="0" borderId="3" xfId="0" quotePrefix="1" applyFont="1" applyBorder="1" applyAlignment="1">
      <alignment horizontal="center" vertical="center"/>
    </xf>
    <xf numFmtId="0" fontId="0" fillId="0" borderId="0" xfId="0" quotePrefix="1" applyAlignment="1">
      <alignment horizontal="center"/>
    </xf>
    <xf numFmtId="2" fontId="6" fillId="4" borderId="4" xfId="0" applyNumberFormat="1" applyFont="1" applyFill="1" applyBorder="1" applyAlignment="1">
      <alignment horizontal="center" vertical="center"/>
    </xf>
    <xf numFmtId="0" fontId="0" fillId="0" borderId="4" xfId="0" applyBorder="1"/>
    <xf numFmtId="0" fontId="3" fillId="2" borderId="43" xfId="0" applyFont="1" applyFill="1" applyBorder="1" applyAlignment="1">
      <alignment horizontal="center" vertical="center"/>
    </xf>
    <xf numFmtId="0" fontId="0" fillId="0" borderId="1" xfId="0" applyBorder="1"/>
    <xf numFmtId="0" fontId="0" fillId="0" borderId="6" xfId="0" applyBorder="1"/>
    <xf numFmtId="1" fontId="6" fillId="4" borderId="4" xfId="0" applyNumberFormat="1" applyFont="1" applyFill="1" applyBorder="1" applyAlignment="1">
      <alignment horizontal="center" vertical="center"/>
    </xf>
    <xf numFmtId="168" fontId="0" fillId="7" borderId="0" xfId="0" applyNumberFormat="1" applyFill="1" applyAlignment="1">
      <alignment horizontal="center" vertical="center"/>
    </xf>
    <xf numFmtId="0" fontId="0" fillId="0" borderId="0" xfId="0"/>
    <xf numFmtId="0" fontId="6" fillId="4" borderId="4" xfId="0" applyFont="1" applyFill="1" applyBorder="1" applyAlignment="1">
      <alignment horizontal="center" vertical="center"/>
    </xf>
    <xf numFmtId="172" fontId="6" fillId="4" borderId="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3" fillId="2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2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wrapText="1"/>
    </xf>
    <xf numFmtId="0" fontId="1" fillId="0" borderId="54" xfId="0" applyFont="1" applyBorder="1" applyAlignment="1">
      <alignment horizontal="right" vertical="center"/>
    </xf>
    <xf numFmtId="0" fontId="13" fillId="6" borderId="45" xfId="0" applyFont="1" applyFill="1" applyBorder="1" applyAlignment="1">
      <alignment horizontal="center"/>
    </xf>
    <xf numFmtId="0" fontId="0" fillId="0" borderId="34" xfId="0" applyBorder="1"/>
    <xf numFmtId="10" fontId="0" fillId="0" borderId="21" xfId="1" applyNumberFormat="1" applyFont="1" applyBorder="1" applyAlignment="1" applyProtection="1">
      <alignment horizontal="center"/>
      <protection hidden="1"/>
    </xf>
    <xf numFmtId="0" fontId="0" fillId="0" borderId="24" xfId="0" applyBorder="1" applyProtection="1">
      <protection hidden="1"/>
    </xf>
    <xf numFmtId="0" fontId="13" fillId="6" borderId="41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35" xfId="0" applyBorder="1"/>
    <xf numFmtId="2" fontId="0" fillId="0" borderId="21" xfId="0" applyNumberFormat="1" applyBorder="1" applyAlignment="1" applyProtection="1">
      <alignment horizontal="center"/>
      <protection hidden="1"/>
    </xf>
    <xf numFmtId="2" fontId="0" fillId="0" borderId="21" xfId="1" applyNumberFormat="1" applyFont="1" applyBorder="1" applyAlignment="1" applyProtection="1">
      <alignment horizontal="center"/>
      <protection hidden="1"/>
    </xf>
    <xf numFmtId="0" fontId="11" fillId="6" borderId="33" xfId="0" applyFont="1" applyFill="1" applyBorder="1" applyAlignment="1">
      <alignment horizontal="center" vertical="center"/>
    </xf>
    <xf numFmtId="2" fontId="0" fillId="7" borderId="21" xfId="0" applyNumberFormat="1" applyFill="1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2" fontId="0" fillId="0" borderId="21" xfId="0" applyNumberFormat="1" applyBorder="1" applyAlignment="1" applyProtection="1">
      <alignment horizontal="center"/>
      <protection locked="0"/>
    </xf>
    <xf numFmtId="0" fontId="8" fillId="6" borderId="41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1" fillId="6" borderId="14" xfId="0" applyFont="1" applyFill="1" applyBorder="1" applyAlignment="1">
      <alignment horizontal="center" wrapText="1"/>
    </xf>
    <xf numFmtId="0" fontId="0" fillId="0" borderId="38" xfId="0" applyBorder="1"/>
    <xf numFmtId="0" fontId="8" fillId="6" borderId="8" xfId="0" applyFont="1" applyFill="1" applyBorder="1" applyAlignment="1">
      <alignment horizontal="center"/>
    </xf>
    <xf numFmtId="0" fontId="8" fillId="6" borderId="33" xfId="0" applyFont="1" applyFill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0" fillId="0" borderId="30" xfId="0" applyBorder="1"/>
    <xf numFmtId="0" fontId="8" fillId="6" borderId="10" xfId="0" applyFont="1" applyFill="1" applyBorder="1" applyAlignment="1">
      <alignment horizontal="center"/>
    </xf>
    <xf numFmtId="0" fontId="0" fillId="0" borderId="42" xfId="0" applyBorder="1"/>
    <xf numFmtId="0" fontId="11" fillId="6" borderId="25" xfId="0" applyFont="1" applyFill="1" applyBorder="1" applyAlignment="1">
      <alignment horizontal="center" vertical="center" wrapText="1"/>
    </xf>
    <xf numFmtId="0" fontId="0" fillId="0" borderId="16" xfId="0" applyBorder="1"/>
    <xf numFmtId="2" fontId="21" fillId="0" borderId="21" xfId="0" applyNumberFormat="1" applyFont="1" applyBorder="1" applyAlignment="1" applyProtection="1">
      <alignment horizontal="center"/>
      <protection hidden="1"/>
    </xf>
    <xf numFmtId="0" fontId="13" fillId="6" borderId="51" xfId="0" applyFont="1" applyFill="1" applyBorder="1" applyAlignment="1">
      <alignment horizontal="center"/>
    </xf>
    <xf numFmtId="0" fontId="0" fillId="0" borderId="50" xfId="0" applyBorder="1"/>
    <xf numFmtId="49" fontId="3" fillId="2" borderId="1" xfId="0" applyNumberFormat="1" applyFont="1" applyFill="1" applyBorder="1" applyAlignment="1">
      <alignment horizontal="center" vertical="center"/>
    </xf>
    <xf numFmtId="10" fontId="7" fillId="3" borderId="44" xfId="1" applyNumberFormat="1" applyFont="1" applyFill="1" applyBorder="1" applyAlignment="1">
      <alignment horizontal="center" vertical="center"/>
    </xf>
    <xf numFmtId="0" fontId="0" fillId="0" borderId="39" xfId="0" applyBorder="1"/>
    <xf numFmtId="0" fontId="0" fillId="0" borderId="0" xfId="0" applyAlignment="1">
      <alignment horizontal="center" vertical="center" wrapText="1"/>
    </xf>
    <xf numFmtId="169" fontId="7" fillId="3" borderId="44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/>
    </xf>
  </cellXfs>
  <cellStyles count="5">
    <cellStyle name="Moeda" xfId="3" builtinId="4"/>
    <cellStyle name="Normal" xfId="0" builtinId="0"/>
    <cellStyle name="Normal 5" xfId="2" xr:uid="{00000000-0005-0000-0000-000002000000}"/>
    <cellStyle name="Porcentagem" xfId="1" builtinId="5"/>
    <cellStyle name="Vírgula" xfId="4" builtinId="3"/>
  </cellStyles>
  <dxfs count="37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4" formatCode="0.00%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70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1"/>
        <scheme val="none"/>
      </font>
      <fill>
        <patternFill patternType="solid">
          <fgColor rgb="FF003300"/>
          <bgColor rgb="FF000000"/>
        </patternFill>
      </fill>
      <alignment horizontal="center" vertical="center" textRotation="0" wrapText="0" indent="0" justifyLastLine="0" shrinkToFit="0" readingOrder="0"/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4" formatCode="0.00%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70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1"/>
        <scheme val="none"/>
      </font>
      <fill>
        <patternFill patternType="solid">
          <fgColor rgb="FF003300"/>
          <bgColor rgb="FF000000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charset val="1"/>
        <scheme val="none"/>
      </font>
      <numFmt numFmtId="30" formatCode="@"/>
      <fill>
        <patternFill patternType="solid">
          <fgColor rgb="FF003300"/>
          <bgColor rgb="FF000000"/>
        </patternFill>
      </fill>
      <alignment horizontal="center" vertical="center" textRotation="0" wrapText="1" indent="0" justifyLastLine="0" shrinkToFit="0" readingOrder="0"/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4" formatCode="0.00%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70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  <name val="Arial"/>
        <family val="2"/>
      </font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1"/>
        <scheme val="none"/>
      </font>
      <fill>
        <patternFill patternType="solid">
          <fgColor rgb="FF003300"/>
          <bgColor rgb="FF000000"/>
        </patternFill>
      </fill>
      <alignment horizontal="center" vertical="center" textRotation="0" wrapText="0" indent="0" justifyLastLine="0" shrinkToFit="0" readingOrder="0"/>
    </dxf>
    <dxf>
      <font>
        <color auto="1"/>
        <name val="Arial"/>
        <family val="2"/>
      </font>
      <numFmt numFmtId="2" formatCode="0.00"/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4" formatCode="0.00%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70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  <name val="Arial"/>
        <family val="2"/>
      </font>
      <fill>
        <patternFill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1"/>
        <scheme val="none"/>
      </font>
      <fill>
        <patternFill patternType="solid">
          <fgColor rgb="FF003300"/>
          <bgColor rgb="FF0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charset val="1"/>
        <scheme val="none"/>
      </font>
      <numFmt numFmtId="30" formatCode="@"/>
      <fill>
        <patternFill patternType="solid">
          <fgColor rgb="FF003300"/>
          <bgColor rgb="FF000000"/>
        </patternFill>
      </fill>
      <alignment horizontal="center" vertical="center" textRotation="0" wrapText="1" indent="0" justifyLastLine="0" shrinkToFit="0" readingOrder="0"/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4" formatCode="0.00%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70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1"/>
        <scheme val="none"/>
      </font>
      <fill>
        <patternFill patternType="solid">
          <fgColor rgb="FF003300"/>
          <bgColor rgb="FF000000"/>
        </patternFill>
      </fill>
      <alignment horizontal="center" vertical="center" textRotation="0" wrapText="0" indent="0" justifyLastLine="0" shrinkToFit="0" readingOrder="0"/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4" formatCode="0.00%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70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1"/>
        <scheme val="none"/>
      </font>
      <fill>
        <patternFill patternType="solid">
          <fgColor rgb="FF003300"/>
          <bgColor rgb="FF000000"/>
        </patternFill>
      </fill>
      <alignment horizontal="center" vertical="center" textRotation="0" wrapText="0" indent="0" justifyLastLine="0" shrinkToFit="0" readingOrder="0"/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rgb="FF000000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4" formatCode="0.00%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165" formatCode="0.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7" formatCode="0.00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70" formatCode="0.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color auto="1"/>
        <name val="Arial"/>
        <family val="2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0000"/>
        <name val="Arial"/>
        <family val="2"/>
        <charset val="1"/>
        <scheme val="none"/>
      </font>
      <fill>
        <patternFill patternType="solid">
          <fgColor rgb="FF003300"/>
          <bgColor rgb="FF00000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indexed="64"/>
        </left>
      </border>
    </dxf>
    <dxf>
      <font>
        <color auto="1"/>
        <name val="Arial"/>
        <family val="2"/>
      </font>
      <fill>
        <patternFill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0" formatCode="General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14" formatCode="0.00%"/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2" formatCode="0.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165" formatCode="0.0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167" formatCode="0.00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170" formatCode="0.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2" formatCode="0.00"/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1" formatCode="0"/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1" formatCode="0"/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</border>
    </dxf>
    <dxf>
      <numFmt numFmtId="0" formatCode="General"/>
      <fill>
        <patternFill>
          <bgColor auto="1"/>
        </patternFill>
      </fill>
      <border>
        <left style="thin">
          <color indexed="64"/>
        </left>
        <right style="thin">
          <color indexed="64"/>
        </right>
      </border>
    </dxf>
    <dxf>
      <numFmt numFmtId="0" formatCode="General"/>
      <fill>
        <patternFill>
          <bgColor auto="1"/>
        </patternFill>
      </fill>
      <border>
        <right style="thin">
          <color indexed="64"/>
        </right>
      </border>
    </dxf>
    <dxf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rial"/>
        <family val="2"/>
      </font>
      <fill>
        <patternFill patternType="solid">
          <fgColor indexed="64"/>
          <bgColor theme="4"/>
        </patternFill>
      </fill>
      <alignment horizontal="center" vertical="bottom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numFmt numFmtId="14" formatCode="0.00%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ptos Narrow"/>
        <family val="2"/>
        <charset val="1"/>
      </font>
      <numFmt numFmtId="166" formatCode="0.0%"/>
    </dxf>
    <dxf>
      <alignment horizontal="center" vertical="bottom"/>
    </dxf>
    <dxf>
      <numFmt numFmtId="167" formatCode="0.0000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numFmt numFmtId="0" formatCode="General"/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1"/>
    </dxf>
    <dxf>
      <fill>
        <patternFill>
          <fgColor indexed="64"/>
          <bgColor auto="1"/>
        </patternFill>
      </fill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fill>
        <patternFill>
          <fgColor indexed="64"/>
          <bgColor auto="1"/>
        </patternFill>
      </fill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70" formatCode="0.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0" formatCode="General"/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fill>
        <patternFill patternType="solid">
          <fgColor indexed="64"/>
          <bgColor theme="9" tint="0.59999389629810485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0"/>
        <name val="Arial"/>
        <family val="2"/>
        <charset val="1"/>
      </font>
      <alignment horizontal="center" vertical="center" wrapText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467886"/>
      <rgbColor rgb="FF969696"/>
      <rgbColor rgb="FF003366"/>
      <rgbColor rgb="FF4E95D9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2" xr16:uid="{E48C3E28-87C4-41B1-BD82-C2F704D3F5B2}" autoFormatId="16" applyNumberFormats="0" applyBorderFormats="0" applyFontFormats="0" applyPatternFormats="0" applyAlignmentFormats="0" applyWidthHeightFormats="0">
  <queryTableRefresh nextId="6">
    <queryTableFields count="4">
      <queryTableField id="4" name="Name" tableColumnId="4"/>
      <queryTableField id="1" name="X" tableColumnId="1"/>
      <queryTableField id="2" name="Y" tableColumnId="2"/>
      <queryTableField id="3" name="Z" tableColumnId="3"/>
    </queryTableFields>
  </queryTableRefresh>
  <extLst>
    <ext xmlns:x15="http://schemas.microsoft.com/office/spreadsheetml/2010/11/main" uri="{883FBD77-0823-4a55-B5E3-86C4891E6966}">
      <x15:queryTable sourceDataName="Consulta - LDA CARMETIBA - ZNA 19165_utm_23s"/>
    </ext>
  </extLst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BOS" displayName="CABOS" ref="A1:I32" totalsRowShown="0" headerRowDxfId="352" dataDxfId="351" dataCellStyle="Normal 5">
  <autoFilter ref="A1:I32" xr:uid="{00000000-0009-0000-0100-000001000000}"/>
  <tableColumns count="9">
    <tableColumn id="1" xr3:uid="{00000000-0010-0000-0000-000001000000}" name="CONDUTORES" dataDxfId="350" dataCellStyle="Normal 5"/>
    <tableColumn id="2" xr3:uid="{00000000-0010-0000-0000-000002000000}" name="(A)" dataDxfId="349" dataCellStyle="Normal 5"/>
    <tableColumn id="3" xr3:uid="{00000000-0010-0000-0000-000003000000}" name="Resistência" dataDxfId="348" dataCellStyle="Normal 5"/>
    <tableColumn id="4" xr3:uid="{00000000-0010-0000-0000-000004000000}" name="Reatância" dataDxfId="347" dataCellStyle="Normal 5"/>
    <tableColumn id="5" xr3:uid="{00000000-0010-0000-0000-000005000000}" name="α" dataDxfId="346" dataCellStyle="Normal 5"/>
    <tableColumn id="6" xr3:uid="{00000000-0010-0000-0000-000006000000}" name="DIVISOR_R" dataDxfId="345" dataCellStyle="Normal 5">
      <calculatedColumnFormula>1 + E2 * (G2 - 20)</calculatedColumnFormula>
    </tableColumn>
    <tableColumn id="7" xr3:uid="{00000000-0010-0000-0000-000007000000}" name="TEMP_LIM" dataDxfId="344" dataCellStyle="Normal 5"/>
    <tableColumn id="8" xr3:uid="{00000000-0010-0000-0000-000008000000}" name="DELTA_TEMP_30" dataDxfId="343" dataCellStyle="Normal 5">
      <calculatedColumnFormula>G2-30</calculatedColumnFormula>
    </tableColumn>
    <tableColumn id="9" xr3:uid="{00000000-0010-0000-0000-000009000000}" name="K_TERM_30" dataDxfId="342" dataCellStyle="Normal 5">
      <calculatedColumnFormula>IFERROR(B2/H2,0)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FOS_Z" displayName="TRAFOS_Z" ref="M3:N10" totalsRowShown="0">
  <autoFilter ref="M3:N10" xr:uid="{00000000-0009-0000-0100-000002000000}"/>
  <tableColumns count="2">
    <tableColumn id="1" xr3:uid="{00000000-0010-0000-0100-000001000000}" name="TRAFO" dataDxfId="341"/>
    <tableColumn id="2" xr3:uid="{00000000-0010-0000-0100-000002000000}" name="Z%" dataDxfId="340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Disjuntores" displayName="TabelaDisjuntores" ref="P1:Q21" totalsRowShown="0">
  <autoFilter ref="P1:Q21" xr:uid="{00000000-0009-0000-0100-000003000000}"/>
  <tableColumns count="2">
    <tableColumn id="1" xr3:uid="{00000000-0010-0000-0200-000001000000}" name="I_MIN"/>
    <tableColumn id="2" xr3:uid="{00000000-0010-0000-0200-000002000000}" name="IN_PADR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Parametros" displayName="TabelaParametros" ref="S1:U7" totalsRowShown="0">
  <autoFilter ref="S1:U7" xr:uid="{00000000-0009-0000-0100-000004000000}"/>
  <tableColumns count="3">
    <tableColumn id="1" xr3:uid="{00000000-0010-0000-0300-000001000000}" name="PARAMETRO"/>
    <tableColumn id="2" xr3:uid="{00000000-0010-0000-0300-000002000000}" name="VALOR" dataDxfId="339"/>
    <tableColumn id="3" xr3:uid="{00000000-0010-0000-0300-000003000000}" name="UN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CondutoresMeta" displayName="TabelaCondutoresMeta" ref="W1:Y26" totalsRowShown="0">
  <autoFilter ref="W1:Y26" xr:uid="{00000000-0009-0000-0100-000005000000}"/>
  <tableColumns count="3">
    <tableColumn id="1" xr3:uid="{00000000-0010-0000-0400-000001000000}" name="CONDUTOR"/>
    <tableColumn id="2" xr3:uid="{00000000-0010-0000-0400-000002000000}" name="MATERIAL">
      <calculatedColumnFormula>IF(ISNUMBER(FIND(" Cu",W2)),"CU",IF(ISNUMBER(FIND(" Al",W2)),"AL",IF(ISNUMBER(FIND(" AA",W2)),"AA","OUTRO")))</calculatedColumnFormula>
    </tableColumn>
    <tableColumn id="3" xr3:uid="{00000000-0010-0000-0400-000003000000}" name="COD_CONDUTOR">
      <calculatedColumnFormula>UPPER(SUBSTITUTE(SUBSTITUTE(SUBSTITUTE(SUBSTITUTE(W2," - ","_")," ","_"),"-","_"),".",""))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13" displayName="Tabela13" ref="B2:D68" totalsRowShown="0" headerRowDxfId="338" dataDxfId="337">
  <autoFilter ref="B2:D68" xr:uid="{00000000-0009-0000-0100-000006000000}"/>
  <sortState xmlns:xlrd2="http://schemas.microsoft.com/office/spreadsheetml/2017/richdata2" ref="B3:D56">
    <sortCondition ref="B2:B56"/>
  </sortState>
  <tableColumns count="3">
    <tableColumn id="1" xr3:uid="{00000000-0010-0000-0500-000001000000}" name="PONTO" dataDxfId="336"/>
    <tableColumn id="2" xr3:uid="{00000000-0010-0000-0500-000002000000}" name="X / LAT / E" dataDxfId="335"/>
    <tableColumn id="3" xr3:uid="{00000000-0010-0000-0500-000003000000}" name="Y / LON / N" dataDxfId="3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B193649-EE31-46A1-826B-2181DFC8391F}" name="LDA_CARMETIBA___ZNA_19165_utm_23s" displayName="LDA_CARMETIBA___ZNA_19165_utm_23s" ref="I2:L48" tableType="queryTable" totalsRowShown="0">
  <autoFilter ref="I2:L48" xr:uid="{FB193649-EE31-46A1-826B-2181DFC8391F}"/>
  <tableColumns count="4">
    <tableColumn id="4" xr3:uid="{937DA5D8-49F8-45CA-A56A-B5DC0D11B117}" uniqueName="4" name="POSTE" queryTableFieldId="4" dataDxfId="333"/>
    <tableColumn id="1" xr3:uid="{16DEEF7C-2211-4550-BB93-CDA84857FC1C}" uniqueName="1" name="X" queryTableFieldId="1" dataDxfId="332"/>
    <tableColumn id="2" xr3:uid="{F0DCC3D4-AA58-4F3F-9A2E-196041030C40}" uniqueName="2" name="Y" queryTableFieldId="2" dataDxfId="331"/>
    <tableColumn id="3" xr3:uid="{EBA473C2-F312-4A8D-A79D-5AB3B3CA295D}" uniqueName="3" name="Z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17" displayName="Tabela17" ref="A17:Y217" totalsRowShown="0" headerRowDxfId="330" tableBorderDxfId="329">
  <autoFilter ref="A17:Y217" xr:uid="{00000000-0009-0000-0100-000007000000}"/>
  <tableColumns count="25">
    <tableColumn id="1" xr3:uid="{00000000-0010-0000-0600-000001000000}" name="N° do Poste" dataDxfId="328"/>
    <tableColumn id="2" xr3:uid="{00000000-0010-0000-0600-000002000000}" name="CC" dataDxfId="327"/>
    <tableColumn id="3" xr3:uid="{00000000-0010-0000-0600-000003000000}" name="CC2" dataDxfId="326"/>
    <tableColumn id="4" xr3:uid="{00000000-0010-0000-0600-000004000000}" name="CC3" dataDxfId="325"/>
    <tableColumn id="5" xr3:uid="{00000000-0010-0000-0600-000005000000}" name="CC4" dataDxfId="324"/>
    <tableColumn id="6" xr3:uid="{00000000-0010-0000-0600-000006000000}" name="CC5" dataDxfId="323"/>
    <tableColumn id="7" xr3:uid="{00000000-0010-0000-0600-000007000000}" name="CC6" dataDxfId="322"/>
    <tableColumn id="8" xr3:uid="{00000000-0010-0000-0600-000008000000}" name="CC7" dataDxfId="321"/>
    <tableColumn id="9" xr3:uid="{00000000-0010-0000-0600-000009000000}" name="CC8" dataDxfId="320"/>
    <tableColumn id="10" xr3:uid="{00000000-0010-0000-0600-00000A000000}" name="CC9" dataDxfId="319"/>
    <tableColumn id="11" xr3:uid="{00000000-0010-0000-0600-00000B000000}" name="CC10" dataDxfId="318"/>
    <tableColumn id="12" xr3:uid="{00000000-0010-0000-0600-00000C000000}" name="CC11" dataDxfId="317"/>
    <tableColumn id="13" xr3:uid="{00000000-0010-0000-0600-00000D000000}" name="6 AWG " dataDxfId="316"/>
    <tableColumn id="14" xr3:uid="{00000000-0010-0000-0600-00000E000000}" name="6 AWG3 " dataDxfId="315"/>
    <tableColumn id="15" xr3:uid="{00000000-0010-0000-0600-00000F000000}" name="6 AWG  " dataDxfId="314"/>
    <tableColumn id="16" xr3:uid="{00000000-0010-0000-0600-000010000000}" name="4 AWG " dataDxfId="313"/>
    <tableColumn id="17" xr3:uid="{00000000-0010-0000-0600-000011000000}" name="1/0" dataDxfId="312"/>
    <tableColumn id="18" xr3:uid="{00000000-0010-0000-0600-000012000000}" name="3/0" dataDxfId="311"/>
    <tableColumn id="19" xr3:uid="{00000000-0010-0000-0600-000013000000}" name="4/0" dataDxfId="310"/>
    <tableColumn id="20" xr3:uid="{00000000-0010-0000-0600-000014000000}" name="MMX" dataDxfId="309"/>
    <tableColumn id="21" xr3:uid="{00000000-0010-0000-0600-000015000000}" name="MMX14" dataDxfId="308"/>
    <tableColumn id="22" xr3:uid="{00000000-0010-0000-0600-000016000000}" name="TOTAL PONTO" dataDxfId="307">
      <calculatedColumnFormula>B18*$B$5+C18*$C$5+D18*$D$5+E18*$E$5+F18*$F$5+G18*$G$5+H18*$H$5+I18*$I$5+J18*$J$5+K18*$K$5+L18*$L$5+M18*$M$5+N18*$N$5+O18*$O$5+P18*$P$5+Q18*$Q$5+R18*$R$5+S18*$S$5+T18*$T$5+U18*$U$5</calculatedColumnFormula>
    </tableColumn>
    <tableColumn id="23" xr3:uid="{00000000-0010-0000-0600-000017000000}" name="KVA" dataDxfId="306">
      <calculatedColumnFormula>IFERROR($AA$24*(V18/($W$16)),0)</calculatedColumnFormula>
    </tableColumn>
    <tableColumn id="24" xr3:uid="{00000000-0010-0000-0600-000018000000}" name="CLIENTES" dataDxfId="305">
      <calculatedColumnFormula>SUM(B18:U18)</calculatedColumnFormula>
    </tableColumn>
    <tableColumn id="25" xr3:uid="{00000000-0010-0000-0600-000019000000}" name="KVA2" dataDxfId="304">
      <calculatedColumnFormula>IFERROR(VLOOKUP(X18,AUX_CLAN,4,),0)</calculatedColumnFormula>
    </tableColumn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GERAL" displayName="GERAL" ref="B8:N51" totalsRowShown="0" headerRowDxfId="372" dataDxfId="371">
  <autoFilter ref="B8:N51" xr:uid="{00000000-0009-0000-0100-000008000000}"/>
  <tableColumns count="13">
    <tableColumn id="1" xr3:uid="{00000000-0010-0000-0700-000001000000}" name="PONTO" dataDxfId="370"/>
    <tableColumn id="11" xr3:uid="{00000000-0010-0000-0700-00000B000000}" name="TRECHO" dataDxfId="369"/>
    <tableColumn id="12" xr3:uid="{00000000-0010-0000-0700-00000C000000}" name="M" dataDxfId="368">
      <calculatedColumnFormula>IFERROR(IF(GERAL[[#This Row],[LADO]]="TRAFO",4,SQRT((VLOOKUP(GERAL[[#This Row],[TRECHO]],Tabela13[],2,0)-GERAL[[#This Row],[X]])^2+(VLOOKUP(GERAL[[#This Row],[TRECHO]],Tabela13[],3,0)-GERAL[[#This Row],[Y]])^2)),"")</calculatedColumnFormula>
    </tableColumn>
    <tableColumn id="2" xr3:uid="{00000000-0010-0000-0700-000002000000}" name="X" dataDxfId="367">
      <calculatedColumnFormula>IFERROR(VLOOKUP(GERAL[[#This Row],[PONTO]],COORD,2,0),"")</calculatedColumnFormula>
    </tableColumn>
    <tableColumn id="3" xr3:uid="{00000000-0010-0000-0700-000003000000}" name="Y" dataDxfId="366">
      <calculatedColumnFormula>IFERROR(VLOOKUP(GERAL[[#This Row],[PONTO]],COORD,3,0),"")</calculatedColumnFormula>
    </tableColumn>
    <tableColumn id="4" xr3:uid="{00000000-0010-0000-0700-000004000000}" name="CLIENTES" dataDxfId="365">
      <calculatedColumnFormula>IFERROR(VLOOKUP(GERAL[[#This Row],[PONTO]],RAMAIS_ATUAL,24,0),"")</calculatedColumnFormula>
    </tableColumn>
    <tableColumn id="10" xr3:uid="{00000000-0010-0000-0700-00000A000000}" name="CLT ACUMULADO" dataDxfId="364">
      <calculatedColumnFormula>IFERROR(SUMIF(GERAL[TRECHO],GERAL[[#This Row],[PONTO]],GERAL[CLT ACUMULADO])+GERAL[[#This Row],[CLIENTES]],"")</calculatedColumnFormula>
    </tableColumn>
    <tableColumn id="5" xr3:uid="{00000000-0010-0000-0700-000005000000}" name="TOTAL DO TRECHO" dataDxfId="363">
      <calculatedColumnFormula>IFERROR(VLOOKUP(GERAL[[#This Row],[PONTO]],
      RAMAIS_ATUAL,
      IF($J$2="SIM",25,23),
      FALSE),
"")</calculatedColumnFormula>
    </tableColumn>
    <tableColumn id="9" xr3:uid="{00000000-0010-0000-0700-000009000000}" name="ACUMULADA" dataDxfId="362">
      <calculatedColumnFormula>IFERROR(IF(TRIM(UPPER($J$2))="SIM",
      VLOOKUP(GERAL[[#This Row],[CLT ACUMULADO]],AUX_CLAN,4,FALSE)/0.85,
      SUMIF(GERAL[TRECHO],GERAL[[#This Row],[PONTO]],GERAL[ACUMULADA])+GERAL[[#This Row],[TOTAL DO TRECHO]]),
"")</calculatedColumnFormula>
    </tableColumn>
    <tableColumn id="6" xr3:uid="{00000000-0010-0000-0700-000006000000}" name="SNAP" dataDxfId="361">
      <calculatedColumnFormula>IFERROR(SQRT((GERAL[[#This Row],[X]]-$Q$11)^2+(GERAL[[#This Row],[Y]]-$Q$12)^2),"")</calculatedColumnFormula>
    </tableColumn>
    <tableColumn id="13" xr3:uid="{00000000-0010-0000-0700-00000D000000}" name="LADO" dataDxfId="360"/>
    <tableColumn id="8" xr3:uid="{00000000-0010-0000-0700-000008000000}" name="CONDUTOR" dataDxfId="359"/>
    <tableColumn id="7" xr3:uid="{00000000-0010-0000-0700-000007000000}" name="CQT NO PONTO" dataDxfId="358" dataCellStyle="Porcentagem">
      <calculatedColumnFormula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calculatedColumnFormula>
    </tableColumn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16" displayName="Tabela16" ref="R10:T19" totalsRowShown="0" headerRowDxfId="357" dataDxfId="356">
  <autoFilter ref="R10:T19" xr:uid="{00000000-0009-0000-0100-000009000000}"/>
  <tableColumns count="3">
    <tableColumn id="1" xr3:uid="{00000000-0010-0000-0800-000001000000}" name="TRAFO" dataDxfId="355"/>
    <tableColumn id="2" xr3:uid="{00000000-0010-0000-0800-000002000000}" name="LEAD / TAQUEAMENTO" dataDxfId="354"/>
    <tableColumn id="3" xr3:uid="{A38BC1E2-CCE3-4644-B466-00C511260348}" name="Coluna1" dataDxfId="353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7" displayName="Tabela7" ref="B7:AC27">
  <autoFilter ref="B7:AC27" xr:uid="{00000000-0009-0000-0100-00000A000000}"/>
  <tableColumns count="28">
    <tableColumn id="1" xr3:uid="{00000000-0010-0000-0900-000001000000}" name="PONTO" dataDxfId="303">
      <calculatedColumnFormula>IFERROR(VLOOKUP(A8,PROJ1!A8:C50,2,0),"")</calculatedColumnFormula>
    </tableColumn>
    <tableColumn id="2" xr3:uid="{00000000-0010-0000-0900-000002000000}" name="TRECHO" dataDxfId="302">
      <calculatedColumnFormula>IFERROR(IF(Tabela7[[#This Row],[PONTO]]="RAMAL",B7,VLOOKUP(Tabela7[[#This Row],[PONTO]],GERAL[],2,0)),"")</calculatedColumnFormula>
    </tableColumn>
    <tableColumn id="3" xr3:uid="{00000000-0010-0000-0900-000003000000}" name="M" dataDxfId="301">
      <calculatedColumnFormula>IF(Tabela7[[#This Row],[PONTO]]="","",IFERROR(IF(Tabela7[[#This Row],[PONTO]]="RAMAL",15,VLOOKUP(Tabela7[[#This Row],[PONTO]],GERAL[],3,0)),0))</calculatedColumnFormula>
    </tableColumn>
    <tableColumn id="28" xr3:uid="{CA31BAC3-652F-43FD-843E-1F0E3FE2D1C8}" name="Coluna3" dataDxfId="300">
      <calculatedColumnFormula>IFERROR(IF(Tabela7[[#This Row],[PONTO]]="RAMAL","",VLOOKUP(Tabela7[[#This Row],[PONTO]],GERAL[],7,0)),"")</calculatedColumnFormula>
    </tableColumn>
    <tableColumn id="4" xr3:uid="{00000000-0010-0000-0900-000004000000}" name="X" dataDxfId="299">
      <calculatedColumnFormula>IFERROR(IF(Tabela7[[#This Row],[PONTO]]="RAMAL","",VLOOKUP(Tabela7[[#This Row],[PONTO]],GERAL[],4,0)),"")</calculatedColumnFormula>
    </tableColumn>
    <tableColumn id="5" xr3:uid="{00000000-0010-0000-0900-000005000000}" name="Y" dataDxfId="298">
      <calculatedColumnFormula>IFERROR(IF(Tabela7[[#This Row],[PONTO]]="RAMAL","",VLOOKUP(Tabela7[[#This Row],[PONTO]],GERAL[],5,0)),"")</calculatedColumnFormula>
    </tableColumn>
    <tableColumn id="6" xr3:uid="{00000000-0010-0000-0900-000006000000}" name="KVA PONTO" dataDxfId="297">
      <calculatedColumnFormula>IFERROR(IF(Tabela7[[#This Row],[PONTO]]="RAMAL",DMDI,VLOOKUP(Tabela7[[#This Row],[PONTO]],GERAL[],8,0)),"")</calculatedColumnFormula>
    </tableColumn>
    <tableColumn id="7" xr3:uid="{00000000-0010-0000-0900-000007000000}" name="ACUMULADA" dataDxfId="296">
      <calculatedColumnFormula>IF(Tabela7[[#This Row],[PONTO]]="","",IFERROR(IF(Tabela7[[#This Row],[PONTO]]="RAMAL",Tabela7[[#This Row],[KVA PONTO]],VLOOKUP(Tabela7[[#This Row],[PONTO]],GERAL[],9,0)),""))</calculatedColumnFormula>
    </tableColumn>
    <tableColumn id="8" xr3:uid="{00000000-0010-0000-0900-000008000000}" name="CONDUTOR" dataDxfId="295">
      <calculatedColumnFormula>IF(Tabela7[[#This Row],[PONTO]]="","",IFERROR(VLOOKUP(Tabela7[[#This Row],[PONTO]],GERAL[],12,0),""))</calculatedColumnFormula>
    </tableColumn>
    <tableColumn id="9" xr3:uid="{00000000-0010-0000-0900-000009000000}" name="(A)" dataDxfId="294">
      <calculatedColumnFormula>IFERROR(Tabela7[[#This Row],[Ib]],"")</calculatedColumnFormula>
    </tableColumn>
    <tableColumn id="10" xr3:uid="{00000000-0010-0000-0900-00000A000000}" name="T" dataDxfId="293">
      <calculatedColumnFormula>IFERROR(IFERROR(Tabela7[[#This Row],[ACUMULADA]]/((IF(Tabela7[[#This Row],[FASE]]="MONO",T_LINHA_MONO,IF(Tabela7[[#This Row],[FASE]]="BIF",T_LINHA_TRF,T_LINHA_TRF*SQRT(3)))/1000)*VLOOKUP(Tabela7[[#This Row],[CONDUTOR]],CABOS[],9,0))+30,W8+60*(X8/Z8)),"")</calculatedColumnFormula>
    </tableColumn>
    <tableColumn id="11" xr3:uid="{00000000-0010-0000-0900-00000B000000}" name="R CORR" dataDxfId="292">
      <calculatedColumnFormula>IFERROR((VLOOKUP(Tabela7[[#This Row],[CONDUTOR]],CABOS[],3,0)/VLOOKUP(Tabela7[[#This Row],[CONDUTOR]],CABOS[],6,0))*(1+VLOOKUP(Tabela7[[#This Row],[CONDUTOR]],CABOS[],5,0)*(Tabela7[[#This Row],[T]]-20)),"")</calculatedColumnFormula>
    </tableColumn>
    <tableColumn id="12" xr3:uid="{00000000-0010-0000-0900-00000C000000}" name="QT-PONTO" dataDxfId="291">
      <calculatedColumnFormula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calculatedColumnFormula>
    </tableColumn>
    <tableColumn id="13" xr3:uid="{00000000-0010-0000-0900-00000D000000}" name="Coluna1" dataDxfId="290">
      <calculatedColumnFormula>IF(Tabela7[[#This Row],[PONTO]]="","",IFERROR(SUMIF(Tabela7[PONTO],Tabela7[[#This Row],[TRECHO]],Tabela7[Coluna1])+Tabela7[[#This Row],[QT-PONTO]],""))</calculatedColumnFormula>
    </tableColumn>
    <tableColumn id="14" xr3:uid="{00000000-0010-0000-0900-00000E000000}" name="QT %" dataDxfId="289">
      <calculatedColumnFormula>IFERROR(Tabela7[[#This Row],[Coluna1]]/T_LINHA_MONO,"")</calculatedColumnFormula>
    </tableColumn>
    <tableColumn id="15" xr3:uid="{00000000-0010-0000-0900-00000F000000}" name="127" dataDxfId="288">
      <calculatedColumnFormula>IFERROR(T_LINHA_MONO*(1-Tabela7[[#This Row],[QT %]]),"")</calculatedColumnFormula>
    </tableColumn>
    <tableColumn id="16" xr3:uid="{00000000-0010-0000-0900-000010000000}" name="220" dataDxfId="287">
      <calculatedColumnFormula>IFERROR(T_LINHA_TRF*(1-Tabela7[[#This Row],[QT %]]),"")</calculatedColumnFormula>
    </tableColumn>
    <tableColumn id="17" xr3:uid="{00000000-0010-0000-0900-000011000000}" name="TEMP2" dataDxfId="286">
      <calculatedColumnFormula>IFERROR(IF(Tabela7[[#This Row],[PROTECAO]]="OK","Protecao OK","Ajustar Disj/Condutor"),"")</calculatedColumnFormula>
    </tableColumn>
    <tableColumn id="18" xr3:uid="{00000000-0010-0000-0900-000012000000}" name="FASE" dataDxfId="285">
      <calculatedColumnFormula>IF(Tabela7[[#This Row],[ETA]]=1,"MONO",IF(Tabela7[[#This Row],[ETA]]=2,"BIF","TRI"))</calculatedColumnFormula>
    </tableColumn>
    <tableColumn id="19" xr3:uid="{00000000-0010-0000-0900-000013000000}" name="ETA" dataDxfId="284"/>
    <tableColumn id="20" xr3:uid="{00000000-0010-0000-0900-000014000000}" name="METODO_INST" dataDxfId="283">
      <calculatedColumnFormula>"AEREO"</calculatedColumnFormula>
    </tableColumn>
    <tableColumn id="21" xr3:uid="{00000000-0010-0000-0900-000015000000}" name="TEMP_AMB">
      <calculatedColumnFormula>30</calculatedColumnFormula>
    </tableColumn>
    <tableColumn id="22" xr3:uid="{00000000-0010-0000-0900-000016000000}" name="Ib" dataDxfId="282">
      <calculatedColumnFormula>IFERROR(IF(Tabela7[[#This Row],[FASE]]="MONO",Tabela7[[#This Row],[ACUMULADA]]*1000/(T_LINHA_TRF*Tabela7[[#This Row],[ETA]]),Tabela7[[#This Row],[ACUMULADA]]*1000/(SQRT(3)*$R$7*Tabela7[[#This Row],[ETA]])),"")</calculatedColumnFormula>
    </tableColumn>
    <tableColumn id="23" xr3:uid="{00000000-0010-0000-0900-000017000000}" name="In" dataDxfId="281">
      <calculatedColumnFormula>IFERROR(VLOOKUP(Tabela7[[#This Row],[Ib]],TabelaDisjuntores[],2,TRUE),"")</calculatedColumnFormula>
    </tableColumn>
    <tableColumn id="24" xr3:uid="{00000000-0010-0000-0900-000018000000}" name="Iz" dataDxfId="280">
      <calculatedColumnFormula>IFERROR(VLOOKUP(Tabela7[[#This Row],[CONDUTOR]],CABOS[],2,0),"")</calculatedColumnFormula>
    </tableColumn>
    <tableColumn id="25" xr3:uid="{00000000-0010-0000-0900-000019000000}" name="PROTECAO">
      <calculatedColumnFormula>IF(AND(Tabela7[[#This Row],[Ib]]&lt;=Tabela7[[#This Row],[In]],Tabela7[[#This Row],[In]]&lt;=Tabela7[[#This Row],[Iz]]),"OK","VERIFICAR")</calculatedColumnFormula>
    </tableColumn>
    <tableColumn id="26" xr3:uid="{00000000-0010-0000-0900-00001A000000}" name="Coluna2" dataDxfId="279">
      <calculatedColumnFormula>IFERROR(SQRT((Tabela7[[#This Row],[X]]-$AF$4)^2+(Tabela7[[#This Row],[Y]]-$AF$5)^2),"")</calculatedColumnFormula>
    </tableColumn>
    <tableColumn id="27" xr3:uid="{00000000-0010-0000-0900-00001B000000}" name="ETA2" dataDxfId="278">
      <calculatedColumnFormula>IFERROR(VLOOKUP(Tabela7[[#This Row],[CONDUTOR]],CONDUTORES,2,0),"")</calculatedColumnFormula>
    </tableColumn>
  </tableColumns>
  <tableStyleInfo name="TableStyleLight1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IR_ATUAL" displayName="DIR_ATUAL" ref="B7:AC25" totalsRowShown="0" headerRowDxfId="277" dataDxfId="276">
  <autoFilter ref="B7:AC25" xr:uid="{00000000-0009-0000-0100-00000B000000}"/>
  <tableColumns count="28">
    <tableColumn id="1" xr3:uid="{00000000-0010-0000-0A00-000001000000}" name="PONTO" dataDxfId="275"/>
    <tableColumn id="2" xr3:uid="{00000000-0010-0000-0A00-000002000000}" name="TRECHO" dataDxfId="274">
      <calculatedColumnFormula>IFERROR(IF(DIR_ATUAL[[#This Row],[PONTO]]="RAMAL",B7,VLOOKUP(DIR_ATUAL[[#This Row],[PONTO]],GERAL[],2,0)),"")</calculatedColumnFormula>
    </tableColumn>
    <tableColumn id="3" xr3:uid="{00000000-0010-0000-0A00-000003000000}" name="M" dataDxfId="273">
      <calculatedColumnFormula>IFERROR(IF(DIR_ATUAL[[#This Row],[PONTO]]="RAMAL",15,VLOOKUP(DIR_ATUAL[[#This Row],[PONTO]],GERAL[],3,0)),"")</calculatedColumnFormula>
    </tableColumn>
    <tableColumn id="28" xr3:uid="{B6ED0E29-EABD-4DF8-8284-A66FF502F8CD}" name="Coluna3" dataDxfId="272">
      <calculatedColumnFormula>IFERROR(IF(DIR_ATUAL[[#This Row],[PONTO]]="RAMAL","",VLOOKUP(DIR_ATUAL[[#This Row],[PONTO]],GERAL[],7,0)),"")</calculatedColumnFormula>
    </tableColumn>
    <tableColumn id="4" xr3:uid="{00000000-0010-0000-0A00-000004000000}" name="X" dataDxfId="271">
      <calculatedColumnFormula>IFERROR(IF(DIR_ATUAL[[#This Row],[PONTO]]="RAMAL","",VLOOKUP(DIR_ATUAL[[#This Row],[PONTO]],GERAL[],4,0)),"")</calculatedColumnFormula>
    </tableColumn>
    <tableColumn id="5" xr3:uid="{00000000-0010-0000-0A00-000005000000}" name="Y" dataDxfId="270">
      <calculatedColumnFormula>IFERROR(IF(DIR_ATUAL[[#This Row],[PONTO]]="RAMAL","",VLOOKUP(DIR_ATUAL[[#This Row],[PONTO]],GERAL[],5,0)),"")</calculatedColumnFormula>
    </tableColumn>
    <tableColumn id="6" xr3:uid="{00000000-0010-0000-0A00-000006000000}" name="KVA PONTO" dataDxfId="269">
      <calculatedColumnFormula>IFERROR(IF(DIR_ATUAL[[#This Row],[PONTO]]="RAMAL",DMDI,VLOOKUP(DIR_ATUAL[[#This Row],[PONTO]],GERAL[],8,0)),"")</calculatedColumnFormula>
    </tableColumn>
    <tableColumn id="7" xr3:uid="{00000000-0010-0000-0A00-000007000000}" name="ACUMULADA" dataDxfId="268">
      <calculatedColumnFormula>IFERROR(IF(DIR_ATUAL[[#This Row],[PONTO]]="RAMAL",DIR_ATUAL[[#This Row],[KVA PONTO]],VLOOKUP(DIR_ATUAL[[#This Row],[PONTO]],GERAL[],9,0)),"")</calculatedColumnFormula>
    </tableColumn>
    <tableColumn id="9" xr3:uid="{00000000-0010-0000-0A00-000009000000}" name="CONDUTOR" dataDxfId="267">
      <calculatedColumnFormula>IFERROR(VLOOKUP(DIR_ATUAL[[#This Row],[PONTO]],GERAL[],12,0),"")</calculatedColumnFormula>
    </tableColumn>
    <tableColumn id="11" xr3:uid="{00000000-0010-0000-0A00-00000B000000}" name="(A)" dataDxfId="266">
      <calculatedColumnFormula>IFERROR(DIR_ATUAL[[#This Row],[Ib]],"")</calculatedColumnFormula>
    </tableColumn>
    <tableColumn id="13" xr3:uid="{00000000-0010-0000-0A00-00000D000000}" name="T" dataDxfId="265">
      <calculatedColumnFormula>IFERROR(IFERROR(DIR_ATUAL[[#This Row],[ACUMULADA]]/((IF(DIR_ATUAL[[#This Row],[FASE]]="MONO",T_LINHA_MONO,IF(DIR_ATUAL[[#This Row],[FASE]]="BIF",T_LINHA_TRF,T_LINHA_TRF*SQRT(3)))/1000)*VLOOKUP(DIR_ATUAL[[#This Row],[CONDUTOR]],CABOS[],9,0))+30,W8+60*(X8/Z8)),"")</calculatedColumnFormula>
    </tableColumn>
    <tableColumn id="14" xr3:uid="{00000000-0010-0000-0A00-00000E000000}" name="R CORR" dataDxfId="264">
      <calculatedColumnFormula>IFERROR((VLOOKUP(DIR_ATUAL[[#This Row],[CONDUTOR]],CABOS[],3,0)/VLOOKUP(DIR_ATUAL[[#This Row],[CONDUTOR]],CABOS[],6,0))*(1+VLOOKUP(DIR_ATUAL[[#This Row],[CONDUTOR]],CABOS[],5,0)*(DIR_ATUAL[[#This Row],[T]]-20)),"")</calculatedColumnFormula>
    </tableColumn>
    <tableColumn id="12" xr3:uid="{00000000-0010-0000-0A00-00000C000000}" name="QT-PONTO" dataDxfId="263">
      <calculatedColumnFormula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calculatedColumnFormula>
    </tableColumn>
    <tableColumn id="15" xr3:uid="{00000000-0010-0000-0A00-00000F000000}" name="Coluna1" dataDxfId="262" dataCellStyle="Porcentagem">
      <calculatedColumnFormula>IF(DIR_ATUAL[[#This Row],[PONTO]]="","",IFERROR(SUMIF(DIR_ATUAL[PONTO],DIR_ATUAL[[#This Row],[TRECHO]],DIR_ATUAL[Coluna1])+DIR_ATUAL[[#This Row],[QT-PONTO]],""))</calculatedColumnFormula>
    </tableColumn>
    <tableColumn id="16" xr3:uid="{00000000-0010-0000-0A00-000010000000}" name="QT %" dataDxfId="261" dataCellStyle="Porcentagem">
      <calculatedColumnFormula>IFERROR(DIR_ATUAL[[#This Row],[Coluna1]]/T_LINHA_MONO,"")</calculatedColumnFormula>
    </tableColumn>
    <tableColumn id="17" xr3:uid="{00000000-0010-0000-0A00-000011000000}" name="127" dataDxfId="260">
      <calculatedColumnFormula>IFERROR(T_LINHA_MONO*(1-DIR_ATUAL[[#This Row],[QT %]]),"")</calculatedColumnFormula>
    </tableColumn>
    <tableColumn id="8" xr3:uid="{00000000-0010-0000-0A00-000008000000}" name="220" dataDxfId="259">
      <calculatedColumnFormula>IFERROR(T_LINHA_TRF*(1-DIR_ATUAL[[#This Row],[QT %]]),"")</calculatedColumnFormula>
    </tableColumn>
    <tableColumn id="18" xr3:uid="{00000000-0010-0000-0A00-000012000000}" name="TEMP2" dataDxfId="258">
      <calculatedColumnFormula>IFERROR(IF(DIR_ATUAL[[#This Row],[PROTECAO]]="OK","Protecao OK","Ajustar Disj/Condutor"),"")</calculatedColumnFormula>
    </tableColumn>
    <tableColumn id="10" xr3:uid="{00000000-0010-0000-0A00-00000A000000}" name="FASE" dataDxfId="257">
      <calculatedColumnFormula>IF(DIR_ATUAL[[#This Row],[ETA]]=1,"MONO",IF(DIR_ATUAL[[#This Row],[ETA]]=2,"BIF","TRI"))</calculatedColumnFormula>
    </tableColumn>
    <tableColumn id="19" xr3:uid="{00000000-0010-0000-0A00-000013000000}" name="ETA" dataDxfId="256">
      <calculatedColumnFormula>1</calculatedColumnFormula>
    </tableColumn>
    <tableColumn id="20" xr3:uid="{00000000-0010-0000-0A00-000014000000}" name="METODO_INST" dataDxfId="255">
      <calculatedColumnFormula>"AEREO"</calculatedColumnFormula>
    </tableColumn>
    <tableColumn id="21" xr3:uid="{00000000-0010-0000-0A00-000015000000}" name="TEMP_AMB" dataDxfId="254">
      <calculatedColumnFormula>30</calculatedColumnFormula>
    </tableColumn>
    <tableColumn id="22" xr3:uid="{00000000-0010-0000-0A00-000016000000}" name="Ib" dataDxfId="253">
      <calculatedColumnFormula>IFERROR(IF(DIR_ATUAL[[#This Row],[FASE]]="MONO",DIR_ATUAL[[#This Row],[ACUMULADA]]*1000/(T_LINHA_TRF*DIR_ATUAL[[#This Row],[ETA]]),DIR_ATUAL[[#This Row],[ACUMULADA]]*1000/(SQRT(3)*$R$7*DIR_ATUAL[[#This Row],[ETA]])),"")</calculatedColumnFormula>
    </tableColumn>
    <tableColumn id="23" xr3:uid="{00000000-0010-0000-0A00-000017000000}" name="In" dataDxfId="252">
      <calculatedColumnFormula>IFERROR(VLOOKUP(DIR_ATUAL[[#This Row],[Ib]],TabelaDisjuntores[],2,TRUE),"")</calculatedColumnFormula>
    </tableColumn>
    <tableColumn id="24" xr3:uid="{00000000-0010-0000-0A00-000018000000}" name="Iz" dataDxfId="251">
      <calculatedColumnFormula>IFERROR(VLOOKUP(DIR_ATUAL[[#This Row],[CONDUTOR]],CABOS[],2,0),"")</calculatedColumnFormula>
    </tableColumn>
    <tableColumn id="25" xr3:uid="{00000000-0010-0000-0A00-000019000000}" name="PROTECAO" dataDxfId="250">
      <calculatedColumnFormula>IF(AND(DIR_ATUAL[[#This Row],[Ib]]&lt;=DIR_ATUAL[[#This Row],[In]],DIR_ATUAL[[#This Row],[In]]&lt;=DIR_ATUAL[[#This Row],[Iz]]),"OK","VERIFICAR")</calculatedColumnFormula>
    </tableColumn>
    <tableColumn id="26" xr3:uid="{00000000-0010-0000-0A00-00001A000000}" name="Coluna2" dataDxfId="249">
      <calculatedColumnFormula>IFERROR(SQRT((DIR_ATUAL[[#This Row],[X]]-$AF$4)^2+(DIR_ATUAL[[#This Row],[Y]]-$AF$5)^2),0)</calculatedColumnFormula>
    </tableColumn>
    <tableColumn id="27" xr3:uid="{00000000-0010-0000-0A00-00001B000000}" name="ETA2" dataDxfId="248">
      <calculatedColumnFormula>IF(DIR_ATUAL[[#This Row],[CONDUTOR]]="","",VLOOKUP(DIR_ATUAL[[#This Row],[CONDUTOR]],[0]!CONDUTORES,2,0))</calculatedColumnFormula>
    </tableColumn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EC47CBF-4839-4B28-8074-0F81BDF131F3}" name="DIR_ATUAL22" displayName="DIR_ATUAL22" ref="B7:AC25" totalsRowShown="0" headerRowDxfId="247" dataDxfId="246">
  <autoFilter ref="B7:AC25" xr:uid="{00000000-0009-0000-0100-00000B000000}"/>
  <tableColumns count="28">
    <tableColumn id="1" xr3:uid="{273860A8-CF9B-408D-85E4-72D1D058686F}" name="PONTO" dataDxfId="245"/>
    <tableColumn id="2" xr3:uid="{ED6BD7B5-1A24-4601-80A1-4ED02CF8B362}" name="TRECHO" dataDxfId="244">
      <calculatedColumnFormula>IFERROR(IF(DIR_ATUAL22[[#This Row],[PONTO]]="RAMAL",B7,VLOOKUP(DIR_ATUAL22[[#This Row],[PONTO]],GERAL[],2,0)),"")</calculatedColumnFormula>
    </tableColumn>
    <tableColumn id="3" xr3:uid="{D4FA43B9-E232-4F16-A857-DE1B6476EB1E}" name="M" dataDxfId="243">
      <calculatedColumnFormula>IFERROR(IF(DIR_ATUAL22[[#This Row],[PONTO]]="RAMAL",15,VLOOKUP(DIR_ATUAL22[[#This Row],[PONTO]],GERAL[],3,0)),"")</calculatedColumnFormula>
    </tableColumn>
    <tableColumn id="28" xr3:uid="{B16DE4AE-F94E-43F1-A46D-28B59A6CC1F9}" name="Coluna3" dataDxfId="242">
      <calculatedColumnFormula>IFERROR(IF(DIR_ATUAL22[[#This Row],[PONTO]]="RAMAL","",VLOOKUP(DIR_ATUAL22[[#This Row],[PONTO]],GERAL[],7,0)),"")</calculatedColumnFormula>
    </tableColumn>
    <tableColumn id="4" xr3:uid="{40C18B17-7962-4B01-9E39-194F4F2963A0}" name="X" dataDxfId="241">
      <calculatedColumnFormula>IFERROR(IF(DIR_ATUAL22[[#This Row],[PONTO]]="RAMAL","",VLOOKUP(DIR_ATUAL22[[#This Row],[PONTO]],GERAL[],4,0)),"")</calculatedColumnFormula>
    </tableColumn>
    <tableColumn id="5" xr3:uid="{7D567184-2D0B-4730-A92B-8E1696D8BB34}" name="Y" dataDxfId="240">
      <calculatedColumnFormula>IFERROR(IF(DIR_ATUAL22[[#This Row],[PONTO]]="RAMAL","",VLOOKUP(DIR_ATUAL22[[#This Row],[PONTO]],GERAL[],5,0)),"")</calculatedColumnFormula>
    </tableColumn>
    <tableColumn id="6" xr3:uid="{23582CF5-7FFA-425E-AE4B-257C24C9C4BF}" name="KVA PONTO" dataDxfId="239">
      <calculatedColumnFormula>IFERROR(IF(DIR_ATUAL22[[#This Row],[PONTO]]="RAMAL",DMDI,VLOOKUP(DIR_ATUAL22[[#This Row],[PONTO]],GERAL[],8,0)),"")</calculatedColumnFormula>
    </tableColumn>
    <tableColumn id="7" xr3:uid="{C1DC5DEE-2023-409F-A637-DC14DECB6B27}" name="ACUMULADA" dataDxfId="238">
      <calculatedColumnFormula>IFERROR(IF(DIR_ATUAL22[[#This Row],[PONTO]]="RAMAL",DIR_ATUAL22[[#This Row],[KVA PONTO]],VLOOKUP(DIR_ATUAL22[[#This Row],[PONTO]],GERAL[],9,0)),"")</calculatedColumnFormula>
    </tableColumn>
    <tableColumn id="9" xr3:uid="{23576168-1621-4B50-8897-8D4531F40DC4}" name="CONDUTOR" dataDxfId="237">
      <calculatedColumnFormula>IFERROR(VLOOKUP(DIR_ATUAL22[[#This Row],[PONTO]],GERAL[],12,0),"")</calculatedColumnFormula>
    </tableColumn>
    <tableColumn id="11" xr3:uid="{E3354DD5-C040-496D-89BF-DC52F148B51E}" name="(A)" dataDxfId="236">
      <calculatedColumnFormula>IFERROR(DIR_ATUAL22[[#This Row],[Ib]],"")</calculatedColumnFormula>
    </tableColumn>
    <tableColumn id="13" xr3:uid="{1D6936A1-AA02-44DF-895C-858CB81EEE86}" name="T" dataDxfId="235">
      <calculatedColumnFormula>IFERROR(IFERROR(DIR_ATUAL22[[#This Row],[ACUMULADA]]/((IF(DIR_ATUAL22[[#This Row],[FASE]]="MONO",T_LINHA_MONO,IF(DIR_ATUAL22[[#This Row],[FASE]]="BIF",T_LINHA_TRF,T_LINHA_TRF*SQRT(3)))/1000)*VLOOKUP(DIR_ATUAL22[[#This Row],[CONDUTOR]],CABOS[],9,0))+30,W8+60*(X8/Z8)),"")</calculatedColumnFormula>
    </tableColumn>
    <tableColumn id="14" xr3:uid="{00D81D25-A5CB-4E45-9625-4A51050A70B8}" name="R CORR" dataDxfId="234">
      <calculatedColumnFormula>IFERROR((VLOOKUP(DIR_ATUAL22[[#This Row],[CONDUTOR]],CABOS[],3,0)/VLOOKUP(DIR_ATUAL22[[#This Row],[CONDUTOR]],CABOS[],6,0))*(1+VLOOKUP(DIR_ATUAL22[[#This Row],[CONDUTOR]],CABOS[],5,0)*(DIR_ATUAL22[[#This Row],[T]]-20)),"")</calculatedColumnFormula>
    </tableColumn>
    <tableColumn id="12" xr3:uid="{D8DC0E26-DD19-4981-B2CA-C243479842CA}" name="QT-PONTO" dataDxfId="233">
      <calculatedColumnFormula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calculatedColumnFormula>
    </tableColumn>
    <tableColumn id="15" xr3:uid="{436510C9-1D52-4618-A457-12E86BD819B4}" name="Coluna1" dataDxfId="232" dataCellStyle="Porcentagem">
      <calculatedColumnFormula>IF(DIR_ATUAL22[[#This Row],[PONTO]]="","",IFERROR(SUMIF(DIR_ATUAL22[PONTO],DIR_ATUAL22[[#This Row],[TRECHO]],DIR_ATUAL22[Coluna1])+DIR_ATUAL22[[#This Row],[QT-PONTO]],""))</calculatedColumnFormula>
    </tableColumn>
    <tableColumn id="16" xr3:uid="{05D9BF5F-ECAD-47CA-8FCF-C464498F154C}" name="QT %" dataDxfId="231" dataCellStyle="Porcentagem">
      <calculatedColumnFormula>IFERROR(DIR_ATUAL22[[#This Row],[Coluna1]]/T_LINHA_MONO,"")</calculatedColumnFormula>
    </tableColumn>
    <tableColumn id="17" xr3:uid="{CB532A53-9800-4DE0-9771-D4E5643E4046}" name="127" dataDxfId="230">
      <calculatedColumnFormula>IFERROR(T_LINHA_MONO*(1-DIR_ATUAL22[[#This Row],[QT %]]),"")</calculatedColumnFormula>
    </tableColumn>
    <tableColumn id="8" xr3:uid="{3BBA9D2E-4F83-4DEC-838A-D8CE9CA5BB60}" name="220" dataDxfId="229">
      <calculatedColumnFormula>IFERROR(T_LINHA_TRF*(1-DIR_ATUAL22[[#This Row],[QT %]]),"")</calculatedColumnFormula>
    </tableColumn>
    <tableColumn id="18" xr3:uid="{91735A04-787C-4317-86BB-746B729819D0}" name="TEMP2" dataDxfId="228">
      <calculatedColumnFormula>IFERROR(IF(DIR_ATUAL22[[#This Row],[PROTECAO]]="OK","Protecao OK","Ajustar Disj/Condutor"),"")</calculatedColumnFormula>
    </tableColumn>
    <tableColumn id="10" xr3:uid="{D02E06C1-F01C-4F85-9B2C-9DC72473DB68}" name="FASE" dataDxfId="227">
      <calculatedColumnFormula>IF(DIR_ATUAL22[[#This Row],[ETA]]=1,"MONO",IF(DIR_ATUAL22[[#This Row],[ETA]]=2,"BIF","TRI"))</calculatedColumnFormula>
    </tableColumn>
    <tableColumn id="19" xr3:uid="{18A677E5-A2C1-4D25-8BF3-2F6E49DDB777}" name="ETA" dataDxfId="226">
      <calculatedColumnFormula>1</calculatedColumnFormula>
    </tableColumn>
    <tableColumn id="20" xr3:uid="{961A4630-D038-4D56-AD3F-BDED58DE9430}" name="METODO_INST" dataDxfId="225">
      <calculatedColumnFormula>"AEREO"</calculatedColumnFormula>
    </tableColumn>
    <tableColumn id="21" xr3:uid="{73897D6C-B037-430A-9CED-F9F96C798E17}" name="TEMP_AMB" dataDxfId="224">
      <calculatedColumnFormula>30</calculatedColumnFormula>
    </tableColumn>
    <tableColumn id="22" xr3:uid="{B2302CF1-6BF3-444E-B148-1C197A16305B}" name="Ib" dataDxfId="223">
      <calculatedColumnFormula>IFERROR(IF(DIR_ATUAL22[[#This Row],[FASE]]="MONO",DIR_ATUAL22[[#This Row],[ACUMULADA]]*1000/(T_LINHA_TRF*DIR_ATUAL22[[#This Row],[ETA]]),DIR_ATUAL22[[#This Row],[ACUMULADA]]*1000/(SQRT(3)*$R$7*DIR_ATUAL22[[#This Row],[ETA]])),"")</calculatedColumnFormula>
    </tableColumn>
    <tableColumn id="23" xr3:uid="{4BD54C8C-F588-492D-8852-D86C0BFF7F81}" name="In" dataDxfId="222">
      <calculatedColumnFormula>IFERROR(VLOOKUP(DIR_ATUAL22[[#This Row],[Ib]],TabelaDisjuntores[],2,TRUE),"")</calculatedColumnFormula>
    </tableColumn>
    <tableColumn id="24" xr3:uid="{CFBF3FA5-2EC6-42C1-81A3-25BD1B90AD93}" name="Iz" dataDxfId="221">
      <calculatedColumnFormula>IFERROR(VLOOKUP(DIR_ATUAL22[[#This Row],[CONDUTOR]],CABOS[],2,0),"")</calculatedColumnFormula>
    </tableColumn>
    <tableColumn id="25" xr3:uid="{B72DCD4A-4212-48DA-AA2F-172330BD7A77}" name="PROTECAO" dataDxfId="220">
      <calculatedColumnFormula>IF(AND(DIR_ATUAL22[[#This Row],[Ib]]&lt;=DIR_ATUAL22[[#This Row],[In]],DIR_ATUAL22[[#This Row],[In]]&lt;=DIR_ATUAL22[[#This Row],[Iz]]),"OK","VERIFICAR")</calculatedColumnFormula>
    </tableColumn>
    <tableColumn id="26" xr3:uid="{F27D0CF6-0571-470D-B3F6-609256ADD366}" name="Coluna2" dataDxfId="219">
      <calculatedColumnFormula>IFERROR(SQRT((DIR_ATUAL22[[#This Row],[X]]-$AF$4)^2+(DIR_ATUAL22[[#This Row],[Y]]-$AF$5)^2),0)</calculatedColumnFormula>
    </tableColumn>
    <tableColumn id="27" xr3:uid="{5A503619-9E46-474D-9E48-301DF61651A5}" name="ETA2" dataDxfId="218">
      <calculatedColumnFormula>IFERROR(VLOOKUP(DIR_ATUAL22[[#This Row],[CONDUTOR]],CONDUTORES,2,0),"")</calculatedColumnFormula>
    </tableColumn>
  </tableColumns>
  <tableStyleInfo name="TableStyleLight1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2787C10-8DF5-465E-B210-843C9801552B}" name="DIR_ATUAL2224" displayName="DIR_ATUAL2224" ref="B7:AC25" totalsRowShown="0" headerRowDxfId="217" dataDxfId="216">
  <autoFilter ref="B7:AC25" xr:uid="{00000000-0009-0000-0100-00000B000000}"/>
  <tableColumns count="28">
    <tableColumn id="1" xr3:uid="{E1A261DE-FF05-429F-AB63-5A8AD6D192F6}" name="PONTO" dataDxfId="215"/>
    <tableColumn id="2" xr3:uid="{58F044C6-DA99-493D-8A72-F6A117817C0C}" name="TRECHO" dataDxfId="214">
      <calculatedColumnFormula>IFERROR(IF(DIR_ATUAL2224[[#This Row],[PONTO]]="RAMAL",B7,VLOOKUP(DIR_ATUAL2224[[#This Row],[PONTO]],GERAL[],2,0)),"")</calculatedColumnFormula>
    </tableColumn>
    <tableColumn id="3" xr3:uid="{D923495F-44B6-4307-B688-D597A21737A5}" name="M" dataDxfId="213">
      <calculatedColumnFormula>IFERROR(IF(DIR_ATUAL2224[[#This Row],[PONTO]]="RAMAL",15,VLOOKUP(DIR_ATUAL2224[[#This Row],[PONTO]],GERAL[],3,0)),"")</calculatedColumnFormula>
    </tableColumn>
    <tableColumn id="28" xr3:uid="{CF44D315-F5F7-4256-8118-B3C2B45B1328}" name="Coluna3" dataDxfId="212">
      <calculatedColumnFormula>IFERROR(IF(DIR_ATUAL2224[[#This Row],[PONTO]]="RAMAL","",VLOOKUP(DIR_ATUAL2224[[#This Row],[PONTO]],GERAL[],7,0)),"")</calculatedColumnFormula>
    </tableColumn>
    <tableColumn id="4" xr3:uid="{31E3F101-637D-497F-9D98-AD7E3CB598DD}" name="X" dataDxfId="211">
      <calculatedColumnFormula>IFERROR(IF(DIR_ATUAL2224[[#This Row],[PONTO]]="RAMAL","",VLOOKUP(DIR_ATUAL2224[[#This Row],[PONTO]],GERAL[],4,0)),"")</calculatedColumnFormula>
    </tableColumn>
    <tableColumn id="5" xr3:uid="{06E9DFA8-21D7-4A34-8DAC-0907DC12D2BD}" name="Y" dataDxfId="210">
      <calculatedColumnFormula>IFERROR(IF(DIR_ATUAL2224[[#This Row],[PONTO]]="RAMAL","",VLOOKUP(DIR_ATUAL2224[[#This Row],[PONTO]],GERAL[],5,0)),"")</calculatedColumnFormula>
    </tableColumn>
    <tableColumn id="6" xr3:uid="{B545162B-CC25-4265-AF5C-846892000FCC}" name="KVA PONTO" dataDxfId="209">
      <calculatedColumnFormula>IFERROR(IF(DIR_ATUAL2224[[#This Row],[PONTO]]="RAMAL",DMDI,VLOOKUP(DIR_ATUAL2224[[#This Row],[PONTO]],GERAL[],8,0)),"")</calculatedColumnFormula>
    </tableColumn>
    <tableColumn id="7" xr3:uid="{540133D2-B766-44E7-AFD1-56538E3CADFE}" name="ACUMULADA" dataDxfId="208">
      <calculatedColumnFormula>IFERROR(IF(DIR_ATUAL2224[[#This Row],[PONTO]]="RAMAL",DIR_ATUAL2224[[#This Row],[KVA PONTO]],VLOOKUP(DIR_ATUAL2224[[#This Row],[PONTO]],GERAL[],9,0)),"")</calculatedColumnFormula>
    </tableColumn>
    <tableColumn id="9" xr3:uid="{0DE346CC-DE81-40E9-BAB7-09DC4560B2DF}" name="CONDUTOR" dataDxfId="207">
      <calculatedColumnFormula>IFERROR(VLOOKUP(DIR_ATUAL2224[[#This Row],[PONTO]],GERAL[],12,0),"")</calculatedColumnFormula>
    </tableColumn>
    <tableColumn id="11" xr3:uid="{10D0334A-0FE2-41E2-B216-BAB0A803A46F}" name="(A)" dataDxfId="206">
      <calculatedColumnFormula>IFERROR(DIR_ATUAL2224[[#This Row],[Ib]],"")</calculatedColumnFormula>
    </tableColumn>
    <tableColumn id="13" xr3:uid="{60EBBF1B-52D4-4D18-8404-25143FB5CE32}" name="T" dataDxfId="205">
      <calculatedColumnFormula>IFERROR(IFERROR(DIR_ATUAL2224[[#This Row],[ACUMULADA]]/((IF(DIR_ATUAL2224[[#This Row],[FASE]]="MONO",T_LINHA_MONO,IF(DIR_ATUAL2224[[#This Row],[FASE]]="BIF",T_LINHA_TRF,T_LINHA_TRF*SQRT(3)))/1000)*VLOOKUP(DIR_ATUAL2224[[#This Row],[CONDUTOR]],CABOS[],9,0))+30,W8+60*(X8/Z8)),"")</calculatedColumnFormula>
    </tableColumn>
    <tableColumn id="14" xr3:uid="{D7492B27-18DA-4A1C-8E6A-555EE861ED8E}" name="R CORR" dataDxfId="204">
      <calculatedColumnFormula>IFERROR((VLOOKUP(DIR_ATUAL2224[[#This Row],[CONDUTOR]],CABOS[],3,0)/VLOOKUP(DIR_ATUAL2224[[#This Row],[CONDUTOR]],CABOS[],6,0))*(1+VLOOKUP(DIR_ATUAL2224[[#This Row],[CONDUTOR]],CABOS[],5,0)*(DIR_ATUAL2224[[#This Row],[T]]-20)),"")</calculatedColumnFormula>
    </tableColumn>
    <tableColumn id="12" xr3:uid="{96CFBA80-6953-4AD2-A642-5D96BEAB0F43}" name="QT-PONTO" dataDxfId="203">
      <calculatedColumnFormula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calculatedColumnFormula>
    </tableColumn>
    <tableColumn id="15" xr3:uid="{2FD62942-6522-408B-9706-7DEE924C9A15}" name="Coluna1" dataDxfId="202" dataCellStyle="Porcentagem">
      <calculatedColumnFormula>IF(DIR_ATUAL2224[[#This Row],[PONTO]]="","",IFERROR(SUMIF(DIR_ATUAL2224[PONTO],DIR_ATUAL2224[[#This Row],[TRECHO]],DIR_ATUAL2224[Coluna1])+DIR_ATUAL2224[[#This Row],[QT-PONTO]],""))</calculatedColumnFormula>
    </tableColumn>
    <tableColumn id="16" xr3:uid="{5746C75B-B342-4BF1-83E6-0DE6C49FF5F4}" name="QT %" dataDxfId="201" dataCellStyle="Porcentagem">
      <calculatedColumnFormula>IFERROR(DIR_ATUAL2224[[#This Row],[Coluna1]]/T_LINHA_MONO,"")</calculatedColumnFormula>
    </tableColumn>
    <tableColumn id="17" xr3:uid="{88E929A1-0394-4290-B293-B271AAC46518}" name="127" dataDxfId="200">
      <calculatedColumnFormula>IFERROR(T_LINHA_MONO*(1-DIR_ATUAL2224[[#This Row],[QT %]]),"")</calculatedColumnFormula>
    </tableColumn>
    <tableColumn id="8" xr3:uid="{9BBBF843-955B-4914-B88F-7985EB319AB1}" name="220" dataDxfId="199">
      <calculatedColumnFormula>IFERROR(T_LINHA_TRF*(1-DIR_ATUAL2224[[#This Row],[QT %]]),"")</calculatedColumnFormula>
    </tableColumn>
    <tableColumn id="18" xr3:uid="{61A55E67-C8E8-495A-AAC0-5D39751A686D}" name="TEMP2" dataDxfId="198">
      <calculatedColumnFormula>IFERROR(IF(DIR_ATUAL2224[[#This Row],[PROTECAO]]="OK","Protecao OK","Ajustar Disj/Condutor"),"")</calculatedColumnFormula>
    </tableColumn>
    <tableColumn id="10" xr3:uid="{15AAA9F6-6211-4842-A290-96AAA2BB0300}" name="FASE" dataDxfId="197">
      <calculatedColumnFormula>IF(DIR_ATUAL2224[[#This Row],[ETA]]=1,"MONO",IF(DIR_ATUAL2224[[#This Row],[ETA]]=2,"BIF","TRI"))</calculatedColumnFormula>
    </tableColumn>
    <tableColumn id="19" xr3:uid="{DD2FE759-3447-4002-9BFC-A932052D61F3}" name="ETA" dataDxfId="196">
      <calculatedColumnFormula>1</calculatedColumnFormula>
    </tableColumn>
    <tableColumn id="20" xr3:uid="{3BEDB305-35FA-4ADD-8D52-847F4F2AFA90}" name="METODO_INST" dataDxfId="195">
      <calculatedColumnFormula>"AEREO"</calculatedColumnFormula>
    </tableColumn>
    <tableColumn id="21" xr3:uid="{AE4F3433-A960-467B-89DB-88D258C41764}" name="TEMP_AMB" dataDxfId="194">
      <calculatedColumnFormula>30</calculatedColumnFormula>
    </tableColumn>
    <tableColumn id="22" xr3:uid="{3601F4B8-E972-4657-BE7E-B3C3FC4E965F}" name="Ib" dataDxfId="193">
      <calculatedColumnFormula>IFERROR(IF(DIR_ATUAL2224[[#This Row],[FASE]]="MONO",DIR_ATUAL2224[[#This Row],[ACUMULADA]]*1000/(T_LINHA_TRF*DIR_ATUAL2224[[#This Row],[ETA]]),DIR_ATUAL2224[[#This Row],[ACUMULADA]]*1000/(SQRT(3)*$R$7*DIR_ATUAL2224[[#This Row],[ETA]])),"")</calculatedColumnFormula>
    </tableColumn>
    <tableColumn id="23" xr3:uid="{27707DCD-C1D2-48BE-8F14-466458F7BF20}" name="In" dataDxfId="192">
      <calculatedColumnFormula>IFERROR(VLOOKUP(DIR_ATUAL2224[[#This Row],[Ib]],TabelaDisjuntores[],2,TRUE),"")</calculatedColumnFormula>
    </tableColumn>
    <tableColumn id="24" xr3:uid="{CC241DD1-1AA9-498E-85F7-0EB4E84C9752}" name="Iz" dataDxfId="191">
      <calculatedColumnFormula>IFERROR(VLOOKUP(DIR_ATUAL2224[[#This Row],[CONDUTOR]],CABOS[],2,0),"")</calculatedColumnFormula>
    </tableColumn>
    <tableColumn id="25" xr3:uid="{E0B5A52C-0963-4B32-AB17-EE28C007FBE6}" name="PROTECAO" dataDxfId="190">
      <calculatedColumnFormula>IF(AND(DIR_ATUAL2224[[#This Row],[Ib]]&lt;=DIR_ATUAL2224[[#This Row],[In]],DIR_ATUAL2224[[#This Row],[In]]&lt;=DIR_ATUAL2224[[#This Row],[Iz]]),"OK","VERIFICAR")</calculatedColumnFormula>
    </tableColumn>
    <tableColumn id="26" xr3:uid="{E4632A91-6352-4CB3-B863-A665D60591E4}" name="Coluna2" dataDxfId="189">
      <calculatedColumnFormula>IFERROR(SQRT((DIR_ATUAL2224[[#This Row],[X]]-$AF$4)^2+(DIR_ATUAL2224[[#This Row],[Y]]-$AF$5)^2),0)</calculatedColumnFormula>
    </tableColumn>
    <tableColumn id="27" xr3:uid="{F4BE5C28-3D98-42A8-85BE-12A6F640C68A}" name="ETA2" dataDxfId="188">
      <calculatedColumnFormula>IFERROR(VLOOKUP(DIR_ATUAL2224[[#This Row],[CONDUTOR]],CONDUTORES,2,0),"")</calculatedColumnFormula>
    </tableColumn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ERAL_PROJ" displayName="GERAL_PROJ" ref="A8:M51" totalsRowShown="0" headerRowDxfId="187" tableBorderDxfId="186">
  <autoFilter ref="A8:M51" xr:uid="{00000000-0009-0000-0100-00000C000000}">
    <filterColumn colId="12">
      <filters blank="1">
        <filter val="117,24"/>
        <filter val="117,28"/>
        <filter val="117,40"/>
        <filter val="117,49"/>
        <filter val="117,52"/>
        <filter val="117,89"/>
        <filter val="118,14"/>
        <filter val="118,47"/>
        <filter val="118,86"/>
        <filter val="119,14"/>
        <filter val="119,33"/>
        <filter val="119,86"/>
        <filter val="120,04"/>
        <filter val="120,34"/>
        <filter val="120,87"/>
      </filters>
    </filterColumn>
  </autoFilter>
  <tableColumns count="13">
    <tableColumn id="1" xr3:uid="{00000000-0010-0000-0B00-000001000000}" name="PONTO" dataDxfId="185"/>
    <tableColumn id="11" xr3:uid="{00000000-0010-0000-0B00-00000B000000}" name="TRECHO" dataDxfId="184"/>
    <tableColumn id="12" xr3:uid="{00000000-0010-0000-0B00-00000C000000}" name="M" dataDxfId="183">
      <calculatedColumnFormula>IFERROR(IF(GERAL_PROJ[[#This Row],[LADO]]="TRAFO",4,ROUNDDOWN(SQRT((VLOOKUP(GERAL_PROJ[[#This Row],[TRECHO]],Tabela13[],2,0)-GERAL_PROJ[[#This Row],[X]])^2+(VLOOKUP(GERAL_PROJ[[#This Row],[TRECHO]],Tabela13[],3,0)-GERAL_PROJ[[#This Row],[Y]])^2),0)),"")</calculatedColumnFormula>
    </tableColumn>
    <tableColumn id="2" xr3:uid="{00000000-0010-0000-0B00-000002000000}" name="X" dataDxfId="182">
      <calculatedColumnFormula>IFERROR(VLOOKUP(GERAL_PROJ[[#This Row],[PONTO]],Tabela13[],2,0),"")</calculatedColumnFormula>
    </tableColumn>
    <tableColumn id="3" xr3:uid="{00000000-0010-0000-0B00-000003000000}" name="Y" dataDxfId="181">
      <calculatedColumnFormula>IFERROR(VLOOKUP(GERAL_PROJ[[#This Row],[PONTO]],Tabela13[],3,0),"")</calculatedColumnFormula>
    </tableColumn>
    <tableColumn id="4" xr3:uid="{00000000-0010-0000-0B00-000004000000}" name="CLIENTES" dataDxfId="180">
      <calculatedColumnFormula>IFERROR(VLOOKUP(GERAL_PROJ[[#This Row],[PONTO]],RAMAIS_ATUAL,24,0),"")</calculatedColumnFormula>
    </tableColumn>
    <tableColumn id="10" xr3:uid="{00000000-0010-0000-0B00-00000A000000}" name="CLT ACUMULADO" dataDxfId="179">
      <calculatedColumnFormula>IFERROR(SUMIF(GERAL_PROJ[TRECHO],GERAL_PROJ[[#This Row],[PONTO]],GERAL_PROJ[CLT ACUMULADO])+GERAL_PROJ[[#This Row],[CLIENTES]],"")</calculatedColumnFormula>
    </tableColumn>
    <tableColumn id="5" xr3:uid="{00000000-0010-0000-0B00-000005000000}" name="TOTAL DO TRECHO" dataDxfId="178">
      <calculatedColumnFormula>IFERROR(VLOOKUP(GERAL_PROJ[[#This Row],[PONTO]],RAMAIS_ATUAL,IF($I$2="SIM",25,23),0),"")</calculatedColumnFormula>
    </tableColumn>
    <tableColumn id="9" xr3:uid="{00000000-0010-0000-0B00-000009000000}" name="ACUMULADA" dataDxfId="177">
      <calculatedColumnFormula>IFERROR(IF(TRIM(UPPER($I$2))="SIM",
      VLOOKUP(GERAL_PROJ[[#This Row],[CLT ACUMULADO]],AUX_CLAN,4,FALSE)/IF($L$6="SIM",0.85,1),
      SUMIF(GERAL_PROJ[TRECHO],GERAL_PROJ[[#This Row],[PONTO]],GERAL_PROJ[ACUMULADA])+GERAL_PROJ[[#This Row],[TOTAL DO TRECHO]])/IF($L$6="SIM",0.85,1),
"")</calculatedColumnFormula>
    </tableColumn>
    <tableColumn id="6" xr3:uid="{00000000-0010-0000-0B00-000006000000}" name="SNAP" dataDxfId="176">
      <calculatedColumnFormula>IFERROR(SQRT((GERAL_PROJ[[#This Row],[X]]-$P$11)^2+(GERAL_PROJ[[#This Row],[Y]]-$P$12)^2),"")</calculatedColumnFormula>
    </tableColumn>
    <tableColumn id="13" xr3:uid="{00000000-0010-0000-0B00-00000D000000}" name="LADO" dataDxfId="175"/>
    <tableColumn id="8" xr3:uid="{00000000-0010-0000-0B00-000008000000}" name="CONDUTOR" dataDxfId="174"/>
    <tableColumn id="7" xr3:uid="{00000000-0010-0000-0B00-000007000000}" name="CQT NO PONTO" dataDxfId="173" dataCellStyle="Porcentagem">
      <calculatedColumnFormula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calculatedColumnFormula>
    </tableColumn>
  </tableColumns>
  <tableStyleInfo name="TableStyleLight16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1C61EC2-F3BD-4672-A3CE-CB0E0B15FF94}" name="Tabela1620" displayName="Tabela1620" ref="Q9:R15" totalsRowShown="0" headerRowDxfId="172" dataDxfId="171">
  <autoFilter ref="Q9:R15" xr:uid="{A1C61EC2-F3BD-4672-A3CE-CB0E0B15FF94}"/>
  <tableColumns count="2">
    <tableColumn id="1" xr3:uid="{E60F16CC-330B-4BAD-9321-180AF6054B84}" name="TRAFO" dataDxfId="170"/>
    <tableColumn id="2" xr3:uid="{96EC0E41-69F9-416D-9C75-DE4B7E83D3D5}" name="LEAD / TAQUEAMENTO" dataDxfId="169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53D76B11-02CA-430D-A40F-D185EF5DB935}" name="Tabela1821" displayName="Tabela1821" ref="Q17:R23" totalsRowShown="0" headerRowDxfId="168" dataDxfId="167">
  <autoFilter ref="Q17:R23" xr:uid="{53D76B11-02CA-430D-A40F-D185EF5DB935}"/>
  <tableColumns count="2">
    <tableColumn id="1" xr3:uid="{7C429ADF-CE7A-4701-871D-EC612CB5E325}" name="TRONCO" dataDxfId="166"/>
    <tableColumn id="2" xr3:uid="{65A7B2FC-33D6-46C8-96EE-C8CD470FBC17}" name="CONDUTOR" dataDxfId="16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ESQ_PROJ1" displayName="ESQ_PROJ1" ref="B7:AC23" totalsRowShown="0" headerRowDxfId="164" dataDxfId="163">
  <autoFilter ref="B7:AC23" xr:uid="{00000000-0009-0000-0100-00000D000000}"/>
  <tableColumns count="28">
    <tableColumn id="1" xr3:uid="{00000000-0010-0000-0C00-000001000000}" name="PONTO" dataDxfId="162"/>
    <tableColumn id="2" xr3:uid="{00000000-0010-0000-0C00-000002000000}" name="TRECHO" dataDxfId="161">
      <calculatedColumnFormula>IFERROR(IF(ESQ_PROJ1[[#This Row],[PONTO]]="RAMAL",B7,VLOOKUP(ESQ_PROJ1[[#This Row],[PONTO]],GERAL_PROJ[],2,0)),"")</calculatedColumnFormula>
    </tableColumn>
    <tableColumn id="3" xr3:uid="{00000000-0010-0000-0C00-000003000000}" name="M" dataDxfId="160">
      <calculatedColumnFormula>IFERROR(IF(ESQ_PROJ1[[#This Row],[PONTO]]="RAMAL",15,VLOOKUP(ESQ_PROJ1[[#This Row],[PONTO]],GERAL_PROJ[],3,0)),"")</calculatedColumnFormula>
    </tableColumn>
    <tableColumn id="28" xr3:uid="{F9B1D9D9-7B31-4355-BF4F-ACA723F1945F}" name="Coluna3" dataDxfId="159">
      <calculatedColumnFormula>IFERROR(IF(ESQ_PROJ1[[#This Row],[PONTO]]="RAMAL","",VLOOKUP(ESQ_PROJ1[[#This Row],[PONTO]],GERAL[],7,0)),"")</calculatedColumnFormula>
    </tableColumn>
    <tableColumn id="4" xr3:uid="{00000000-0010-0000-0C00-000004000000}" name="X" dataDxfId="158">
      <calculatedColumnFormula>IFERROR(IF(ESQ_PROJ1[[#This Row],[PONTO]]="RAMAL","",VLOOKUP(ESQ_PROJ1[[#This Row],[PONTO]],GERAL_PROJ[],4,0)),"")</calculatedColumnFormula>
    </tableColumn>
    <tableColumn id="5" xr3:uid="{00000000-0010-0000-0C00-000005000000}" name="Y" dataDxfId="157">
      <calculatedColumnFormula>IFERROR(IF(ESQ_PROJ1[[#This Row],[PONTO]]="RAMAL","",VLOOKUP(ESQ_PROJ1[[#This Row],[PONTO]],GERAL_PROJ[],5,0)),"")</calculatedColumnFormula>
    </tableColumn>
    <tableColumn id="6" xr3:uid="{00000000-0010-0000-0C00-000006000000}" name="KVA PONTO" dataDxfId="156">
      <calculatedColumnFormula>IFERROR(IF(ESQ_PROJ1[[#This Row],[PONTO]]="RAMAL",DMDI,VLOOKUP(ESQ_PROJ1[[#This Row],[PONTO]],GERAL_PROJ[],8,0)),"")</calculatedColumnFormula>
    </tableColumn>
    <tableColumn id="7" xr3:uid="{00000000-0010-0000-0C00-000007000000}" name="ACUMULADA" dataDxfId="155">
      <calculatedColumnFormula>IFERROR(IF(ESQ_PROJ1[[#This Row],[PONTO]]="RAMAL",ESQ_PROJ1[[#This Row],[KVA PONTO]],VLOOKUP(ESQ_PROJ1[[#This Row],[PONTO]],GERAL_PROJ[],9,0)),"")</calculatedColumnFormula>
    </tableColumn>
    <tableColumn id="9" xr3:uid="{00000000-0010-0000-0C00-000009000000}" name="CONDUTOR" dataDxfId="154">
      <calculatedColumnFormula>IFERROR(VLOOKUP(ESQ_PROJ1[[#This Row],[PONTO]],GERAL_PROJ[],12,0),"")</calculatedColumnFormula>
    </tableColumn>
    <tableColumn id="11" xr3:uid="{00000000-0010-0000-0C00-00000B000000}" name="(A)" dataDxfId="153">
      <calculatedColumnFormula>IFERROR(ESQ_PROJ1[[#This Row],[Ib]],"")</calculatedColumnFormula>
    </tableColumn>
    <tableColumn id="13" xr3:uid="{00000000-0010-0000-0C00-00000D000000}" name="T" dataDxfId="152">
      <calculatedColumnFormula>IFERROR(IFERROR(ESQ_PROJ1[[#This Row],[ACUMULADA]]/((IF(ESQ_PROJ1[[#This Row],[FASE]]="MONO",T_LINHA_MONO,IF(ESQ_PROJ1[[#This Row],[FASE]]="BIF",T_LINHA_TRF,T_LINHA_TRF*SQRT(3)))/1000)*VLOOKUP(ESQ_PROJ1[[#This Row],[CONDUTOR]],CABOS[],9,0))+30,W8+60*(X8/Z8)),"")</calculatedColumnFormula>
    </tableColumn>
    <tableColumn id="14" xr3:uid="{00000000-0010-0000-0C00-00000E000000}" name="R CORR" dataDxfId="151">
      <calculatedColumnFormula>IFERROR((VLOOKUP(ESQ_PROJ1[[#This Row],[CONDUTOR]],CABOS[],3,0)/VLOOKUP(ESQ_PROJ1[[#This Row],[CONDUTOR]],CABOS[],6,0))*(1+VLOOKUP(ESQ_PROJ1[[#This Row],[CONDUTOR]],CABOS[],5,0)*(ESQ_PROJ1[[#This Row],[T]]-20)),"")</calculatedColumnFormula>
    </tableColumn>
    <tableColumn id="12" xr3:uid="{00000000-0010-0000-0C00-00000C000000}" name="QT-PONTO" dataDxfId="150">
      <calculatedColumnFormula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calculatedColumnFormula>
    </tableColumn>
    <tableColumn id="15" xr3:uid="{00000000-0010-0000-0C00-00000F000000}" name="Coluna1" dataDxfId="149" dataCellStyle="Porcentagem">
      <calculatedColumnFormula>IF(ESQ_PROJ1[[#This Row],[PONTO]]="","",IFERROR(SUMIF(ESQ_PROJ1[PONTO],ESQ_PROJ1[[#This Row],[TRECHO]],ESQ_PROJ1[Coluna1])+ESQ_PROJ1[[#This Row],[QT-PONTO]],""))</calculatedColumnFormula>
    </tableColumn>
    <tableColumn id="16" xr3:uid="{00000000-0010-0000-0C00-000010000000}" name="QT %" dataDxfId="148">
      <calculatedColumnFormula>ESQ_PROJ1[[#This Row],[Coluna1]]/127</calculatedColumnFormula>
    </tableColumn>
    <tableColumn id="17" xr3:uid="{00000000-0010-0000-0C00-000011000000}" name="127" dataDxfId="147">
      <calculatedColumnFormula>127-(127*ESQ_PROJ1[[#This Row],[QT %]])</calculatedColumnFormula>
    </tableColumn>
    <tableColumn id="8" xr3:uid="{00000000-0010-0000-0C00-000008000000}" name="220" dataDxfId="146">
      <calculatedColumnFormula>220-(220*ESQ_PROJ1[[#This Row],[QT %]])</calculatedColumnFormula>
    </tableColumn>
    <tableColumn id="18" xr3:uid="{00000000-0010-0000-0C00-000012000000}" name="TEMP2" dataDxfId="145">
      <calculatedColumnFormula>IF(ESQ_PROJ1[[#This Row],[PROTECAO]]="OK","Protecao OK","Ajustar Disj/Condutor")</calculatedColumnFormula>
    </tableColumn>
    <tableColumn id="10" xr3:uid="{00000000-0010-0000-0C00-00000A000000}" name="FASE" dataDxfId="144">
      <calculatedColumnFormula>"TRI"</calculatedColumnFormula>
    </tableColumn>
    <tableColumn id="19" xr3:uid="{00000000-0010-0000-0C00-000013000000}" name="ETA" dataDxfId="143">
      <calculatedColumnFormula>1</calculatedColumnFormula>
    </tableColumn>
    <tableColumn id="20" xr3:uid="{00000000-0010-0000-0C00-000014000000}" name="METODO_INST" dataDxfId="142">
      <calculatedColumnFormula>"AEREO"</calculatedColumnFormula>
    </tableColumn>
    <tableColumn id="21" xr3:uid="{00000000-0010-0000-0C00-000015000000}" name="TEMP_AMB" dataDxfId="141">
      <calculatedColumnFormula>30</calculatedColumnFormula>
    </tableColumn>
    <tableColumn id="22" xr3:uid="{00000000-0010-0000-0C00-000016000000}" name="Ib" dataDxfId="140">
      <calculatedColumnFormula>IF(ESQ_PROJ1[[#This Row],[FASE]]="MONO",ESQ_PROJ1[[#This Row],[ACUMULADA]]*1000/(220*ESQ_PROJ1[[#This Row],[ETA]]),ESQ_PROJ1[[#This Row],[ACUMULADA]]*1000/(SQRT(3)*$R$7*ESQ_PROJ1[[#This Row],[ETA]]))</calculatedColumnFormula>
    </tableColumn>
    <tableColumn id="23" xr3:uid="{00000000-0010-0000-0C00-000017000000}" name="In" dataDxfId="139">
      <calculatedColumnFormula>VLOOKUP(ESQ_PROJ1[[#This Row],[Ib]],TabelaDisjuntores[],2,TRUE)</calculatedColumnFormula>
    </tableColumn>
    <tableColumn id="24" xr3:uid="{00000000-0010-0000-0C00-000018000000}" name="Iz" dataDxfId="138">
      <calculatedColumnFormula>VLOOKUP(ESQ_PROJ1[[#This Row],[CONDUTOR]],CABOS[],2,0)</calculatedColumnFormula>
    </tableColumn>
    <tableColumn id="25" xr3:uid="{00000000-0010-0000-0C00-000019000000}" name="PROTECAO" dataDxfId="137">
      <calculatedColumnFormula>IF(AND(ESQ_PROJ1[[#This Row],[Ib]]&lt;=ESQ_PROJ1[[#This Row],[In]],ESQ_PROJ1[[#This Row],[In]]&lt;=ESQ_PROJ1[[#This Row],[Iz]]),"OK","VERIFICAR")</calculatedColumnFormula>
    </tableColumn>
    <tableColumn id="26" xr3:uid="{00000000-0010-0000-0C00-00001A000000}" name="Coluna2" dataDxfId="136">
      <calculatedColumnFormula>IFERROR(SQRT((ESQ_PROJ1[[#This Row],[X]]-$AF$4)^2+(ESQ_PROJ1[[#This Row],[Y]]-$AF$5)^2),0)</calculatedColumnFormula>
    </tableColumn>
    <tableColumn id="27" xr3:uid="{BE6A254E-4519-4384-81EF-F144B432234E}" name="ETA2" dataDxfId="135">
      <calculatedColumnFormula>IF(ESQ_PROJ1[[#This Row],[CONDUTOR]]="","",VLOOKUP(ESQ_PROJ1[[#This Row],[CONDUTOR]],CONDUTORES,2,0))</calculatedColumnFormula>
    </tableColumn>
  </tableColumns>
  <tableStyleInfo name="TableStyleLight16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ela71020" displayName="Tabela71020" ref="B7:AC23" totalsRowShown="0" headerRowDxfId="134" dataDxfId="133">
  <autoFilter ref="B7:AC23" xr:uid="{00000000-0009-0000-0100-00000E000000}"/>
  <tableColumns count="28">
    <tableColumn id="1" xr3:uid="{00000000-0010-0000-0D00-000001000000}" name="PONTO" dataDxfId="132"/>
    <tableColumn id="2" xr3:uid="{00000000-0010-0000-0D00-000002000000}" name="TRECHO" dataDxfId="131">
      <calculatedColumnFormula>IFERROR(IF(Tabela71020[[#This Row],[PONTO]]="RAMAL",B7,VLOOKUP(Tabela71020[[#This Row],[PONTO]],GERAL_PROJ[],2,0)),"")</calculatedColumnFormula>
    </tableColumn>
    <tableColumn id="3" xr3:uid="{00000000-0010-0000-0D00-000003000000}" name="M" dataDxfId="130">
      <calculatedColumnFormula>IFERROR(IF(Tabela71020[[#This Row],[PONTO]]="RAMAL",15,VLOOKUP(Tabela71020[[#This Row],[PONTO]],GERAL_PROJ[],3,0)),"")</calculatedColumnFormula>
    </tableColumn>
    <tableColumn id="28" xr3:uid="{EFDD0BDE-F2E9-4805-966B-EAF3E8C85FF5}" name="Coluna3" dataDxfId="129">
      <calculatedColumnFormula>IFERROR(IF(Tabela71020[[#This Row],[PONTO]]="RAMAL","",VLOOKUP(Tabela71020[[#This Row],[PONTO]],GERAL[],7,0)),"")</calculatedColumnFormula>
    </tableColumn>
    <tableColumn id="4" xr3:uid="{00000000-0010-0000-0D00-000004000000}" name="X" dataDxfId="128">
      <calculatedColumnFormula>IFERROR(IF(Tabela71020[[#This Row],[PONTO]]="RAMAL","",VLOOKUP(Tabela71020[[#This Row],[PONTO]],GERAL_PROJ[],4,0)),"")</calculatedColumnFormula>
    </tableColumn>
    <tableColumn id="5" xr3:uid="{00000000-0010-0000-0D00-000005000000}" name="Y" dataDxfId="127">
      <calculatedColumnFormula>IFERROR(IF(Tabela71020[[#This Row],[PONTO]]="RAMAL","",VLOOKUP(Tabela71020[[#This Row],[PONTO]],GERAL_PROJ[],5,0)),"")</calculatedColumnFormula>
    </tableColumn>
    <tableColumn id="6" xr3:uid="{00000000-0010-0000-0D00-000006000000}" name="KVA PONTO" dataDxfId="126">
      <calculatedColumnFormula>IFERROR(IF(Tabela71020[[#This Row],[PONTO]]="RAMAL",DMDI,VLOOKUP(Tabela71020[[#This Row],[PONTO]],GERAL_PROJ[],8,0)),"")</calculatedColumnFormula>
    </tableColumn>
    <tableColumn id="7" xr3:uid="{00000000-0010-0000-0D00-000007000000}" name="ACUMULADA" dataDxfId="125">
      <calculatedColumnFormula>IFERROR(IF(Tabela71020[[#This Row],[PONTO]]="RAMAL",Tabela71020[[#This Row],[KVA PONTO]],VLOOKUP(Tabela71020[[#This Row],[PONTO]],GERAL_PROJ[],9,0)),"")</calculatedColumnFormula>
    </tableColumn>
    <tableColumn id="9" xr3:uid="{00000000-0010-0000-0D00-000009000000}" name="CONDUTOR" dataDxfId="124">
      <calculatedColumnFormula>IFERROR(VLOOKUP(Tabela71020[[#This Row],[PONTO]],GERAL_PROJ[],12,0),"")</calculatedColumnFormula>
    </tableColumn>
    <tableColumn id="11" xr3:uid="{00000000-0010-0000-0D00-00000B000000}" name="(A)" dataDxfId="123">
      <calculatedColumnFormula>IFERROR(Tabela71020[[#This Row],[Ib]],"")</calculatedColumnFormula>
    </tableColumn>
    <tableColumn id="13" xr3:uid="{00000000-0010-0000-0D00-00000D000000}" name="T" dataDxfId="122">
      <calculatedColumnFormula>IFERROR(IFERROR(Tabela71020[[#This Row],[ACUMULADA]]/((IF(Tabela71020[[#This Row],[FASE]]="MONO",T_LINHA_MONO,IF(Tabela71020[[#This Row],[FASE]]="BIF",T_LINHA_TRF,T_LINHA_TRF*SQRT(3)))/1000)*VLOOKUP(Tabela71020[[#This Row],[CONDUTOR]],CABOS[],9,0))+30,W8+60*(X8/Z8)),"")</calculatedColumnFormula>
    </tableColumn>
    <tableColumn id="14" xr3:uid="{00000000-0010-0000-0D00-00000E000000}" name="R CORR" dataDxfId="121">
      <calculatedColumnFormula>IFERROR((VLOOKUP(Tabela71020[[#This Row],[CONDUTOR]],CABOS[],3,0)/VLOOKUP(Tabela71020[[#This Row],[CONDUTOR]],CABOS[],6,0))*(1+VLOOKUP(Tabela71020[[#This Row],[CONDUTOR]],CABOS[],5,0)*(Tabela71020[[#This Row],[T]]-20)),"")</calculatedColumnFormula>
    </tableColumn>
    <tableColumn id="12" xr3:uid="{00000000-0010-0000-0D00-00000C000000}" name="QT-PONTO" dataDxfId="120">
      <calculatedColumnFormula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calculatedColumnFormula>
    </tableColumn>
    <tableColumn id="15" xr3:uid="{00000000-0010-0000-0D00-00000F000000}" name="Coluna1" dataDxfId="119" dataCellStyle="Porcentagem">
      <calculatedColumnFormula>IF(Tabela71020[[#This Row],[PONTO]]="","",IFERROR(SUMIF(Tabela71020[PONTO],Tabela71020[[#This Row],[TRECHO]],Tabela71020[Coluna1])+Tabela71020[[#This Row],[QT-PONTO]],""))</calculatedColumnFormula>
    </tableColumn>
    <tableColumn id="16" xr3:uid="{00000000-0010-0000-0D00-000010000000}" name="QT %" dataDxfId="118" dataCellStyle="Porcentagem">
      <calculatedColumnFormula>Tabela71020[[#This Row],[Coluna1]]/127</calculatedColumnFormula>
    </tableColumn>
    <tableColumn id="17" xr3:uid="{00000000-0010-0000-0D00-000011000000}" name="127" dataDxfId="117">
      <calculatedColumnFormula>127-(127*Tabela71020[[#This Row],[QT %]])</calculatedColumnFormula>
    </tableColumn>
    <tableColumn id="8" xr3:uid="{00000000-0010-0000-0D00-000008000000}" name="220" dataDxfId="116">
      <calculatedColumnFormula>220-(220*Tabela71020[[#This Row],[QT %]])</calculatedColumnFormula>
    </tableColumn>
    <tableColumn id="18" xr3:uid="{00000000-0010-0000-0D00-000012000000}" name="TEMP2" dataDxfId="115">
      <calculatedColumnFormula>IF(Tabela71020[[#This Row],[PROTECAO]]="OK","Protecao OK","Ajustar Disj/Condutor")</calculatedColumnFormula>
    </tableColumn>
    <tableColumn id="10" xr3:uid="{00000000-0010-0000-0D00-00000A000000}" name="FASE" dataDxfId="114">
      <calculatedColumnFormula>"TRI"</calculatedColumnFormula>
    </tableColumn>
    <tableColumn id="19" xr3:uid="{00000000-0010-0000-0D00-000013000000}" name="ETA" dataDxfId="113">
      <calculatedColumnFormula>1</calculatedColumnFormula>
    </tableColumn>
    <tableColumn id="20" xr3:uid="{00000000-0010-0000-0D00-000014000000}" name="METODO_INST" dataDxfId="112">
      <calculatedColumnFormula>"AEREO"</calculatedColumnFormula>
    </tableColumn>
    <tableColumn id="21" xr3:uid="{00000000-0010-0000-0D00-000015000000}" name="TEMP_AMB" dataDxfId="111">
      <calculatedColumnFormula>30</calculatedColumnFormula>
    </tableColumn>
    <tableColumn id="22" xr3:uid="{00000000-0010-0000-0D00-000016000000}" name="Ib" dataDxfId="110">
      <calculatedColumnFormula>IF(Tabela71020[[#This Row],[FASE]]="MONO",Tabela71020[[#This Row],[ACUMULADA]]*1000/(220*Tabela71020[[#This Row],[ETA]]),Tabela71020[[#This Row],[ACUMULADA]]*1000/(SQRT(3)*$R$7*Tabela71020[[#This Row],[ETA]]))</calculatedColumnFormula>
    </tableColumn>
    <tableColumn id="23" xr3:uid="{00000000-0010-0000-0D00-000017000000}" name="In" dataDxfId="109">
      <calculatedColumnFormula>VLOOKUP(Tabela71020[[#This Row],[Ib]],TabelaDisjuntores[],2,TRUE)</calculatedColumnFormula>
    </tableColumn>
    <tableColumn id="24" xr3:uid="{00000000-0010-0000-0D00-000018000000}" name="Iz" dataDxfId="108">
      <calculatedColumnFormula>VLOOKUP(Tabela71020[[#This Row],[CONDUTOR]],CABOS[],2,0)</calculatedColumnFormula>
    </tableColumn>
    <tableColumn id="25" xr3:uid="{00000000-0010-0000-0D00-000019000000}" name="PROTECAO" dataDxfId="107">
      <calculatedColumnFormula>IF(AND(Tabela71020[[#This Row],[Ib]]&lt;=Tabela71020[[#This Row],[In]],Tabela71020[[#This Row],[In]]&lt;=Tabela71020[[#This Row],[Iz]]),"OK","VERIFICAR")</calculatedColumnFormula>
    </tableColumn>
    <tableColumn id="26" xr3:uid="{00000000-0010-0000-0D00-00001A000000}" name="Coluna2" dataDxfId="106">
      <calculatedColumnFormula>IFERROR(SQRT((Tabela71020[[#This Row],[X]]-$AF$4)^2+(Tabela71020[[#This Row],[Y]]-$AF$5)^2),0)</calculatedColumnFormula>
    </tableColumn>
    <tableColumn id="27" xr3:uid="{2C0521A7-7435-4FDD-85E6-C14DD7D69335}" name="ETA2" dataDxfId="105">
      <calculatedColumnFormula>IFERROR(IF(Tabela71020[[#This Row],[CONDUTOR]]="","",VLOOKUP(Tabela71020[[#This Row],[CONDUTOR]],CONDUTORES,2,0)),"")</calculatedColumnFormula>
    </tableColumn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GERAL_PROJ2" displayName="GERAL_PROJ2" ref="A8:M51" totalsRowShown="0" headerRowDxfId="104">
  <autoFilter ref="A8:M51" xr:uid="{00000000-0009-0000-0100-00000F000000}"/>
  <tableColumns count="13">
    <tableColumn id="1" xr3:uid="{00000000-0010-0000-0E00-000001000000}" name="PONTO" dataDxfId="103"/>
    <tableColumn id="11" xr3:uid="{00000000-0010-0000-0E00-00000B000000}" name="TRECHO" dataDxfId="102"/>
    <tableColumn id="12" xr3:uid="{00000000-0010-0000-0E00-00000C000000}" name="M" dataDxfId="101">
      <calculatedColumnFormula>IFERROR(IF(GERAL_PROJ2[[#This Row],[LADO]]="TRAFO",4,ROUNDDOWN(SQRT((VLOOKUP(GERAL_PROJ2[[#This Row],[TRECHO]],Tabela13[],2,0)-GERAL_PROJ2[[#This Row],[X]])^2+(VLOOKUP(GERAL_PROJ2[[#This Row],[TRECHO]],Tabela13[],3,0)-GERAL_PROJ2[[#This Row],[Y]])^2),0)),"")</calculatedColumnFormula>
    </tableColumn>
    <tableColumn id="2" xr3:uid="{00000000-0010-0000-0E00-000002000000}" name="X" dataDxfId="100">
      <calculatedColumnFormula>IFERROR(VLOOKUP(GERAL_PROJ2[[#This Row],[PONTO]],Tabela13[],2,0),"")</calculatedColumnFormula>
    </tableColumn>
    <tableColumn id="3" xr3:uid="{00000000-0010-0000-0E00-000003000000}" name="Y" dataDxfId="99">
      <calculatedColumnFormula>IFERROR(VLOOKUP(GERAL_PROJ2[[#This Row],[PONTO]],Tabela13[],3,0),"")</calculatedColumnFormula>
    </tableColumn>
    <tableColumn id="4" xr3:uid="{00000000-0010-0000-0E00-000004000000}" name="CLIENTES" dataDxfId="98">
      <calculatedColumnFormula>IFERROR(VLOOKUP(GERAL_PROJ2[[#This Row],[PONTO]],RAMAIS_ATUAL,24,0),"")</calculatedColumnFormula>
    </tableColumn>
    <tableColumn id="10" xr3:uid="{00000000-0010-0000-0E00-00000A000000}" name="CLT ACUMULADO" dataDxfId="97">
      <calculatedColumnFormula>IFERROR(SUMIF(GERAL_PROJ2[TRECHO],GERAL_PROJ2[[#This Row],[PONTO]],GERAL_PROJ2[CLT ACUMULADO])+GERAL_PROJ2[[#This Row],[CLIENTES]],"")</calculatedColumnFormula>
    </tableColumn>
    <tableColumn id="5" xr3:uid="{00000000-0010-0000-0E00-000005000000}" name="TOTAL DO TRECHO" dataDxfId="96">
      <calculatedColumnFormula>IFERROR(VLOOKUP(GERAL_PROJ2[[#This Row],[PONTO]],RAMAIS_ATUAL,IF($I$2="SIM",25,23),0),"")</calculatedColumnFormula>
    </tableColumn>
    <tableColumn id="9" xr3:uid="{00000000-0010-0000-0E00-000009000000}" name="ACUMULADA" dataDxfId="95">
      <calculatedColumnFormula>IFERROR(IF(TRIM(UPPER($I$2))="SIM",
      VLOOKUP(GERAL_PROJ2[[#This Row],[CLT ACUMULADO]],AUX_CLAN,4,FALSE)/IF($L$6="SIM",0.85,1),
      SUMIF(GERAL_PROJ2[TRECHO],GERAL_PROJ2[[#This Row],[PONTO]],GERAL_PROJ2[ACUMULADA])+GERAL_PROJ2[[#This Row],[TOTAL DO TRECHO]])/IF($L$6="SIM",0.85,1),
"")</calculatedColumnFormula>
    </tableColumn>
    <tableColumn id="6" xr3:uid="{00000000-0010-0000-0E00-000006000000}" name="SNAP" dataDxfId="94">
      <calculatedColumnFormula>IFERROR(SQRT((GERAL_PROJ2[[#This Row],[X]]-$P$11)^2+(GERAL_PROJ2[[#This Row],[Y]]-$P$12)^2),"")</calculatedColumnFormula>
    </tableColumn>
    <tableColumn id="13" xr3:uid="{00000000-0010-0000-0E00-00000D000000}" name="LADO" dataDxfId="93"/>
    <tableColumn id="8" xr3:uid="{00000000-0010-0000-0E00-000008000000}" name="CONDUTOR" dataDxfId="92"/>
    <tableColumn id="7" xr3:uid="{00000000-0010-0000-0E00-000007000000}" name="CQT NO PONTO" dataDxfId="91" dataCellStyle="Porcentagem">
      <calculatedColumnFormula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calculatedColumnFormula>
    </tableColumn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ESQ_PROJ2" displayName="ESQ_PROJ2" ref="B7:AC23" totalsRowShown="0" headerRowDxfId="90" dataDxfId="89">
  <autoFilter ref="B7:AC23" xr:uid="{00000000-0009-0000-0100-000010000000}"/>
  <tableColumns count="28">
    <tableColumn id="1" xr3:uid="{00000000-0010-0000-0F00-000001000000}" name="PONTO" dataDxfId="88"/>
    <tableColumn id="2" xr3:uid="{00000000-0010-0000-0F00-000002000000}" name="TRECHO" dataDxfId="87">
      <calculatedColumnFormula>IFERROR(IF(ESQ_PROJ2[[#This Row],[PONTO]]="RAMAL",B7,VLOOKUP(ESQ_PROJ2[[#This Row],[PONTO]],GERAL_PROJ2[],2,0)),"")</calculatedColumnFormula>
    </tableColumn>
    <tableColumn id="3" xr3:uid="{00000000-0010-0000-0F00-000003000000}" name="M" dataDxfId="86">
      <calculatedColumnFormula>IFERROR(IF(ESQ_PROJ2[[#This Row],[PONTO]]="RAMAL",15,VLOOKUP(ESQ_PROJ2[[#This Row],[PONTO]],GERAL_PROJ2[],3,0)),"")</calculatedColumnFormula>
    </tableColumn>
    <tableColumn id="28" xr3:uid="{BC9BAA27-C850-4169-9673-C86B8FF8C9D1}" name="Coluna3" dataDxfId="85">
      <calculatedColumnFormula>IFERROR(IF(ESQ_PROJ2[[#This Row],[PONTO]]="RAMAL","",VLOOKUP(ESQ_PROJ2[[#This Row],[PONTO]],GERAL_PROJ2[],7,0)),"")</calculatedColumnFormula>
    </tableColumn>
    <tableColumn id="4" xr3:uid="{00000000-0010-0000-0F00-000004000000}" name="X" dataDxfId="84">
      <calculatedColumnFormula>IFERROR(IF(ESQ_PROJ2[[#This Row],[PONTO]]="RAMAL","",VLOOKUP(ESQ_PROJ2[[#This Row],[PONTO]],GERAL_PROJ2[],4,0)),"")</calculatedColumnFormula>
    </tableColumn>
    <tableColumn id="5" xr3:uid="{00000000-0010-0000-0F00-000005000000}" name="Y" dataDxfId="83">
      <calculatedColumnFormula>IFERROR(IF(ESQ_PROJ2[[#This Row],[PONTO]]="RAMAL","",VLOOKUP(ESQ_PROJ2[[#This Row],[PONTO]],GERAL_PROJ2[],5,0)),"")</calculatedColumnFormula>
    </tableColumn>
    <tableColumn id="6" xr3:uid="{00000000-0010-0000-0F00-000006000000}" name="KVA PONTO" dataDxfId="82">
      <calculatedColumnFormula>IFERROR(IF(ESQ_PROJ2[[#This Row],[PONTO]]="RAMAL",DMDI,VLOOKUP(ESQ_PROJ2[[#This Row],[PONTO]],GERAL_PROJ2[],8,0)),"")</calculatedColumnFormula>
    </tableColumn>
    <tableColumn id="7" xr3:uid="{00000000-0010-0000-0F00-000007000000}" name="ACUMULADA" dataDxfId="81">
      <calculatedColumnFormula>IFERROR(IF(ESQ_PROJ2[[#This Row],[PONTO]]="RAMAL",ESQ_PROJ2[[#This Row],[KVA PONTO]],VLOOKUP(ESQ_PROJ2[[#This Row],[PONTO]],GERAL_PROJ2[],9,0)),"")</calculatedColumnFormula>
    </tableColumn>
    <tableColumn id="9" xr3:uid="{00000000-0010-0000-0F00-000009000000}" name="CONDUTOR" dataDxfId="80">
      <calculatedColumnFormula>IFERROR(VLOOKUP(ESQ_PROJ2[[#This Row],[PONTO]],GERAL_PROJ2[],12,0),"")</calculatedColumnFormula>
    </tableColumn>
    <tableColumn id="11" xr3:uid="{00000000-0010-0000-0F00-00000B000000}" name="(A)" dataDxfId="79">
      <calculatedColumnFormula>IFERROR(ESQ_PROJ2[[#This Row],[Ib]],"")</calculatedColumnFormula>
    </tableColumn>
    <tableColumn id="13" xr3:uid="{00000000-0010-0000-0F00-00000D000000}" name="T" dataDxfId="78">
      <calculatedColumnFormula>IFERROR(IFERROR(ESQ_PROJ2[[#This Row],[ACUMULADA]]/((IF(ESQ_PROJ2[[#This Row],[FASE]]="MONO",T_LINHA_MONO,IF(ESQ_PROJ2[[#This Row],[FASE]]="BIF",T_LINHA_TRF,T_LINHA_TRF*SQRT(3)))/1000)*VLOOKUP(ESQ_PROJ2[[#This Row],[CONDUTOR]],CABOS[],9,0))+30,W8+60*(X8/Z8)),"")</calculatedColumnFormula>
    </tableColumn>
    <tableColumn id="14" xr3:uid="{00000000-0010-0000-0F00-00000E000000}" name="R CORR" dataDxfId="77">
      <calculatedColumnFormula>IFERROR((VLOOKUP(ESQ_PROJ2[[#This Row],[CONDUTOR]],CABOS[],3,0)/VLOOKUP(ESQ_PROJ2[[#This Row],[CONDUTOR]],CABOS[],6,0))*(1+VLOOKUP(ESQ_PROJ2[[#This Row],[CONDUTOR]],CABOS[],5,0)*(ESQ_PROJ2[[#This Row],[T]]-20)),"")</calculatedColumnFormula>
    </tableColumn>
    <tableColumn id="12" xr3:uid="{00000000-0010-0000-0F00-00000C000000}" name="QT-PONTO" dataDxfId="76">
      <calculatedColumnFormula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calculatedColumnFormula>
    </tableColumn>
    <tableColumn id="15" xr3:uid="{00000000-0010-0000-0F00-00000F000000}" name="Coluna1" dataDxfId="75" dataCellStyle="Porcentagem">
      <calculatedColumnFormula>IF(ESQ_PROJ2[[#This Row],[PONTO]]="","",IFERROR(SUMIF(ESQ_PROJ2[PONTO],ESQ_PROJ2[[#This Row],[TRECHO]],ESQ_PROJ2[Coluna1])+ESQ_PROJ2[[#This Row],[QT-PONTO]],""))</calculatedColumnFormula>
    </tableColumn>
    <tableColumn id="16" xr3:uid="{00000000-0010-0000-0F00-000010000000}" name="QT %" dataDxfId="74" dataCellStyle="Porcentagem">
      <calculatedColumnFormula>IFERROR(ESQ_PROJ2[[#This Row],[Coluna1]]/T_LINHA_MONO,"")</calculatedColumnFormula>
    </tableColumn>
    <tableColumn id="17" xr3:uid="{00000000-0010-0000-0F00-000011000000}" name="127" dataDxfId="73">
      <calculatedColumnFormula>IFERROR(T_LINHA_MONO*(1-ESQ_PROJ2[[#This Row],[QT %]]),"")</calculatedColumnFormula>
    </tableColumn>
    <tableColumn id="8" xr3:uid="{00000000-0010-0000-0F00-000008000000}" name="220" dataDxfId="72">
      <calculatedColumnFormula>IFERROR(T_LINHA_TRF*(1-ESQ_PROJ2[[#This Row],[QT %]]),"")</calculatedColumnFormula>
    </tableColumn>
    <tableColumn id="18" xr3:uid="{00000000-0010-0000-0F00-000012000000}" name="TEMP2" dataDxfId="71">
      <calculatedColumnFormula>IF(ESQ_PROJ2[[#This Row],[PROTECAO]]="OK","Protecao OK","Ajustar Disj/Condutor")</calculatedColumnFormula>
    </tableColumn>
    <tableColumn id="10" xr3:uid="{00000000-0010-0000-0F00-00000A000000}" name="FASE" dataDxfId="70">
      <calculatedColumnFormula>IF(ESQ_PROJ2[[#This Row],[ETA]]=1,"MONO",IF(ESQ_PROJ2[[#This Row],[ETA]]=2,"BIF","TRI"))</calculatedColumnFormula>
    </tableColumn>
    <tableColumn id="19" xr3:uid="{00000000-0010-0000-0F00-000013000000}" name="ETA" dataDxfId="69">
      <calculatedColumnFormula>1</calculatedColumnFormula>
    </tableColumn>
    <tableColumn id="20" xr3:uid="{00000000-0010-0000-0F00-000014000000}" name="METODO_INST" dataDxfId="68">
      <calculatedColumnFormula>"AEREO"</calculatedColumnFormula>
    </tableColumn>
    <tableColumn id="21" xr3:uid="{00000000-0010-0000-0F00-000015000000}" name="TEMP_AMB" dataDxfId="67">
      <calculatedColumnFormula>30</calculatedColumnFormula>
    </tableColumn>
    <tableColumn id="22" xr3:uid="{00000000-0010-0000-0F00-000016000000}" name="Ib" dataDxfId="66">
      <calculatedColumnFormula>IFERROR(IF(ESQ_PROJ2[[#This Row],[FASE]]="MONO",ESQ_PROJ2[[#This Row],[ACUMULADA]]*1000/(T_LINHA_TRF*ESQ_PROJ2[[#This Row],[ETA]]),ESQ_PROJ2[[#This Row],[ACUMULADA]]*1000/(SQRT(3)*$R$7*ESQ_PROJ2[[#This Row],[ETA]])),"")</calculatedColumnFormula>
    </tableColumn>
    <tableColumn id="23" xr3:uid="{00000000-0010-0000-0F00-000017000000}" name="In" dataDxfId="65">
      <calculatedColumnFormula>IFERROR(VLOOKUP(ESQ_PROJ2[[#This Row],[Ib]],TabelaDisjuntores[],2,TRUE),0)</calculatedColumnFormula>
    </tableColumn>
    <tableColumn id="24" xr3:uid="{00000000-0010-0000-0F00-000018000000}" name="Iz" dataDxfId="64">
      <calculatedColumnFormula>IFERROR(VLOOKUP(ESQ_PROJ2[[#This Row],[CONDUTOR]],CABOS[],2,0),0)</calculatedColumnFormula>
    </tableColumn>
    <tableColumn id="25" xr3:uid="{00000000-0010-0000-0F00-000019000000}" name="PROTECAO" dataDxfId="63">
      <calculatedColumnFormula>IF(AND(ESQ_PROJ2[[#This Row],[Ib]]&lt;=ESQ_PROJ1[[#This Row],[In]],ESQ_PROJ2[[#This Row],[In]]&lt;=ESQ_PROJ2[[#This Row],[Iz]]),"OK","VERIFICAR")</calculatedColumnFormula>
    </tableColumn>
    <tableColumn id="26" xr3:uid="{00000000-0010-0000-0F00-00001A000000}" name="Coluna2" dataDxfId="62">
      <calculatedColumnFormula>IFERROR(SQRT((ESQ_PROJ2[[#This Row],[X]]-$AF$4)^2+(ESQ_PROJ2[[#This Row],[Y]]-$AF$5)^2),0)</calculatedColumnFormula>
    </tableColumn>
    <tableColumn id="27" xr3:uid="{673AF804-DB84-4181-ABB8-A26032C6B465}" name="ETA2" dataDxfId="61">
      <calculatedColumnFormula>IF(ESQ_PROJ2[[#This Row],[CONDUTOR]]="","",VLOOKUP(ESQ_PROJ2[[#This Row],[CONDUTOR]],CONDUTORES,2,0))</calculatedColumnFormula>
    </tableColumn>
  </tableColumns>
  <tableStyleInfo name="TableStyleLight16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ela71023" displayName="Tabela71023" ref="B7:AC23" totalsRowShown="0" headerRowDxfId="60" dataDxfId="59">
  <autoFilter ref="B7:AC23" xr:uid="{00000000-0009-0000-0100-000011000000}"/>
  <tableColumns count="28">
    <tableColumn id="1" xr3:uid="{00000000-0010-0000-1000-000001000000}" name="PONTO" dataDxfId="58"/>
    <tableColumn id="2" xr3:uid="{00000000-0010-0000-1000-000002000000}" name="TRECHO" dataDxfId="57">
      <calculatedColumnFormula>IFERROR(IF(Tabela71023[[#This Row],[PONTO]]="RAMAL",B7,VLOOKUP(Tabela71023[[#This Row],[PONTO]],GERAL_PROJ2[],2,0)),"")</calculatedColumnFormula>
    </tableColumn>
    <tableColumn id="3" xr3:uid="{00000000-0010-0000-1000-000003000000}" name="M" dataDxfId="56">
      <calculatedColumnFormula>IFERROR(IF(Tabela71023[[#This Row],[PONTO]]="RAMAL",15,VLOOKUP(Tabela71023[[#This Row],[PONTO]],GERAL_PROJ2[],3,0)),"")</calculatedColumnFormula>
    </tableColumn>
    <tableColumn id="28" xr3:uid="{9901E3AC-CF75-4F21-AA6A-FFEF5528D192}" name="Coluna3" dataDxfId="55">
      <calculatedColumnFormula>IFERROR(IF(Tabela71023[[#This Row],[PONTO]]="RAMAL","",VLOOKUP(Tabela71023[[#This Row],[PONTO]],GERAL_PROJ2[],7,0)),"")</calculatedColumnFormula>
    </tableColumn>
    <tableColumn id="4" xr3:uid="{00000000-0010-0000-1000-000004000000}" name="X" dataDxfId="54">
      <calculatedColumnFormula>IFERROR(IF(Tabela71023[[#This Row],[PONTO]]="RAMAL","",VLOOKUP(Tabela71023[[#This Row],[PONTO]],GERAL_PROJ2[],4,0)),"")</calculatedColumnFormula>
    </tableColumn>
    <tableColumn id="5" xr3:uid="{00000000-0010-0000-1000-000005000000}" name="Y" dataDxfId="53">
      <calculatedColumnFormula>IFERROR(IF(Tabela71023[[#This Row],[PONTO]]="RAMAL","",VLOOKUP(Tabela71023[[#This Row],[PONTO]],GERAL_PROJ2[],5,0)),"")</calculatedColumnFormula>
    </tableColumn>
    <tableColumn id="6" xr3:uid="{00000000-0010-0000-1000-000006000000}" name="KVA PONTO" dataDxfId="52">
      <calculatedColumnFormula>IFERROR(IF(Tabela71023[[#This Row],[PONTO]]="RAMAL",DMDI,VLOOKUP(Tabela71023[[#This Row],[PONTO]],GERAL_PROJ2[],8,0)),"")</calculatedColumnFormula>
    </tableColumn>
    <tableColumn id="7" xr3:uid="{00000000-0010-0000-1000-000007000000}" name="ACUMULADA" dataDxfId="51">
      <calculatedColumnFormula>IFERROR(IF(Tabela71023[[#This Row],[PONTO]]="RAMAL",Tabela71023[[#This Row],[KVA PONTO]],VLOOKUP(Tabela71023[[#This Row],[PONTO]],GERAL_PROJ2[],9,0)),"")</calculatedColumnFormula>
    </tableColumn>
    <tableColumn id="9" xr3:uid="{00000000-0010-0000-1000-000009000000}" name="CONDUTOR" dataDxfId="50">
      <calculatedColumnFormula>IFERROR(VLOOKUP(Tabela71023[[#This Row],[PONTO]],GERAL_PROJ2[],12,0),"")</calculatedColumnFormula>
    </tableColumn>
    <tableColumn id="11" xr3:uid="{00000000-0010-0000-1000-00000B000000}" name="(A)" dataDxfId="49">
      <calculatedColumnFormula>IFERROR(Tabela71023[[#This Row],[Ib]],"")</calculatedColumnFormula>
    </tableColumn>
    <tableColumn id="13" xr3:uid="{00000000-0010-0000-1000-00000D000000}" name="T" dataDxfId="48">
      <calculatedColumnFormula>IFERROR(IFERROR(Tabela71023[[#This Row],[ACUMULADA]]/((IF(Tabela71023[[#This Row],[FASE]]="MONO",T_LINHA_MONO,IF(Tabela71023[[#This Row],[FASE]]="BIF",T_LINHA_TRF,T_LINHA_TRF*SQRT(3)))/1000)*VLOOKUP(Tabela71023[[#This Row],[CONDUTOR]],CABOS[],9,0))+30,W8+60*(X8/Z8)),"")</calculatedColumnFormula>
    </tableColumn>
    <tableColumn id="14" xr3:uid="{00000000-0010-0000-1000-00000E000000}" name="R CORR" dataDxfId="47">
      <calculatedColumnFormula>IFERROR((VLOOKUP(Tabela71023[[#This Row],[CONDUTOR]],CABOS[],3,0)/VLOOKUP(Tabela71023[[#This Row],[CONDUTOR]],CABOS[],6,0))*(1+VLOOKUP(Tabela71023[[#This Row],[CONDUTOR]],CABOS[],5,0)*(Tabela71023[[#This Row],[T]]-20)),"")</calculatedColumnFormula>
    </tableColumn>
    <tableColumn id="12" xr3:uid="{00000000-0010-0000-1000-00000C000000}" name="QT-PONTO" dataDxfId="46">
      <calculatedColumnFormula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calculatedColumnFormula>
    </tableColumn>
    <tableColumn id="15" xr3:uid="{00000000-0010-0000-1000-00000F000000}" name="Coluna1" dataDxfId="45" dataCellStyle="Porcentagem">
      <calculatedColumnFormula>IF(Tabela71023[[#This Row],[PONTO]]="","",IFERROR(SUMIF(Tabela71023[PONTO],Tabela71023[[#This Row],[TRECHO]],Tabela71023[Coluna1])+Tabela71023[[#This Row],[QT-PONTO]],""))</calculatedColumnFormula>
    </tableColumn>
    <tableColumn id="16" xr3:uid="{00000000-0010-0000-1000-000010000000}" name="QT %" dataDxfId="44" dataCellStyle="Porcentagem">
      <calculatedColumnFormula>Tabela71023[[#This Row],[Coluna1]]/127</calculatedColumnFormula>
    </tableColumn>
    <tableColumn id="17" xr3:uid="{00000000-0010-0000-1000-000011000000}" name="127" dataDxfId="43">
      <calculatedColumnFormula>127-(127*Tabela71023[[#This Row],[QT %]])</calculatedColumnFormula>
    </tableColumn>
    <tableColumn id="8" xr3:uid="{00000000-0010-0000-1000-000008000000}" name="220" dataDxfId="42">
      <calculatedColumnFormula>220-(220*Tabela71023[[#This Row],[QT %]])</calculatedColumnFormula>
    </tableColumn>
    <tableColumn id="18" xr3:uid="{00000000-0010-0000-1000-000012000000}" name="TEMP2" dataDxfId="41">
      <calculatedColumnFormula>IF(Tabela71023[[#This Row],[PROTECAO]]="OK","Protecao OK","Ajustar Disj/Condutor")</calculatedColumnFormula>
    </tableColumn>
    <tableColumn id="10" xr3:uid="{00000000-0010-0000-1000-00000A000000}" name="FASE" dataDxfId="40">
      <calculatedColumnFormula>"TRI"</calculatedColumnFormula>
    </tableColumn>
    <tableColumn id="19" xr3:uid="{00000000-0010-0000-1000-000013000000}" name="ETA" dataDxfId="39">
      <calculatedColumnFormula>1</calculatedColumnFormula>
    </tableColumn>
    <tableColumn id="20" xr3:uid="{00000000-0010-0000-1000-000014000000}" name="METODO_INST" dataDxfId="38">
      <calculatedColumnFormula>"AEREO"</calculatedColumnFormula>
    </tableColumn>
    <tableColumn id="21" xr3:uid="{00000000-0010-0000-1000-000015000000}" name="TEMP_AMB" dataDxfId="37">
      <calculatedColumnFormula>30</calculatedColumnFormula>
    </tableColumn>
    <tableColumn id="22" xr3:uid="{00000000-0010-0000-1000-000016000000}" name="Ib" dataDxfId="36">
      <calculatedColumnFormula>IF(Tabela71023[[#This Row],[FASE]]="MONO",Tabela71023[[#This Row],[ACUMULADA]]*1000/(220*Tabela71023[[#This Row],[ETA]]),Tabela71023[[#This Row],[ACUMULADA]]*1000/(SQRT(3)*$R$7*Tabela71023[[#This Row],[ETA]]))</calculatedColumnFormula>
    </tableColumn>
    <tableColumn id="23" xr3:uid="{00000000-0010-0000-1000-000017000000}" name="In" dataDxfId="35">
      <calculatedColumnFormula>VLOOKUP(Tabela71023[[#This Row],[Ib]],TabelaDisjuntores[],2,TRUE)</calculatedColumnFormula>
    </tableColumn>
    <tableColumn id="24" xr3:uid="{00000000-0010-0000-1000-000018000000}" name="Iz" dataDxfId="34">
      <calculatedColumnFormula>VLOOKUP(Tabela71023[[#This Row],[CONDUTOR]],CABOS[],2,0)</calculatedColumnFormula>
    </tableColumn>
    <tableColumn id="25" xr3:uid="{00000000-0010-0000-1000-000019000000}" name="PROTECAO" dataDxfId="33">
      <calculatedColumnFormula>IF(AND(Tabela71023[[#This Row],[Ib]]&lt;=Tabela71023[[#This Row],[In]],Tabela71023[[#This Row],[In]]&lt;=Tabela71023[[#This Row],[Iz]]),"OK","VERIFICAR")</calculatedColumnFormula>
    </tableColumn>
    <tableColumn id="26" xr3:uid="{00000000-0010-0000-1000-00001A000000}" name="Coluna2" dataDxfId="32">
      <calculatedColumnFormula>IFERROR(SQRT((Tabela71023[[#This Row],[X]]-$AF$4)^2+(Tabela71023[[#This Row],[Y]]-$AF$5)^2),0)</calculatedColumnFormula>
    </tableColumn>
    <tableColumn id="27" xr3:uid="{61B48A36-FDCC-466B-8FAB-92000C60E1F7}" name="ETA2" dataDxfId="31">
      <calculatedColumnFormula>IFERROR(IF(Tabela71023[[#This Row],[CONDUTOR]]="","",VLOOKUP(Tabela71023[[#This Row],[CONDUTOR]],CONDUTORES,2,0)),"")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G416"/>
  <sheetViews>
    <sheetView topLeftCell="M4" zoomScale="80" zoomScaleNormal="80" workbookViewId="0">
      <selection activeCell="AF25" sqref="AF25"/>
    </sheetView>
  </sheetViews>
  <sheetFormatPr defaultRowHeight="14.4" x14ac:dyDescent="0.3"/>
  <cols>
    <col min="1" max="1" width="17.77734375" bestFit="1" customWidth="1"/>
    <col min="3" max="3" width="26.5546875" style="9" bestFit="1" customWidth="1"/>
    <col min="4" max="4" width="17.44140625" style="9" bestFit="1" customWidth="1"/>
    <col min="5" max="5" width="24.44140625" bestFit="1" customWidth="1"/>
    <col min="6" max="6" width="18.77734375" bestFit="1" customWidth="1"/>
    <col min="7" max="9" width="18.77734375" customWidth="1"/>
    <col min="10" max="10" width="11.5546875" customWidth="1"/>
    <col min="11" max="13" width="8.88671875" customWidth="1"/>
    <col min="14" max="14" width="13.44140625" customWidth="1"/>
    <col min="15" max="15" width="14" customWidth="1"/>
    <col min="16" max="16" width="12" customWidth="1"/>
    <col min="17" max="17" width="13.21875" customWidth="1"/>
    <col min="18" max="18" width="8.88671875" customWidth="1"/>
    <col min="19" max="19" width="14.21875" customWidth="1"/>
    <col min="20" max="20" width="9" customWidth="1"/>
    <col min="21" max="21" width="10.77734375" customWidth="1"/>
    <col min="22" max="22" width="8.88671875" customWidth="1"/>
    <col min="23" max="23" width="13" customWidth="1"/>
    <col min="24" max="24" width="11.88671875" customWidth="1"/>
    <col min="25" max="25" width="18" customWidth="1"/>
    <col min="27" max="27" width="14.5546875" bestFit="1" customWidth="1"/>
    <col min="28" max="28" width="9.109375" style="9" bestFit="1" customWidth="1"/>
    <col min="29" max="29" width="11.33203125" style="9" bestFit="1" customWidth="1"/>
    <col min="30" max="30" width="11.88671875" style="9" bestFit="1" customWidth="1"/>
    <col min="31" max="31" width="14.109375" style="9" bestFit="1" customWidth="1"/>
  </cols>
  <sheetData>
    <row r="1" spans="1:33" ht="14.4" customHeight="1" x14ac:dyDescent="0.3">
      <c r="A1" s="9" t="s">
        <v>54</v>
      </c>
      <c r="B1" s="9" t="s">
        <v>55</v>
      </c>
      <c r="C1" s="9" t="s">
        <v>56</v>
      </c>
      <c r="D1" s="9" t="s">
        <v>57</v>
      </c>
      <c r="E1" s="69" t="s">
        <v>58</v>
      </c>
      <c r="F1" s="69" t="s">
        <v>59</v>
      </c>
      <c r="G1" s="69" t="s">
        <v>60</v>
      </c>
      <c r="H1" s="69" t="s">
        <v>61</v>
      </c>
      <c r="I1" s="69" t="s">
        <v>62</v>
      </c>
      <c r="P1" t="s">
        <v>63</v>
      </c>
      <c r="Q1" t="s">
        <v>64</v>
      </c>
      <c r="S1" t="s">
        <v>65</v>
      </c>
      <c r="T1" t="s">
        <v>66</v>
      </c>
      <c r="U1" t="s">
        <v>67</v>
      </c>
      <c r="W1" t="s">
        <v>33</v>
      </c>
      <c r="X1" t="s">
        <v>68</v>
      </c>
      <c r="Y1" t="s">
        <v>69</v>
      </c>
      <c r="AA1" t="s">
        <v>343</v>
      </c>
      <c r="AB1" s="9" t="s">
        <v>338</v>
      </c>
      <c r="AC1" s="9" t="s">
        <v>339</v>
      </c>
      <c r="AD1" s="9" t="s">
        <v>340</v>
      </c>
      <c r="AE1" s="9" t="s">
        <v>341</v>
      </c>
      <c r="AF1" s="9" t="s">
        <v>342</v>
      </c>
    </row>
    <row r="2" spans="1:33" x14ac:dyDescent="0.3">
      <c r="A2" s="52" t="s">
        <v>70</v>
      </c>
      <c r="B2" s="52">
        <v>95</v>
      </c>
      <c r="C2" s="52">
        <v>1.5692999999999999</v>
      </c>
      <c r="D2" s="52">
        <v>0.10390000000000001</v>
      </c>
      <c r="E2" s="52">
        <v>4.0299999999999997E-3</v>
      </c>
      <c r="F2" s="52">
        <f>1 + E2 * (G2 - 30)</f>
        <v>1.2418</v>
      </c>
      <c r="G2" s="52">
        <v>90</v>
      </c>
      <c r="H2" s="52">
        <f>G2-30</f>
        <v>60</v>
      </c>
      <c r="I2" s="157">
        <f t="shared" ref="I2:I32" si="0">IFERROR(B2/H2,0)</f>
        <v>1.5833333333333333</v>
      </c>
      <c r="J2" t="s">
        <v>71</v>
      </c>
      <c r="K2">
        <v>0.92</v>
      </c>
      <c r="P2">
        <f>0</f>
        <v>0</v>
      </c>
      <c r="Q2">
        <f>0</f>
        <v>0</v>
      </c>
      <c r="S2" t="s">
        <v>72</v>
      </c>
      <c r="T2">
        <f>K2</f>
        <v>0.92</v>
      </c>
      <c r="U2" t="s">
        <v>73</v>
      </c>
      <c r="W2" t="str">
        <f>INDEX(CABOS[CONDUTORES],1)</f>
        <v>25 Al - Arm</v>
      </c>
      <c r="X2" t="str">
        <f t="shared" ref="X2:X26" si="1">IF(ISNUMBER(FIND(" Cu",W2)),"CU",IF(ISNUMBER(FIND(" Al",W2)),"AL",IF(ISNUMBER(FIND(" AA",W2)),"AA","OUTRO")))</f>
        <v>AL</v>
      </c>
      <c r="Y2" t="str">
        <f t="shared" ref="Y2:Y26" si="2">UPPER(SUBSTITUTE(SUBSTITUTE(SUBSTITUTE(SUBSTITUTE(W2," - ","_")," ","_"),"-","_"),".",""))</f>
        <v>25_AL_ARM</v>
      </c>
      <c r="AA2" t="s">
        <v>70</v>
      </c>
      <c r="AB2" s="187">
        <f>(SQRT(3)*((CABOS[[#This Row],[DIVISOR_R]]*COS(fator_potencia))+(SIN(fator_potencia)*CABOS[[#This Row],[Reatância]])))/1000</f>
        <v>1.4462112921738183E-3</v>
      </c>
      <c r="AC2" s="187">
        <f>2*((CABOS[[#This Row],[DIVISOR_R]]*COS(fator_potencia))+(SIN(fator_potencia)*CABOS[[#This Row],[Reatância]]))/1000</f>
        <v>1.6699409576832612E-3</v>
      </c>
      <c r="AD2" s="187">
        <f>CABOS[[#This Row],[(A)]]*AB2</f>
        <v>0.13739007275651274</v>
      </c>
      <c r="AE2" s="187">
        <f>CABOS[[#This Row],[(A)]]*AC2</f>
        <v>0.15864439097990982</v>
      </c>
      <c r="AF2" s="189">
        <f>AD2*40</f>
        <v>5.4956029102605095</v>
      </c>
      <c r="AG2" s="102">
        <f>AF2/220</f>
        <v>2.498001322845686E-2</v>
      </c>
    </row>
    <row r="3" spans="1:33" x14ac:dyDescent="0.3">
      <c r="A3" s="52" t="s">
        <v>74</v>
      </c>
      <c r="B3" s="52">
        <v>150</v>
      </c>
      <c r="C3" s="52">
        <v>0.83879999999999999</v>
      </c>
      <c r="D3" s="52">
        <v>0.10390000000000001</v>
      </c>
      <c r="E3" s="52">
        <v>4.0299999999999997E-3</v>
      </c>
      <c r="F3" s="52">
        <f t="shared" ref="F3:F32" si="3">1 + E3 * (G3 - 20)</f>
        <v>1.2821</v>
      </c>
      <c r="G3" s="52">
        <v>90</v>
      </c>
      <c r="H3" s="52">
        <f t="shared" ref="H3:H32" si="4">G3-30</f>
        <v>60</v>
      </c>
      <c r="I3" s="157">
        <f t="shared" si="0"/>
        <v>2.5</v>
      </c>
      <c r="M3" t="s">
        <v>3</v>
      </c>
      <c r="N3" t="s">
        <v>75</v>
      </c>
      <c r="P3">
        <f>6</f>
        <v>6</v>
      </c>
      <c r="Q3">
        <f>6</f>
        <v>6</v>
      </c>
      <c r="S3" t="s">
        <v>76</v>
      </c>
      <c r="T3" s="74">
        <f>K4</f>
        <v>1.83E-2</v>
      </c>
      <c r="U3" t="s">
        <v>73</v>
      </c>
      <c r="W3" t="str">
        <f>INDEX(CABOS[CONDUTORES],2)</f>
        <v>50 Al - Arm</v>
      </c>
      <c r="X3" t="str">
        <f t="shared" si="1"/>
        <v>AL</v>
      </c>
      <c r="Y3" t="str">
        <f t="shared" si="2"/>
        <v>50_AL_ARM</v>
      </c>
      <c r="AA3" t="s">
        <v>74</v>
      </c>
      <c r="AB3" s="187">
        <f>(SQRT(3)*((CABOS[[#This Row],[DIVISOR_R]]*COS(fator_potencia))+(SIN(fator_potencia)*CABOS[[#This Row],[Reatância]])))/1000</f>
        <v>1.4884985372235176E-3</v>
      </c>
      <c r="AC3" s="187">
        <f>2*((CABOS[[#This Row],[DIVISOR_R]]*COS(fator_potencia))+(SIN(fator_potencia)*CABOS[[#This Row],[Reatância]]))/1000</f>
        <v>1.718770062308724E-3</v>
      </c>
      <c r="AD3" s="187">
        <f>CABOS[[#This Row],[(A)]]*AB3</f>
        <v>0.22327478058352765</v>
      </c>
      <c r="AE3" s="187">
        <f>CABOS[[#This Row],[(A)]]*AC3</f>
        <v>0.25781550934630859</v>
      </c>
      <c r="AF3" s="189">
        <f t="shared" ref="AF3:AF32" si="5">AD3*40</f>
        <v>8.9309912233411062</v>
      </c>
      <c r="AG3" s="102">
        <f t="shared" ref="AG3:AG32" si="6">AF3/220</f>
        <v>4.0595414651550484E-2</v>
      </c>
    </row>
    <row r="4" spans="1:33" x14ac:dyDescent="0.3">
      <c r="A4" s="52" t="s">
        <v>77</v>
      </c>
      <c r="B4" s="52">
        <v>237</v>
      </c>
      <c r="C4" s="52">
        <v>0.41970000000000002</v>
      </c>
      <c r="D4" s="52">
        <v>9.8000000000000004E-2</v>
      </c>
      <c r="E4" s="52">
        <v>4.0299999999999997E-3</v>
      </c>
      <c r="F4" s="52">
        <f t="shared" si="3"/>
        <v>1.2821</v>
      </c>
      <c r="G4" s="52">
        <v>90</v>
      </c>
      <c r="H4" s="52">
        <f t="shared" si="4"/>
        <v>60</v>
      </c>
      <c r="I4" s="157">
        <f t="shared" si="0"/>
        <v>3.95</v>
      </c>
      <c r="J4" t="s">
        <v>76</v>
      </c>
      <c r="K4" s="65">
        <v>1.83E-2</v>
      </c>
      <c r="M4" s="9">
        <v>30</v>
      </c>
      <c r="N4" s="64">
        <v>3.5000000000000003E-2</v>
      </c>
      <c r="P4">
        <f>10</f>
        <v>10</v>
      </c>
      <c r="Q4">
        <f>10</f>
        <v>10</v>
      </c>
      <c r="S4" t="s">
        <v>78</v>
      </c>
      <c r="T4" s="59">
        <f>K6</f>
        <v>150</v>
      </c>
      <c r="U4" t="s">
        <v>79</v>
      </c>
      <c r="W4" t="str">
        <f>INDEX(CABOS[CONDUTORES],3)</f>
        <v>95 Al - Arm</v>
      </c>
      <c r="X4" t="str">
        <f t="shared" si="1"/>
        <v>AL</v>
      </c>
      <c r="Y4" t="str">
        <f t="shared" si="2"/>
        <v>95_AL_ARM</v>
      </c>
      <c r="AA4" t="s">
        <v>77</v>
      </c>
      <c r="AB4" s="187">
        <f>(SQRT(3)*((CABOS[[#This Row],[DIVISOR_R]]*COS(fator_potencia))+(SIN(fator_potencia)*CABOS[[#This Row],[Reatância]])))/1000</f>
        <v>1.4803682048954436E-3</v>
      </c>
      <c r="AC4" s="187">
        <f>2*((CABOS[[#This Row],[DIVISOR_R]]*COS(fator_potencia))+(SIN(fator_potencia)*CABOS[[#This Row],[Reatância]]))/1000</f>
        <v>1.7093819631922951E-3</v>
      </c>
      <c r="AD4" s="187">
        <f>CABOS[[#This Row],[(A)]]*AB4</f>
        <v>0.35084726456022014</v>
      </c>
      <c r="AE4" s="187">
        <f>CABOS[[#This Row],[(A)]]*AC4</f>
        <v>0.40512352527657391</v>
      </c>
      <c r="AF4" s="189">
        <f t="shared" si="5"/>
        <v>14.033890582408805</v>
      </c>
      <c r="AG4" s="102">
        <f t="shared" si="6"/>
        <v>6.3790411738221836E-2</v>
      </c>
    </row>
    <row r="5" spans="1:33" x14ac:dyDescent="0.3">
      <c r="A5" s="52" t="s">
        <v>80</v>
      </c>
      <c r="B5" s="52">
        <v>300</v>
      </c>
      <c r="C5" s="52">
        <v>0.26600000000000001</v>
      </c>
      <c r="D5" s="52">
        <v>9.6000000000000002E-2</v>
      </c>
      <c r="E5" s="52">
        <v>4.0299999999999997E-3</v>
      </c>
      <c r="F5" s="52">
        <f t="shared" si="3"/>
        <v>1.2821</v>
      </c>
      <c r="G5" s="52">
        <v>90</v>
      </c>
      <c r="H5" s="52">
        <f t="shared" si="4"/>
        <v>60</v>
      </c>
      <c r="I5" s="157">
        <f t="shared" si="0"/>
        <v>5</v>
      </c>
      <c r="M5" s="9">
        <v>45</v>
      </c>
      <c r="N5" s="64">
        <v>3.5000000000000003E-2</v>
      </c>
      <c r="P5">
        <f>16</f>
        <v>16</v>
      </c>
      <c r="Q5">
        <f>16</f>
        <v>16</v>
      </c>
      <c r="S5" t="s">
        <v>81</v>
      </c>
      <c r="T5" s="59">
        <f>K7</f>
        <v>127.70729411764684</v>
      </c>
      <c r="U5" t="s">
        <v>79</v>
      </c>
      <c r="W5" t="str">
        <f>INDEX(CABOS[CONDUTORES],4)</f>
        <v>150 Al - Arm</v>
      </c>
      <c r="X5" t="str">
        <f t="shared" si="1"/>
        <v>AL</v>
      </c>
      <c r="Y5" t="str">
        <f t="shared" si="2"/>
        <v>150_AL_ARM</v>
      </c>
      <c r="AA5" t="s">
        <v>80</v>
      </c>
      <c r="AB5" s="187">
        <f>(SQRT(3)*((CABOS[[#This Row],[DIVISOR_R]]*COS(fator_potencia))+(SIN(fator_potencia)*CABOS[[#This Row],[Reatância]])))/1000</f>
        <v>1.4776121600384696E-3</v>
      </c>
      <c r="AC5" s="187">
        <f>2*((CABOS[[#This Row],[DIVISOR_R]]*COS(fator_potencia))+(SIN(fator_potencia)*CABOS[[#This Row],[Reatância]]))/1000</f>
        <v>1.7061995567121495E-3</v>
      </c>
      <c r="AD5" s="187">
        <f>CABOS[[#This Row],[(A)]]*AB5</f>
        <v>0.44328364801154085</v>
      </c>
      <c r="AE5" s="187">
        <f>CABOS[[#This Row],[(A)]]*AC5</f>
        <v>0.51185986701364483</v>
      </c>
      <c r="AF5" s="189">
        <f t="shared" si="5"/>
        <v>17.731345920461635</v>
      </c>
      <c r="AG5" s="102">
        <f t="shared" si="6"/>
        <v>8.0597026911189251E-2</v>
      </c>
    </row>
    <row r="6" spans="1:33" x14ac:dyDescent="0.3">
      <c r="A6" s="52" t="s">
        <v>82</v>
      </c>
      <c r="B6" s="52">
        <v>395</v>
      </c>
      <c r="C6" s="52">
        <v>0.16650000000000001</v>
      </c>
      <c r="D6" s="52">
        <v>8.5800000000000001E-2</v>
      </c>
      <c r="E6" s="52">
        <v>4.0299999999999997E-3</v>
      </c>
      <c r="F6" s="52">
        <f t="shared" si="3"/>
        <v>1.2821</v>
      </c>
      <c r="G6" s="52">
        <v>90</v>
      </c>
      <c r="H6" s="52">
        <f t="shared" si="4"/>
        <v>60</v>
      </c>
      <c r="I6" s="157">
        <f t="shared" si="0"/>
        <v>6.583333333333333</v>
      </c>
      <c r="J6" t="s">
        <v>78</v>
      </c>
      <c r="K6" s="59">
        <f>PROJ1!P3</f>
        <v>150</v>
      </c>
      <c r="M6" s="9">
        <v>75</v>
      </c>
      <c r="N6" s="64">
        <v>3.5000000000000003E-2</v>
      </c>
      <c r="P6">
        <f>20</f>
        <v>20</v>
      </c>
      <c r="Q6">
        <f>20</f>
        <v>20</v>
      </c>
      <c r="S6" t="s">
        <v>83</v>
      </c>
      <c r="T6" s="74">
        <f>K8</f>
        <v>2.9798368627450934E-2</v>
      </c>
      <c r="U6" t="s">
        <v>73</v>
      </c>
      <c r="W6" t="str">
        <f>INDEX(CABOS[CONDUTORES],5)</f>
        <v>240 Al - Arm</v>
      </c>
      <c r="X6" t="str">
        <f t="shared" si="1"/>
        <v>AL</v>
      </c>
      <c r="Y6" t="str">
        <f t="shared" si="2"/>
        <v>240_AL_ARM</v>
      </c>
      <c r="AA6" t="s">
        <v>82</v>
      </c>
      <c r="AB6" s="187">
        <f>(SQRT(3)*((CABOS[[#This Row],[DIVISOR_R]]*COS(fator_potencia))+(SIN(fator_potencia)*CABOS[[#This Row],[Reatância]])))/1000</f>
        <v>1.4635563312679011E-3</v>
      </c>
      <c r="AC6" s="187">
        <f>2*((CABOS[[#This Row],[DIVISOR_R]]*COS(fator_potencia))+(SIN(fator_potencia)*CABOS[[#This Row],[Reatância]]))/1000</f>
        <v>1.6899692836634078E-3</v>
      </c>
      <c r="AD6" s="187">
        <f>CABOS[[#This Row],[(A)]]*AB6</f>
        <v>0.57810475085082091</v>
      </c>
      <c r="AE6" s="187">
        <f>CABOS[[#This Row],[(A)]]*AC6</f>
        <v>0.6675378670470461</v>
      </c>
      <c r="AF6" s="189">
        <f t="shared" si="5"/>
        <v>23.124190034032836</v>
      </c>
      <c r="AG6" s="102">
        <f t="shared" si="6"/>
        <v>0.10510995470014925</v>
      </c>
    </row>
    <row r="7" spans="1:33" x14ac:dyDescent="0.3">
      <c r="A7" s="52" t="s">
        <v>84</v>
      </c>
      <c r="B7" s="52">
        <v>90</v>
      </c>
      <c r="C7" s="52">
        <v>1.5692999999999999</v>
      </c>
      <c r="D7" s="52">
        <v>0.109</v>
      </c>
      <c r="E7" s="52">
        <v>4.0299999999999997E-3</v>
      </c>
      <c r="F7" s="52">
        <f t="shared" si="3"/>
        <v>1.2821</v>
      </c>
      <c r="G7" s="52">
        <v>90</v>
      </c>
      <c r="H7" s="52">
        <f t="shared" si="4"/>
        <v>60</v>
      </c>
      <c r="I7" s="157">
        <f t="shared" si="0"/>
        <v>1.5</v>
      </c>
      <c r="J7" t="s">
        <v>81</v>
      </c>
      <c r="K7" s="59">
        <f>PROJ1!J9</f>
        <v>127.70729411764684</v>
      </c>
      <c r="M7" s="9">
        <v>112.5</v>
      </c>
      <c r="N7" s="64">
        <v>3.5000000000000003E-2</v>
      </c>
      <c r="P7">
        <f>25</f>
        <v>25</v>
      </c>
      <c r="Q7">
        <f>25</f>
        <v>25</v>
      </c>
      <c r="S7" t="s">
        <v>85</v>
      </c>
      <c r="T7" s="74">
        <f>K10</f>
        <v>4.8098368627450934E-2</v>
      </c>
      <c r="U7" t="s">
        <v>73</v>
      </c>
      <c r="W7" t="str">
        <f>INDEX(CABOS[CONDUTORES],6)</f>
        <v>25 Al</v>
      </c>
      <c r="X7" t="str">
        <f t="shared" si="1"/>
        <v>AL</v>
      </c>
      <c r="Y7" t="str">
        <f t="shared" si="2"/>
        <v>25_AL</v>
      </c>
      <c r="AA7" t="s">
        <v>84</v>
      </c>
      <c r="AB7" s="187">
        <f>(SQRT(3)*((CABOS[[#This Row],[DIVISOR_R]]*COS(fator_potencia))+(SIN(fator_potencia)*CABOS[[#This Row],[Reatância]])))/1000</f>
        <v>1.4955264516088018E-3</v>
      </c>
      <c r="AC7" s="187">
        <f>2*((CABOS[[#This Row],[DIVISOR_R]]*COS(fator_potencia))+(SIN(fator_potencia)*CABOS[[#This Row],[Reatância]]))/1000</f>
        <v>1.726885198833095E-3</v>
      </c>
      <c r="AD7" s="187">
        <f>CABOS[[#This Row],[(A)]]*AB7</f>
        <v>0.13459738064479215</v>
      </c>
      <c r="AE7" s="187">
        <f>CABOS[[#This Row],[(A)]]*AC7</f>
        <v>0.15541966789497855</v>
      </c>
      <c r="AF7" s="189">
        <f t="shared" si="5"/>
        <v>5.3838952257916866</v>
      </c>
      <c r="AG7" s="102">
        <f t="shared" si="6"/>
        <v>2.4472251026325848E-2</v>
      </c>
    </row>
    <row r="8" spans="1:33" x14ac:dyDescent="0.3">
      <c r="A8" s="52" t="s">
        <v>86</v>
      </c>
      <c r="B8" s="52">
        <v>140</v>
      </c>
      <c r="C8" s="52">
        <v>0.68869999999999998</v>
      </c>
      <c r="D8" s="52">
        <v>0.1048</v>
      </c>
      <c r="E8" s="52">
        <v>3.9300000000000003E-3</v>
      </c>
      <c r="F8" s="52">
        <f t="shared" si="3"/>
        <v>1.2751000000000001</v>
      </c>
      <c r="G8" s="52">
        <v>90</v>
      </c>
      <c r="H8" s="52">
        <f t="shared" si="4"/>
        <v>60</v>
      </c>
      <c r="I8" s="157">
        <f t="shared" si="0"/>
        <v>2.3333333333333335</v>
      </c>
      <c r="J8" t="s">
        <v>83</v>
      </c>
      <c r="K8" s="65">
        <f>(DEM_ATUAL/TR_ATUAL)*VLOOKUP(TR_ATUAL,TRAFOS_Z[],2,0)</f>
        <v>2.9798368627450934E-2</v>
      </c>
      <c r="M8" s="9">
        <v>150</v>
      </c>
      <c r="N8" s="64">
        <v>3.5000000000000003E-2</v>
      </c>
      <c r="P8">
        <f>32</f>
        <v>32</v>
      </c>
      <c r="Q8">
        <f>32</f>
        <v>32</v>
      </c>
      <c r="W8" t="str">
        <f>INDEX(CABOS[CONDUTORES],7)</f>
        <v>35 Cu</v>
      </c>
      <c r="X8" t="str">
        <f t="shared" si="1"/>
        <v>CU</v>
      </c>
      <c r="Y8" t="str">
        <f t="shared" si="2"/>
        <v>35_CU</v>
      </c>
      <c r="AA8" t="s">
        <v>86</v>
      </c>
      <c r="AB8" s="187">
        <f>(SQRT(3)*((CABOS[[#This Row],[DIVISOR_R]]*COS(fator_potencia))+(SIN(fator_potencia)*CABOS[[#This Row],[Reatância]])))/1000</f>
        <v>1.4823935783682652E-3</v>
      </c>
      <c r="AC8" s="187">
        <f>2*((CABOS[[#This Row],[DIVISOR_R]]*COS(fator_potencia))+(SIN(fator_potencia)*CABOS[[#This Row],[Reatância]]))/1000</f>
        <v>1.7117206630317811E-3</v>
      </c>
      <c r="AD8" s="187">
        <f>CABOS[[#This Row],[(A)]]*AB8</f>
        <v>0.20753510097155714</v>
      </c>
      <c r="AE8" s="187">
        <f>CABOS[[#This Row],[(A)]]*AC8</f>
        <v>0.23964089282444936</v>
      </c>
      <c r="AF8" s="189">
        <f t="shared" si="5"/>
        <v>8.3014040388622856</v>
      </c>
      <c r="AG8" s="102">
        <f t="shared" si="6"/>
        <v>3.7733654722101301E-2</v>
      </c>
    </row>
    <row r="9" spans="1:33" x14ac:dyDescent="0.3">
      <c r="A9" s="52" t="s">
        <v>87</v>
      </c>
      <c r="B9" s="52">
        <v>240</v>
      </c>
      <c r="C9" s="52">
        <v>0.3523</v>
      </c>
      <c r="D9" s="52">
        <v>0.1024</v>
      </c>
      <c r="E9" s="52">
        <v>3.9300000000000003E-3</v>
      </c>
      <c r="F9" s="52">
        <f t="shared" si="3"/>
        <v>1.2751000000000001</v>
      </c>
      <c r="G9" s="52">
        <v>90</v>
      </c>
      <c r="H9" s="52">
        <f t="shared" si="4"/>
        <v>60</v>
      </c>
      <c r="I9" s="157">
        <f t="shared" si="0"/>
        <v>4</v>
      </c>
      <c r="M9" s="9">
        <v>225</v>
      </c>
      <c r="N9" s="64">
        <v>3.5000000000000003E-2</v>
      </c>
      <c r="P9">
        <f>40</f>
        <v>40</v>
      </c>
      <c r="Q9">
        <f>40</f>
        <v>40</v>
      </c>
      <c r="W9" t="str">
        <f>INDEX(CABOS[CONDUTORES],8)</f>
        <v>70 Cu</v>
      </c>
      <c r="X9" t="str">
        <f t="shared" si="1"/>
        <v>CU</v>
      </c>
      <c r="Y9" t="str">
        <f t="shared" si="2"/>
        <v>70_CU</v>
      </c>
      <c r="AA9" t="s">
        <v>87</v>
      </c>
      <c r="AB9" s="187">
        <f>(SQRT(3)*((CABOS[[#This Row],[DIVISOR_R]]*COS(fator_potencia))+(SIN(fator_potencia)*CABOS[[#This Row],[Reatância]])))/1000</f>
        <v>1.4790863245398964E-3</v>
      </c>
      <c r="AC9" s="187">
        <f>2*((CABOS[[#This Row],[DIVISOR_R]]*COS(fator_potencia))+(SIN(fator_potencia)*CABOS[[#This Row],[Reatância]]))/1000</f>
        <v>1.7079017752556066E-3</v>
      </c>
      <c r="AD9" s="187">
        <f>CABOS[[#This Row],[(A)]]*AB9</f>
        <v>0.35498071788957514</v>
      </c>
      <c r="AE9" s="187">
        <f>CABOS[[#This Row],[(A)]]*AC9</f>
        <v>0.40989642606134558</v>
      </c>
      <c r="AF9" s="189">
        <f t="shared" si="5"/>
        <v>14.199228715583006</v>
      </c>
      <c r="AG9" s="102">
        <f t="shared" si="6"/>
        <v>6.4541948707195484E-2</v>
      </c>
    </row>
    <row r="10" spans="1:33" x14ac:dyDescent="0.3">
      <c r="A10" s="52" t="s">
        <v>88</v>
      </c>
      <c r="B10" s="52">
        <v>225</v>
      </c>
      <c r="C10" s="52">
        <v>0.41949999999999998</v>
      </c>
      <c r="D10" s="52">
        <v>9.5799999999999996E-2</v>
      </c>
      <c r="E10" s="52">
        <v>4.0299999999999997E-3</v>
      </c>
      <c r="F10" s="52">
        <f t="shared" si="3"/>
        <v>1.2821</v>
      </c>
      <c r="G10" s="52">
        <v>90</v>
      </c>
      <c r="H10" s="52">
        <f t="shared" si="4"/>
        <v>60</v>
      </c>
      <c r="I10" s="157">
        <f t="shared" si="0"/>
        <v>3.75</v>
      </c>
      <c r="J10" t="s">
        <v>85</v>
      </c>
      <c r="K10" s="65">
        <f>QT_MT+QT_TR</f>
        <v>4.8098368627450934E-2</v>
      </c>
      <c r="M10" s="9">
        <v>300</v>
      </c>
      <c r="N10" s="64">
        <v>3.5000000000000003E-2</v>
      </c>
      <c r="P10">
        <f>50</f>
        <v>50</v>
      </c>
      <c r="Q10">
        <f>50</f>
        <v>50</v>
      </c>
      <c r="W10" t="str">
        <f>INDEX(CABOS[CONDUTORES],9)</f>
        <v>95 Al</v>
      </c>
      <c r="X10" t="str">
        <f t="shared" si="1"/>
        <v>AL</v>
      </c>
      <c r="Y10" t="str">
        <f t="shared" si="2"/>
        <v>95_AL</v>
      </c>
      <c r="AA10" t="s">
        <v>88</v>
      </c>
      <c r="AB10" s="187">
        <f>(SQRT(3)*((CABOS[[#This Row],[DIVISOR_R]]*COS(fator_potencia))+(SIN(fator_potencia)*CABOS[[#This Row],[Reatância]])))/1000</f>
        <v>1.4773365555527721E-3</v>
      </c>
      <c r="AC10" s="187">
        <f>2*((CABOS[[#This Row],[DIVISOR_R]]*COS(fator_potencia))+(SIN(fator_potencia)*CABOS[[#This Row],[Reatância]]))/1000</f>
        <v>1.7058813160641352E-3</v>
      </c>
      <c r="AD10" s="187">
        <f>CABOS[[#This Row],[(A)]]*AB10</f>
        <v>0.33240072499937373</v>
      </c>
      <c r="AE10" s="187">
        <f>CABOS[[#This Row],[(A)]]*AC10</f>
        <v>0.38382329611443039</v>
      </c>
      <c r="AF10" s="189">
        <f t="shared" si="5"/>
        <v>13.296028999974949</v>
      </c>
      <c r="AG10" s="102">
        <f t="shared" si="6"/>
        <v>6.0436495454431582E-2</v>
      </c>
    </row>
    <row r="11" spans="1:33" x14ac:dyDescent="0.3">
      <c r="A11" s="52" t="s">
        <v>89</v>
      </c>
      <c r="B11" s="52">
        <v>340</v>
      </c>
      <c r="C11" s="52">
        <v>0.20230000000000001</v>
      </c>
      <c r="D11" s="52">
        <v>9.7100000000000006E-2</v>
      </c>
      <c r="E11" s="52">
        <v>3.9300000000000003E-3</v>
      </c>
      <c r="F11" s="52">
        <f t="shared" si="3"/>
        <v>1.2751000000000001</v>
      </c>
      <c r="G11" s="52">
        <v>90</v>
      </c>
      <c r="H11" s="52">
        <f t="shared" si="4"/>
        <v>60</v>
      </c>
      <c r="I11" s="157">
        <f t="shared" si="0"/>
        <v>5.666666666666667</v>
      </c>
      <c r="P11">
        <f>63</f>
        <v>63</v>
      </c>
      <c r="Q11">
        <f>63</f>
        <v>63</v>
      </c>
      <c r="W11" t="str">
        <f>INDEX(CABOS[CONDUTORES],10)</f>
        <v>120 Cu</v>
      </c>
      <c r="X11" t="str">
        <f t="shared" si="1"/>
        <v>CU</v>
      </c>
      <c r="Y11" t="str">
        <f t="shared" si="2"/>
        <v>120_CU</v>
      </c>
      <c r="AA11" t="s">
        <v>89</v>
      </c>
      <c r="AB11" s="187">
        <f>(SQRT(3)*((CABOS[[#This Row],[DIVISOR_R]]*COS(fator_potencia))+(SIN(fator_potencia)*CABOS[[#This Row],[Reatância]])))/1000</f>
        <v>1.4717828056689147E-3</v>
      </c>
      <c r="AC11" s="187">
        <f>2*((CABOS[[#This Row],[DIVISOR_R]]*COS(fator_potencia))+(SIN(fator_potencia)*CABOS[[#This Row],[Reatância]]))/1000</f>
        <v>1.6994683980832213E-3</v>
      </c>
      <c r="AD11" s="187">
        <f>CABOS[[#This Row],[(A)]]*AB11</f>
        <v>0.50040615392743093</v>
      </c>
      <c r="AE11" s="187">
        <f>CABOS[[#This Row],[(A)]]*AC11</f>
        <v>0.57781925534829526</v>
      </c>
      <c r="AF11" s="189">
        <f t="shared" si="5"/>
        <v>20.016246157097235</v>
      </c>
      <c r="AG11" s="102">
        <f t="shared" si="6"/>
        <v>9.098293707771471E-2</v>
      </c>
    </row>
    <row r="12" spans="1:33" x14ac:dyDescent="0.3">
      <c r="A12" s="52" t="s">
        <v>90</v>
      </c>
      <c r="B12" s="52">
        <v>476</v>
      </c>
      <c r="C12" s="52">
        <v>0.1663</v>
      </c>
      <c r="D12" s="52">
        <v>8.9700000000000002E-2</v>
      </c>
      <c r="E12" s="52">
        <v>4.0299999999999997E-3</v>
      </c>
      <c r="F12" s="52">
        <f t="shared" si="3"/>
        <v>1.2821</v>
      </c>
      <c r="G12" s="52">
        <v>90</v>
      </c>
      <c r="H12" s="52">
        <f t="shared" si="4"/>
        <v>60</v>
      </c>
      <c r="I12" s="157">
        <f t="shared" si="0"/>
        <v>7.9333333333333336</v>
      </c>
      <c r="P12">
        <f>80</f>
        <v>80</v>
      </c>
      <c r="Q12">
        <f>80</f>
        <v>80</v>
      </c>
      <c r="W12" t="str">
        <f>INDEX(CABOS[CONDUTORES],11)</f>
        <v>240 Al</v>
      </c>
      <c r="X12" t="str">
        <f t="shared" si="1"/>
        <v>AL</v>
      </c>
      <c r="Y12" t="str">
        <f t="shared" si="2"/>
        <v>240_AL</v>
      </c>
      <c r="AA12" t="s">
        <v>90</v>
      </c>
      <c r="AB12" s="187">
        <f>(SQRT(3)*((CABOS[[#This Row],[DIVISOR_R]]*COS(fator_potencia))+(SIN(fator_potencia)*CABOS[[#This Row],[Reatância]])))/1000</f>
        <v>1.4689306187390008E-3</v>
      </c>
      <c r="AC12" s="187">
        <f>2*((CABOS[[#This Row],[DIVISOR_R]]*COS(fator_potencia))+(SIN(fator_potencia)*CABOS[[#This Row],[Reatância]]))/1000</f>
        <v>1.6961749762996914E-3</v>
      </c>
      <c r="AD12" s="187">
        <f>CABOS[[#This Row],[(A)]]*AB12</f>
        <v>0.69921097451976444</v>
      </c>
      <c r="AE12" s="187">
        <f>CABOS[[#This Row],[(A)]]*AC12</f>
        <v>0.80737928871865317</v>
      </c>
      <c r="AF12" s="189">
        <f t="shared" si="5"/>
        <v>27.968438980790577</v>
      </c>
      <c r="AG12" s="102">
        <f t="shared" si="6"/>
        <v>0.12712926809450262</v>
      </c>
    </row>
    <row r="13" spans="1:33" x14ac:dyDescent="0.3">
      <c r="A13" s="52" t="s">
        <v>35</v>
      </c>
      <c r="B13" s="52">
        <v>430</v>
      </c>
      <c r="C13" s="52">
        <v>0.10349999999999999</v>
      </c>
      <c r="D13" s="52">
        <v>8.9700000000000002E-2</v>
      </c>
      <c r="E13" s="52">
        <v>3.9300000000000003E-3</v>
      </c>
      <c r="F13" s="52">
        <f t="shared" si="3"/>
        <v>1.2751000000000001</v>
      </c>
      <c r="G13" s="52">
        <v>90</v>
      </c>
      <c r="H13" s="52">
        <f t="shared" si="4"/>
        <v>60</v>
      </c>
      <c r="I13" s="157">
        <f t="shared" si="0"/>
        <v>7.166666666666667</v>
      </c>
      <c r="M13">
        <v>220</v>
      </c>
      <c r="P13">
        <f>100</f>
        <v>100</v>
      </c>
      <c r="Q13">
        <f>100</f>
        <v>100</v>
      </c>
      <c r="W13" t="str">
        <f>INDEX(CABOS[CONDUTORES],12)</f>
        <v>240 Cu</v>
      </c>
      <c r="X13" t="str">
        <f t="shared" si="1"/>
        <v>CU</v>
      </c>
      <c r="Y13" t="str">
        <f t="shared" si="2"/>
        <v>240_CU</v>
      </c>
      <c r="AA13" t="s">
        <v>35</v>
      </c>
      <c r="AB13" s="187">
        <f>(SQRT(3)*((CABOS[[#This Row],[DIVISOR_R]]*COS(fator_potencia))+(SIN(fator_potencia)*CABOS[[#This Row],[Reatância]])))/1000</f>
        <v>1.4615854396981102E-3</v>
      </c>
      <c r="AC13" s="187">
        <f>2*((CABOS[[#This Row],[DIVISOR_R]]*COS(fator_potencia))+(SIN(fator_potencia)*CABOS[[#This Row],[Reatância]]))/1000</f>
        <v>1.687693494106683E-3</v>
      </c>
      <c r="AD13" s="187">
        <f>CABOS[[#This Row],[(A)]]*AB13</f>
        <v>0.62848173907018745</v>
      </c>
      <c r="AE13" s="187">
        <f>CABOS[[#This Row],[(A)]]*AC13</f>
        <v>0.72570820246587364</v>
      </c>
      <c r="AF13" s="189">
        <f t="shared" si="5"/>
        <v>25.139269562807499</v>
      </c>
      <c r="AG13" s="102">
        <f t="shared" si="6"/>
        <v>0.11426940710367045</v>
      </c>
    </row>
    <row r="14" spans="1:33" x14ac:dyDescent="0.3">
      <c r="A14" s="52" t="s">
        <v>91</v>
      </c>
      <c r="B14" s="52">
        <v>700</v>
      </c>
      <c r="C14" s="52">
        <v>5.6800000000000003E-2</v>
      </c>
      <c r="D14" s="52">
        <v>8.4900000000000003E-2</v>
      </c>
      <c r="E14" s="52">
        <v>3.9300000000000003E-3</v>
      </c>
      <c r="F14" s="52">
        <f t="shared" si="3"/>
        <v>1.2751000000000001</v>
      </c>
      <c r="G14" s="52">
        <v>90</v>
      </c>
      <c r="H14" s="52">
        <f t="shared" si="4"/>
        <v>60</v>
      </c>
      <c r="I14" s="157">
        <f t="shared" si="0"/>
        <v>11.666666666666666</v>
      </c>
      <c r="M14">
        <f>T_LINHA_TRF/SQRT(3)</f>
        <v>127.01705922171767</v>
      </c>
      <c r="P14">
        <f>125</f>
        <v>125</v>
      </c>
      <c r="Q14">
        <f>125</f>
        <v>125</v>
      </c>
      <c r="W14" t="str">
        <f>INDEX(CABOS[CONDUTORES],13)</f>
        <v>500 Cu</v>
      </c>
      <c r="X14" t="str">
        <f t="shared" si="1"/>
        <v>CU</v>
      </c>
      <c r="Y14" t="str">
        <f t="shared" si="2"/>
        <v>500_CU</v>
      </c>
      <c r="AA14" t="s">
        <v>91</v>
      </c>
      <c r="AB14" s="187">
        <f>(SQRT(3)*((CABOS[[#This Row],[DIVISOR_R]]*COS(fator_potencia))+(SIN(fator_potencia)*CABOS[[#This Row],[Reatância]])))/1000</f>
        <v>1.4549709320413721E-3</v>
      </c>
      <c r="AC14" s="187">
        <f>2*((CABOS[[#This Row],[DIVISOR_R]]*COS(fator_potencia))+(SIN(fator_potencia)*CABOS[[#This Row],[Reatância]]))/1000</f>
        <v>1.6800557185543338E-3</v>
      </c>
      <c r="AD14" s="187">
        <f>CABOS[[#This Row],[(A)]]*AB14</f>
        <v>1.0184796524289605</v>
      </c>
      <c r="AE14" s="187">
        <f>CABOS[[#This Row],[(A)]]*AC14</f>
        <v>1.1760390029880337</v>
      </c>
      <c r="AF14" s="189">
        <f t="shared" si="5"/>
        <v>40.739186097158424</v>
      </c>
      <c r="AG14" s="102">
        <f t="shared" si="6"/>
        <v>0.18517811862344738</v>
      </c>
    </row>
    <row r="15" spans="1:33" x14ac:dyDescent="0.3">
      <c r="A15" s="52" t="s">
        <v>92</v>
      </c>
      <c r="B15" s="52">
        <v>63</v>
      </c>
      <c r="C15" s="52">
        <v>2.3801016600000002</v>
      </c>
      <c r="D15" s="52">
        <v>0.10100000000000001</v>
      </c>
      <c r="E15" s="52">
        <v>3.9300000000000003E-3</v>
      </c>
      <c r="F15" s="52">
        <f t="shared" si="3"/>
        <v>1.2751000000000001</v>
      </c>
      <c r="G15" s="52">
        <v>90</v>
      </c>
      <c r="H15" s="52">
        <f t="shared" si="4"/>
        <v>60</v>
      </c>
      <c r="I15" s="157">
        <f t="shared" si="0"/>
        <v>1.05</v>
      </c>
      <c r="J15" t="s">
        <v>93</v>
      </c>
      <c r="K15" s="59">
        <f>'GERAL PROJ'!O3</f>
        <v>112.5</v>
      </c>
      <c r="P15">
        <f>160</f>
        <v>160</v>
      </c>
      <c r="Q15">
        <f>160</f>
        <v>160</v>
      </c>
      <c r="W15" t="str">
        <f>INDEX(CABOS[CONDUTORES],14)</f>
        <v>10 Cu_CONC_bi</v>
      </c>
      <c r="X15" t="str">
        <f t="shared" si="1"/>
        <v>CU</v>
      </c>
      <c r="Y15" t="str">
        <f t="shared" si="2"/>
        <v>10_CU_CONC_BI</v>
      </c>
      <c r="AA15" t="s">
        <v>92</v>
      </c>
      <c r="AB15" s="187">
        <f>(SQRT(3)*((CABOS[[#This Row],[DIVISOR_R]]*COS(fator_potencia))+(SIN(fator_potencia)*CABOS[[#This Row],[Reatância]])))/1000</f>
        <v>1.4771570931400144E-3</v>
      </c>
      <c r="AC15" s="187">
        <f>2*((CABOS[[#This Row],[DIVISOR_R]]*COS(fator_potencia))+(SIN(fator_potencia)*CABOS[[#This Row],[Reatância]]))/1000</f>
        <v>1.7056740907195049E-3</v>
      </c>
      <c r="AD15" s="187">
        <f>CABOS[[#This Row],[(A)]]*AB15</f>
        <v>9.3060896867820903E-2</v>
      </c>
      <c r="AE15" s="187">
        <f>CABOS[[#This Row],[(A)]]*AC15</f>
        <v>0.10745746771532881</v>
      </c>
      <c r="AF15" s="189">
        <f t="shared" si="5"/>
        <v>3.7224358747128363</v>
      </c>
      <c r="AG15" s="102">
        <f t="shared" si="6"/>
        <v>1.6920163066876527E-2</v>
      </c>
    </row>
    <row r="16" spans="1:33" x14ac:dyDescent="0.3">
      <c r="A16" s="52" t="s">
        <v>94</v>
      </c>
      <c r="B16" s="52">
        <v>63</v>
      </c>
      <c r="C16" s="52">
        <v>2.3801016600000002</v>
      </c>
      <c r="D16" s="52">
        <v>0.10100000000000001</v>
      </c>
      <c r="E16" s="52">
        <v>3.9300000000000003E-3</v>
      </c>
      <c r="F16" s="52">
        <f t="shared" si="3"/>
        <v>1.2751000000000001</v>
      </c>
      <c r="G16" s="52">
        <v>90</v>
      </c>
      <c r="H16" s="52">
        <f t="shared" si="4"/>
        <v>60</v>
      </c>
      <c r="I16" s="157">
        <f t="shared" si="0"/>
        <v>1.05</v>
      </c>
      <c r="J16" t="s">
        <v>95</v>
      </c>
      <c r="K16" s="59" t="str">
        <f>RAMAL!AC24</f>
        <v/>
      </c>
      <c r="P16">
        <f>200</f>
        <v>200</v>
      </c>
      <c r="Q16">
        <f>200</f>
        <v>200</v>
      </c>
      <c r="W16" t="str">
        <f>INDEX(CABOS[CONDUTORES],15)</f>
        <v>10 Cu_CONC_Tri</v>
      </c>
      <c r="X16" t="str">
        <f t="shared" si="1"/>
        <v>CU</v>
      </c>
      <c r="Y16" t="str">
        <f t="shared" si="2"/>
        <v>10_CU_CONC_TRI</v>
      </c>
      <c r="AA16" t="s">
        <v>94</v>
      </c>
      <c r="AB16" s="187">
        <f>(SQRT(3)*((CABOS[[#This Row],[DIVISOR_R]]*COS(fator_potencia))+(SIN(fator_potencia)*CABOS[[#This Row],[Reatância]])))/1000</f>
        <v>1.4771570931400144E-3</v>
      </c>
      <c r="AC16" s="187">
        <f>2*((CABOS[[#This Row],[DIVISOR_R]]*COS(fator_potencia))+(SIN(fator_potencia)*CABOS[[#This Row],[Reatância]]))/1000</f>
        <v>1.7056740907195049E-3</v>
      </c>
      <c r="AD16" s="187">
        <f>CABOS[[#This Row],[(A)]]*AB16</f>
        <v>9.3060896867820903E-2</v>
      </c>
      <c r="AE16" s="187">
        <f>CABOS[[#This Row],[(A)]]*AC16</f>
        <v>0.10745746771532881</v>
      </c>
      <c r="AF16" s="189">
        <f t="shared" si="5"/>
        <v>3.7224358747128363</v>
      </c>
      <c r="AG16" s="102">
        <f t="shared" si="6"/>
        <v>1.6920163066876527E-2</v>
      </c>
    </row>
    <row r="17" spans="1:33" x14ac:dyDescent="0.3">
      <c r="A17" s="52" t="s">
        <v>96</v>
      </c>
      <c r="B17" s="52">
        <v>63</v>
      </c>
      <c r="C17" s="52">
        <v>2.4977872200000002</v>
      </c>
      <c r="D17" s="52">
        <v>8.5000000000000006E-2</v>
      </c>
      <c r="E17" s="52">
        <v>4.0299999999999997E-3</v>
      </c>
      <c r="F17" s="52">
        <f t="shared" si="3"/>
        <v>1.2821</v>
      </c>
      <c r="G17" s="52">
        <v>90</v>
      </c>
      <c r="H17" s="52">
        <f t="shared" si="4"/>
        <v>60</v>
      </c>
      <c r="I17" s="157">
        <f t="shared" si="0"/>
        <v>1.05</v>
      </c>
      <c r="J17" t="s">
        <v>83</v>
      </c>
      <c r="K17" s="65" t="e">
        <f>(K16/K15)*VLOOKUP(K15,TRAFOS_Z[],2,0)</f>
        <v>#VALUE!</v>
      </c>
      <c r="P17">
        <f>250</f>
        <v>250</v>
      </c>
      <c r="Q17">
        <f>250</f>
        <v>250</v>
      </c>
      <c r="W17" t="str">
        <f>INDEX(CABOS[CONDUTORES],16)</f>
        <v>16 Al_CONC_bi</v>
      </c>
      <c r="X17" t="str">
        <f t="shared" si="1"/>
        <v>AL</v>
      </c>
      <c r="Y17" t="str">
        <f t="shared" si="2"/>
        <v>16_AL_CONC_BI</v>
      </c>
      <c r="AA17" t="s">
        <v>96</v>
      </c>
      <c r="AB17" s="187">
        <f>(SQRT(3)*((CABOS[[#This Row],[DIVISOR_R]]*COS(fator_potencia))+(SIN(fator_potencia)*CABOS[[#This Row],[Reatância]])))/1000</f>
        <v>1.4624539133251113E-3</v>
      </c>
      <c r="AC17" s="187">
        <f>2*((CABOS[[#This Row],[DIVISOR_R]]*COS(fator_potencia))+(SIN(fator_potencia)*CABOS[[#This Row],[Reatância]]))/1000</f>
        <v>1.6886963210713496E-3</v>
      </c>
      <c r="AD17" s="187">
        <f>CABOS[[#This Row],[(A)]]*AB17</f>
        <v>9.2134596539482014E-2</v>
      </c>
      <c r="AE17" s="187">
        <f>CABOS[[#This Row],[(A)]]*AC17</f>
        <v>0.10638786822749502</v>
      </c>
      <c r="AF17" s="189">
        <f t="shared" si="5"/>
        <v>3.6853838615792807</v>
      </c>
      <c r="AG17" s="102">
        <f t="shared" si="6"/>
        <v>1.6751744825360366E-2</v>
      </c>
    </row>
    <row r="18" spans="1:33" x14ac:dyDescent="0.3">
      <c r="A18" s="52" t="s">
        <v>97</v>
      </c>
      <c r="B18" s="52">
        <v>63</v>
      </c>
      <c r="C18" s="52">
        <v>2.4977872200000002</v>
      </c>
      <c r="D18" s="52">
        <v>0.85</v>
      </c>
      <c r="E18" s="52">
        <v>4.0299999999999997E-3</v>
      </c>
      <c r="F18" s="52">
        <f t="shared" si="3"/>
        <v>1.2821</v>
      </c>
      <c r="G18" s="52">
        <v>90</v>
      </c>
      <c r="H18" s="52">
        <f t="shared" si="4"/>
        <v>60</v>
      </c>
      <c r="I18" s="157">
        <f t="shared" si="0"/>
        <v>1.05</v>
      </c>
      <c r="P18">
        <f>315</f>
        <v>315</v>
      </c>
      <c r="Q18">
        <f>315</f>
        <v>315</v>
      </c>
      <c r="W18" t="str">
        <f>INDEX(CABOS[CONDUTORES],17)</f>
        <v>16 Al_CONC_Tri</v>
      </c>
      <c r="X18" t="str">
        <f t="shared" si="1"/>
        <v>AL</v>
      </c>
      <c r="Y18" t="str">
        <f t="shared" si="2"/>
        <v>16_AL_CONC_TRI</v>
      </c>
      <c r="AA18" t="s">
        <v>97</v>
      </c>
      <c r="AB18" s="187">
        <f>(SQRT(3)*((CABOS[[#This Row],[DIVISOR_R]]*COS(fator_potencia))+(SIN(fator_potencia)*CABOS[[#This Row],[Reatância]])))/1000</f>
        <v>2.5166410711177393E-3</v>
      </c>
      <c r="AC18" s="187">
        <f>2*((CABOS[[#This Row],[DIVISOR_R]]*COS(fator_potencia))+(SIN(fator_potencia)*CABOS[[#This Row],[Reatância]]))/1000</f>
        <v>2.9059667997269898E-3</v>
      </c>
      <c r="AD18" s="187">
        <f>CABOS[[#This Row],[(A)]]*AB18</f>
        <v>0.15854838748041758</v>
      </c>
      <c r="AE18" s="187">
        <f>CABOS[[#This Row],[(A)]]*AC18</f>
        <v>0.18307590838280036</v>
      </c>
      <c r="AF18" s="189">
        <f t="shared" si="5"/>
        <v>6.341935499216703</v>
      </c>
      <c r="AG18" s="102">
        <f t="shared" si="6"/>
        <v>2.8826979541894105E-2</v>
      </c>
    </row>
    <row r="19" spans="1:33" x14ac:dyDescent="0.3">
      <c r="A19" s="52" t="s">
        <v>98</v>
      </c>
      <c r="B19" s="52">
        <v>63</v>
      </c>
      <c r="C19" s="52">
        <v>2.6655000000000002</v>
      </c>
      <c r="D19" s="52">
        <v>0.1022</v>
      </c>
      <c r="E19" s="52">
        <v>4.0299999999999997E-3</v>
      </c>
      <c r="F19" s="52">
        <f t="shared" si="3"/>
        <v>1.2015</v>
      </c>
      <c r="G19" s="52">
        <v>70</v>
      </c>
      <c r="H19" s="52">
        <f t="shared" si="4"/>
        <v>40</v>
      </c>
      <c r="I19" s="157">
        <f t="shared" si="0"/>
        <v>1.575</v>
      </c>
      <c r="J19" t="s">
        <v>99</v>
      </c>
      <c r="K19" s="65" t="e">
        <f>QT_MT+K17</f>
        <v>#VALUE!</v>
      </c>
      <c r="P19">
        <f>400</f>
        <v>400</v>
      </c>
      <c r="Q19">
        <f>400</f>
        <v>400</v>
      </c>
      <c r="W19" t="str">
        <f>INDEX(CABOS[CONDUTORES],18)</f>
        <v>13 Al - DX</v>
      </c>
      <c r="X19" t="str">
        <f t="shared" si="1"/>
        <v>AL</v>
      </c>
      <c r="Y19" t="str">
        <f t="shared" si="2"/>
        <v>13_AL_DX</v>
      </c>
      <c r="AA19" t="s">
        <v>98</v>
      </c>
      <c r="AB19" s="187">
        <f>(SQRT(3)*((CABOS[[#This Row],[DIVISOR_R]]*COS(fator_potencia))+(SIN(fator_potencia)*CABOS[[#This Row],[Reatância]])))/1000</f>
        <v>1.4015814089956909E-3</v>
      </c>
      <c r="AC19" s="187">
        <f>2*((CABOS[[#This Row],[DIVISOR_R]]*COS(fator_potencia))+(SIN(fator_potencia)*CABOS[[#This Row],[Reatância]]))/1000</f>
        <v>1.6184068075496742E-3</v>
      </c>
      <c r="AD19" s="187">
        <f>CABOS[[#This Row],[(A)]]*AB19</f>
        <v>8.8299628766728519E-2</v>
      </c>
      <c r="AE19" s="187">
        <f>CABOS[[#This Row],[(A)]]*AC19</f>
        <v>0.10195962887562948</v>
      </c>
      <c r="AF19" s="189">
        <f t="shared" si="5"/>
        <v>3.5319851506691409</v>
      </c>
      <c r="AG19" s="102">
        <f t="shared" si="6"/>
        <v>1.6054477957587004E-2</v>
      </c>
    </row>
    <row r="20" spans="1:33" x14ac:dyDescent="0.3">
      <c r="A20" s="52" t="s">
        <v>100</v>
      </c>
      <c r="B20" s="52">
        <v>63</v>
      </c>
      <c r="C20" s="52">
        <v>2.6655000000000002</v>
      </c>
      <c r="D20" s="52">
        <v>0.1158</v>
      </c>
      <c r="E20" s="52">
        <v>4.0299999999999997E-3</v>
      </c>
      <c r="F20" s="52">
        <f t="shared" si="3"/>
        <v>1.2015</v>
      </c>
      <c r="G20" s="52">
        <v>70</v>
      </c>
      <c r="H20" s="52">
        <f t="shared" si="4"/>
        <v>40</v>
      </c>
      <c r="I20" s="157">
        <f t="shared" si="0"/>
        <v>1.575</v>
      </c>
      <c r="P20">
        <f>500</f>
        <v>500</v>
      </c>
      <c r="Q20">
        <f>500</f>
        <v>500</v>
      </c>
      <c r="W20" t="str">
        <f>INDEX(CABOS[CONDUTORES],19)</f>
        <v>13 Al - TX</v>
      </c>
      <c r="X20" t="str">
        <f t="shared" si="1"/>
        <v>AL</v>
      </c>
      <c r="Y20" t="str">
        <f t="shared" si="2"/>
        <v>13_AL_TX</v>
      </c>
      <c r="AA20" t="s">
        <v>100</v>
      </c>
      <c r="AB20" s="187">
        <f>(SQRT(3)*((CABOS[[#This Row],[DIVISOR_R]]*COS(fator_potencia))+(SIN(fator_potencia)*CABOS[[#This Row],[Reatância]])))/1000</f>
        <v>1.4203225140231152E-3</v>
      </c>
      <c r="AC20" s="187">
        <f>2*((CABOS[[#This Row],[DIVISOR_R]]*COS(fator_potencia))+(SIN(fator_potencia)*CABOS[[#This Row],[Reatância]]))/1000</f>
        <v>1.6400471716146634E-3</v>
      </c>
      <c r="AD20" s="187">
        <f>CABOS[[#This Row],[(A)]]*AB20</f>
        <v>8.9480318383456256E-2</v>
      </c>
      <c r="AE20" s="187">
        <f>CABOS[[#This Row],[(A)]]*AC20</f>
        <v>0.1033229718117238</v>
      </c>
      <c r="AF20" s="189">
        <f t="shared" si="5"/>
        <v>3.5792127353382504</v>
      </c>
      <c r="AG20" s="102">
        <f t="shared" si="6"/>
        <v>1.6269148796992046E-2</v>
      </c>
    </row>
    <row r="21" spans="1:33" x14ac:dyDescent="0.3">
      <c r="A21" s="52" t="s">
        <v>101</v>
      </c>
      <c r="B21" s="52">
        <v>63</v>
      </c>
      <c r="C21" s="52">
        <v>2.6655000000000002</v>
      </c>
      <c r="D21" s="52">
        <v>0.1384</v>
      </c>
      <c r="E21" s="52">
        <v>4.0299999999999997E-3</v>
      </c>
      <c r="F21" s="52">
        <f t="shared" si="3"/>
        <v>1.2015</v>
      </c>
      <c r="G21" s="52">
        <v>70</v>
      </c>
      <c r="H21" s="52">
        <f t="shared" si="4"/>
        <v>40</v>
      </c>
      <c r="I21" s="157">
        <f t="shared" si="0"/>
        <v>1.575</v>
      </c>
      <c r="P21">
        <f>630</f>
        <v>630</v>
      </c>
      <c r="Q21">
        <f>630</f>
        <v>630</v>
      </c>
      <c r="W21" t="str">
        <f>INDEX(CABOS[CONDUTORES],20)</f>
        <v>13 Al - QX</v>
      </c>
      <c r="X21" t="str">
        <f t="shared" si="1"/>
        <v>AL</v>
      </c>
      <c r="Y21" t="str">
        <f t="shared" si="2"/>
        <v>13_AL_QX</v>
      </c>
      <c r="AA21" t="s">
        <v>101</v>
      </c>
      <c r="AB21" s="187">
        <f>(SQRT(3)*((CABOS[[#This Row],[DIVISOR_R]]*COS(fator_potencia))+(SIN(fator_potencia)*CABOS[[#This Row],[Reatância]])))/1000</f>
        <v>1.4514658209069237E-3</v>
      </c>
      <c r="AC21" s="187">
        <f>2*((CABOS[[#This Row],[DIVISOR_R]]*COS(fator_potencia))+(SIN(fator_potencia)*CABOS[[#This Row],[Reatância]]))/1000</f>
        <v>1.6760083648403072E-3</v>
      </c>
      <c r="AD21" s="187">
        <f>CABOS[[#This Row],[(A)]]*AB21</f>
        <v>9.1442346717136191E-2</v>
      </c>
      <c r="AE21" s="187">
        <f>CABOS[[#This Row],[(A)]]*AC21</f>
        <v>0.10558852698493935</v>
      </c>
      <c r="AF21" s="189">
        <f t="shared" si="5"/>
        <v>3.6576938686854477</v>
      </c>
      <c r="AG21" s="102">
        <f t="shared" si="6"/>
        <v>1.6625881221297489E-2</v>
      </c>
    </row>
    <row r="22" spans="1:33" x14ac:dyDescent="0.3">
      <c r="A22" s="52" t="s">
        <v>102</v>
      </c>
      <c r="B22" s="52">
        <v>63</v>
      </c>
      <c r="C22" s="52">
        <v>1.677</v>
      </c>
      <c r="D22" s="52">
        <v>0.13500000000000001</v>
      </c>
      <c r="E22" s="52">
        <v>4.0299999999999997E-3</v>
      </c>
      <c r="F22" s="52">
        <f t="shared" si="3"/>
        <v>1.2015</v>
      </c>
      <c r="G22" s="52">
        <v>70</v>
      </c>
      <c r="H22" s="52">
        <f t="shared" si="4"/>
        <v>40</v>
      </c>
      <c r="I22" s="157">
        <f t="shared" si="0"/>
        <v>1.575</v>
      </c>
      <c r="J22" t="s">
        <v>103</v>
      </c>
      <c r="K22" s="59">
        <f>'GERAL PROJ2'!O3</f>
        <v>112.5</v>
      </c>
      <c r="W22" t="str">
        <f>INDEX(CABOS[CONDUTORES],21)</f>
        <v>21 Al - QX</v>
      </c>
      <c r="X22" t="str">
        <f t="shared" si="1"/>
        <v>AL</v>
      </c>
      <c r="Y22" t="str">
        <f t="shared" si="2"/>
        <v>21_AL_QX</v>
      </c>
      <c r="AA22" t="s">
        <v>102</v>
      </c>
      <c r="AB22" s="187">
        <f>(SQRT(3)*((CABOS[[#This Row],[DIVISOR_R]]*COS(fator_potencia))+(SIN(fator_potencia)*CABOS[[#This Row],[Reatância]])))/1000</f>
        <v>1.4467805446500676E-3</v>
      </c>
      <c r="AC22" s="187">
        <f>2*((CABOS[[#This Row],[DIVISOR_R]]*COS(fator_potencia))+(SIN(fator_potencia)*CABOS[[#This Row],[Reatância]]))/1000</f>
        <v>1.6705982738240599E-3</v>
      </c>
      <c r="AD22" s="187">
        <f>CABOS[[#This Row],[(A)]]*AB22</f>
        <v>9.1147174312954257E-2</v>
      </c>
      <c r="AE22" s="187">
        <f>CABOS[[#This Row],[(A)]]*AC22</f>
        <v>0.10524769125091578</v>
      </c>
      <c r="AF22" s="189">
        <f t="shared" si="5"/>
        <v>3.6458869725181704</v>
      </c>
      <c r="AG22" s="102">
        <f t="shared" si="6"/>
        <v>1.6572213511446228E-2</v>
      </c>
    </row>
    <row r="23" spans="1:33" x14ac:dyDescent="0.3">
      <c r="A23" s="52" t="s">
        <v>20</v>
      </c>
      <c r="B23" s="52">
        <v>63</v>
      </c>
      <c r="C23" s="52">
        <v>0.66410000000000002</v>
      </c>
      <c r="D23" s="52">
        <v>0.13109999999999999</v>
      </c>
      <c r="E23" s="52">
        <v>4.0299999999999997E-3</v>
      </c>
      <c r="F23" s="52">
        <f t="shared" si="3"/>
        <v>1.2015</v>
      </c>
      <c r="G23" s="52">
        <v>70</v>
      </c>
      <c r="H23" s="52">
        <f t="shared" si="4"/>
        <v>40</v>
      </c>
      <c r="I23" s="157">
        <f t="shared" si="0"/>
        <v>1.575</v>
      </c>
      <c r="J23" t="s">
        <v>104</v>
      </c>
      <c r="K23" s="59" t="str">
        <f>RAMAL!AE24</f>
        <v/>
      </c>
      <c r="W23" t="str">
        <f>INDEX(CABOS[CONDUTORES],22)</f>
        <v>53 Al - QX</v>
      </c>
      <c r="X23" t="str">
        <f t="shared" si="1"/>
        <v>AL</v>
      </c>
      <c r="Y23" t="str">
        <f t="shared" si="2"/>
        <v>53_AL_QX</v>
      </c>
      <c r="AA23" t="s">
        <v>20</v>
      </c>
      <c r="AB23" s="187">
        <f>(SQRT(3)*((CABOS[[#This Row],[DIVISOR_R]]*COS(fator_potencia))+(SIN(fator_potencia)*CABOS[[#This Row],[Reatância]])))/1000</f>
        <v>1.4414062571789679E-3</v>
      </c>
      <c r="AC23" s="187">
        <f>2*((CABOS[[#This Row],[DIVISOR_R]]*COS(fator_potencia))+(SIN(fator_potencia)*CABOS[[#This Row],[Reatância]]))/1000</f>
        <v>1.6643925811877763E-3</v>
      </c>
      <c r="AD23" s="187">
        <f>CABOS[[#This Row],[(A)]]*AB23</f>
        <v>9.0808594202274981E-2</v>
      </c>
      <c r="AE23" s="187">
        <f>CABOS[[#This Row],[(A)]]*AC23</f>
        <v>0.1048567326148299</v>
      </c>
      <c r="AF23" s="189">
        <f t="shared" si="5"/>
        <v>3.6323437680909993</v>
      </c>
      <c r="AG23" s="102">
        <f t="shared" si="6"/>
        <v>1.6510653491322726E-2</v>
      </c>
    </row>
    <row r="24" spans="1:33" x14ac:dyDescent="0.3">
      <c r="A24" s="52" t="s">
        <v>284</v>
      </c>
      <c r="B24" s="52">
        <v>163</v>
      </c>
      <c r="C24" s="52">
        <v>0.66410000000000002</v>
      </c>
      <c r="D24" s="52">
        <v>0.13109999999999999</v>
      </c>
      <c r="E24" s="52">
        <v>4.0299999999999997E-3</v>
      </c>
      <c r="F24" s="52">
        <f t="shared" si="3"/>
        <v>1.2821</v>
      </c>
      <c r="G24" s="52">
        <v>90</v>
      </c>
      <c r="H24" s="52">
        <f t="shared" si="4"/>
        <v>60</v>
      </c>
      <c r="I24" s="157">
        <f t="shared" si="0"/>
        <v>2.7166666666666668</v>
      </c>
      <c r="J24" t="s">
        <v>83</v>
      </c>
      <c r="K24" s="65" t="e">
        <f>(K23/K22)*VLOOKUP(K22,TRAFOS_Z[],2,0)</f>
        <v>#VALUE!</v>
      </c>
      <c r="W24" t="str">
        <f>INDEX(CABOS[CONDUTORES],23)</f>
        <v>53 AA</v>
      </c>
      <c r="X24" t="str">
        <f t="shared" si="1"/>
        <v>AA</v>
      </c>
      <c r="Y24" t="str">
        <f t="shared" si="2"/>
        <v>53_AA</v>
      </c>
      <c r="AA24" t="s">
        <v>284</v>
      </c>
      <c r="AB24" s="187">
        <f>(SQRT(3)*((CABOS[[#This Row],[DIVISOR_R]]*COS(fator_potencia))+(SIN(fator_potencia)*CABOS[[#This Row],[Reatância]])))/1000</f>
        <v>1.5259807472783665E-3</v>
      </c>
      <c r="AC24" s="187">
        <f>2*((CABOS[[#This Row],[DIVISOR_R]]*COS(fator_potencia))+(SIN(fator_potencia)*CABOS[[#This Row],[Reatância]]))/1000</f>
        <v>1.7620507904387024E-3</v>
      </c>
      <c r="AD24" s="187">
        <f>CABOS[[#This Row],[(A)]]*AB24</f>
        <v>0.24873486180637375</v>
      </c>
      <c r="AE24" s="187">
        <f>CABOS[[#This Row],[(A)]]*AC24</f>
        <v>0.28721427884150846</v>
      </c>
      <c r="AF24" s="189">
        <f t="shared" si="5"/>
        <v>9.9493944722549497</v>
      </c>
      <c r="AG24" s="102">
        <f t="shared" si="6"/>
        <v>4.5224520328431592E-2</v>
      </c>
    </row>
    <row r="25" spans="1:33" s="83" customFormat="1" x14ac:dyDescent="0.3">
      <c r="A25" s="190" t="s">
        <v>6</v>
      </c>
      <c r="B25" s="190">
        <v>202</v>
      </c>
      <c r="C25" s="190">
        <v>0.56969999999999998</v>
      </c>
      <c r="D25" s="190">
        <v>0.126</v>
      </c>
      <c r="E25" s="190">
        <v>4.0299999999999997E-3</v>
      </c>
      <c r="F25" s="190">
        <f t="shared" si="3"/>
        <v>1.2821</v>
      </c>
      <c r="G25" s="190">
        <v>90</v>
      </c>
      <c r="H25" s="190">
        <f t="shared" si="4"/>
        <v>60</v>
      </c>
      <c r="I25" s="191">
        <f t="shared" si="0"/>
        <v>3.3666666666666667</v>
      </c>
      <c r="W25" s="83" t="str">
        <f>INDEX(CABOS[CONDUTORES],24)</f>
        <v>70 Al - MX</v>
      </c>
      <c r="X25" s="83" t="str">
        <f t="shared" si="1"/>
        <v>AL</v>
      </c>
      <c r="Y25" s="83" t="str">
        <f t="shared" si="2"/>
        <v>70_AL_MX</v>
      </c>
      <c r="AA25" s="83" t="s">
        <v>6</v>
      </c>
      <c r="AB25" s="187">
        <f>(SQRT(3)*((CABOS[[#This Row],[DIVISOR_R]]*COS(fator_potencia))+(SIN(fator_potencia)*CABOS[[#This Row],[Reatância]])))/1000</f>
        <v>1.518952832893082E-3</v>
      </c>
      <c r="AC25" s="187">
        <f>2*((CABOS[[#This Row],[DIVISOR_R]]*COS(fator_potencia))+(SIN(fator_potencia)*CABOS[[#This Row],[Reatância]]))/1000</f>
        <v>1.7539356539143314E-3</v>
      </c>
      <c r="AD25" s="192">
        <f>CABOS[[#This Row],[(A)]]*AB25</f>
        <v>0.30682847224440257</v>
      </c>
      <c r="AE25" s="192">
        <f>CABOS[[#This Row],[(A)]]*AC25</f>
        <v>0.35429500209069492</v>
      </c>
      <c r="AF25" s="193">
        <f t="shared" si="5"/>
        <v>12.273138889776103</v>
      </c>
      <c r="AG25" s="194">
        <f t="shared" si="6"/>
        <v>5.5786994953527742E-2</v>
      </c>
    </row>
    <row r="26" spans="1:33" s="83" customFormat="1" x14ac:dyDescent="0.3">
      <c r="A26" s="190" t="s">
        <v>9</v>
      </c>
      <c r="B26" s="190">
        <v>355</v>
      </c>
      <c r="C26" s="190">
        <v>0.21490000000000001</v>
      </c>
      <c r="D26" s="190">
        <v>0.1178</v>
      </c>
      <c r="E26" s="190">
        <v>4.0299999999999997E-3</v>
      </c>
      <c r="F26" s="190">
        <f t="shared" si="3"/>
        <v>1.2821</v>
      </c>
      <c r="G26" s="190">
        <v>90</v>
      </c>
      <c r="H26" s="190">
        <f t="shared" si="4"/>
        <v>60</v>
      </c>
      <c r="I26" s="191">
        <f t="shared" si="0"/>
        <v>5.916666666666667</v>
      </c>
      <c r="J26" s="83" t="s">
        <v>105</v>
      </c>
      <c r="K26" s="195" t="e">
        <f>QT_MT+K24</f>
        <v>#VALUE!</v>
      </c>
      <c r="W26" s="83" t="str">
        <f>INDEX(CABOS[CONDUTORES],25)</f>
        <v>185 Al - MX</v>
      </c>
      <c r="X26" s="83" t="str">
        <f t="shared" si="1"/>
        <v>AL</v>
      </c>
      <c r="Y26" s="83" t="str">
        <f t="shared" si="2"/>
        <v>185_AL_MX</v>
      </c>
      <c r="AA26" s="83" t="s">
        <v>9</v>
      </c>
      <c r="AB26" s="187">
        <f>(SQRT(3)*((CABOS[[#This Row],[DIVISOR_R]]*COS(fator_potencia))+(SIN(fator_potencia)*CABOS[[#This Row],[Reatância]])))/1000</f>
        <v>1.5076530489794881E-3</v>
      </c>
      <c r="AC26" s="187">
        <f>2*((CABOS[[#This Row],[DIVISOR_R]]*COS(fator_potencia))+(SIN(fator_potencia)*CABOS[[#This Row],[Reatância]]))/1000</f>
        <v>1.740887787345735E-3</v>
      </c>
      <c r="AD26" s="192">
        <f>CABOS[[#This Row],[(A)]]*AB26</f>
        <v>0.53521683238771822</v>
      </c>
      <c r="AE26" s="192">
        <f>CABOS[[#This Row],[(A)]]*AC26</f>
        <v>0.61801516450773597</v>
      </c>
      <c r="AF26" s="193">
        <f t="shared" si="5"/>
        <v>21.408673295508727</v>
      </c>
      <c r="AG26" s="194">
        <f t="shared" si="6"/>
        <v>9.7312151343221492E-2</v>
      </c>
    </row>
    <row r="27" spans="1:33" s="83" customFormat="1" x14ac:dyDescent="0.3">
      <c r="A27" s="190" t="s">
        <v>12</v>
      </c>
      <c r="B27" s="190">
        <v>473</v>
      </c>
      <c r="C27" s="190">
        <v>0.16300000000000001</v>
      </c>
      <c r="D27" s="190">
        <v>9.0300000000000005E-2</v>
      </c>
      <c r="E27" s="190">
        <v>4.0299999999999997E-3</v>
      </c>
      <c r="F27" s="190">
        <f t="shared" si="3"/>
        <v>1.2821</v>
      </c>
      <c r="G27" s="190">
        <v>90</v>
      </c>
      <c r="H27" s="190">
        <f t="shared" si="4"/>
        <v>60</v>
      </c>
      <c r="I27" s="191">
        <f t="shared" si="0"/>
        <v>7.8833333333333337</v>
      </c>
      <c r="P27" s="83" t="s">
        <v>107</v>
      </c>
      <c r="Q27" s="83" t="s">
        <v>108</v>
      </c>
      <c r="AA27" s="83" t="s">
        <v>12</v>
      </c>
      <c r="AB27" s="187">
        <f>(SQRT(3)*((CABOS[[#This Row],[DIVISOR_R]]*COS(fator_potencia))+(SIN(fator_potencia)*CABOS[[#This Row],[Reatância]])))/1000</f>
        <v>1.4697574321960929E-3</v>
      </c>
      <c r="AC27" s="187">
        <f>2*((CABOS[[#This Row],[DIVISOR_R]]*COS(fator_potencia))+(SIN(fator_potencia)*CABOS[[#This Row],[Reatância]]))/1000</f>
        <v>1.6971296982437349E-3</v>
      </c>
      <c r="AD27" s="192">
        <f>CABOS[[#This Row],[(A)]]*AB27</f>
        <v>0.69519526542875187</v>
      </c>
      <c r="AE27" s="192">
        <f>CABOS[[#This Row],[(A)]]*AC27</f>
        <v>0.80274234726928662</v>
      </c>
      <c r="AF27" s="193">
        <f t="shared" si="5"/>
        <v>27.807810617150075</v>
      </c>
      <c r="AG27" s="194">
        <f t="shared" si="6"/>
        <v>0.12639913916886397</v>
      </c>
    </row>
    <row r="28" spans="1:33" ht="15.6" customHeight="1" x14ac:dyDescent="0.3">
      <c r="A28" s="52" t="s">
        <v>106</v>
      </c>
      <c r="B28" s="52">
        <v>65</v>
      </c>
      <c r="C28" s="52">
        <v>1.3</v>
      </c>
      <c r="D28" s="52">
        <v>0.09</v>
      </c>
      <c r="E28" s="52">
        <v>4.0299999999999997E-3</v>
      </c>
      <c r="F28" s="52">
        <f t="shared" si="3"/>
        <v>1.2821</v>
      </c>
      <c r="G28" s="52">
        <f>IF(OR(A28="13 Al - DX",A28="13 Al - TX",A28="13 Al - QX",A28="21 Al - QX",A28="53 Al - QX"),70,90)</f>
        <v>90</v>
      </c>
      <c r="H28" s="52">
        <f t="shared" si="4"/>
        <v>60</v>
      </c>
      <c r="I28" s="157">
        <f t="shared" si="0"/>
        <v>1.0833333333333333</v>
      </c>
      <c r="N28" s="81" t="s">
        <v>110</v>
      </c>
      <c r="O28" s="82" t="s">
        <v>111</v>
      </c>
      <c r="P28" s="83"/>
      <c r="Q28" s="82"/>
      <c r="S28" t="s">
        <v>112</v>
      </c>
      <c r="AA28" t="s">
        <v>106</v>
      </c>
      <c r="AB28" s="187">
        <f>(SQRT(3)*((CABOS[[#This Row],[DIVISOR_R]]*COS(fator_potencia))+(SIN(fator_potencia)*CABOS[[#This Row],[Reatância]])))/1000</f>
        <v>1.4693440254675467E-3</v>
      </c>
      <c r="AC28" s="187">
        <f>2*((CABOS[[#This Row],[DIVISOR_R]]*COS(fator_potencia))+(SIN(fator_potencia)*CABOS[[#This Row],[Reatância]]))/1000</f>
        <v>1.696652337271713E-3</v>
      </c>
      <c r="AD28" s="187">
        <f>CABOS[[#This Row],[(A)]]*AB28</f>
        <v>9.5507361655390532E-2</v>
      </c>
      <c r="AE28" s="187">
        <f>CABOS[[#This Row],[(A)]]*AC28</f>
        <v>0.11028240192266135</v>
      </c>
      <c r="AF28" s="189">
        <f t="shared" si="5"/>
        <v>3.8202944662156213</v>
      </c>
      <c r="AG28" s="102">
        <f t="shared" si="6"/>
        <v>1.7364974846434643E-2</v>
      </c>
    </row>
    <row r="29" spans="1:33" ht="15" customHeight="1" x14ac:dyDescent="0.3">
      <c r="A29" s="52" t="s">
        <v>109</v>
      </c>
      <c r="B29" s="52">
        <v>100</v>
      </c>
      <c r="C29" s="52">
        <v>0.82</v>
      </c>
      <c r="D29" s="52">
        <v>8.5000000000000006E-2</v>
      </c>
      <c r="E29" s="52">
        <v>4.0299999999999997E-3</v>
      </c>
      <c r="F29" s="52">
        <f t="shared" si="3"/>
        <v>1.2821</v>
      </c>
      <c r="G29" s="52">
        <f>IF(OR(A29="13 Al - DX",A29="13 Al - TX",A29="13 Al - QX",A29="21 Al - QX",A29="53 Al - QX"),70,90)</f>
        <v>90</v>
      </c>
      <c r="H29" s="52">
        <f t="shared" si="4"/>
        <v>60</v>
      </c>
      <c r="I29" s="157">
        <f t="shared" si="0"/>
        <v>1.6666666666666667</v>
      </c>
      <c r="N29" s="78" t="s">
        <v>114</v>
      </c>
      <c r="O29" s="77">
        <v>56371.129000000001</v>
      </c>
      <c r="Q29" s="77">
        <f>P29*O29</f>
        <v>0</v>
      </c>
      <c r="S29" s="85">
        <f>SUM(Q29:Q58)</f>
        <v>39745.57</v>
      </c>
      <c r="AA29" t="s">
        <v>109</v>
      </c>
      <c r="AB29" s="187">
        <f>(SQRT(3)*((CABOS[[#This Row],[DIVISOR_R]]*COS(fator_potencia))+(SIN(fator_potencia)*CABOS[[#This Row],[Reatância]])))/1000</f>
        <v>1.4624539133251113E-3</v>
      </c>
      <c r="AC29" s="187">
        <f>2*((CABOS[[#This Row],[DIVISOR_R]]*COS(fator_potencia))+(SIN(fator_potencia)*CABOS[[#This Row],[Reatância]]))/1000</f>
        <v>1.6886963210713496E-3</v>
      </c>
      <c r="AD29" s="187">
        <f>CABOS[[#This Row],[(A)]]*AB29</f>
        <v>0.14624539133251113</v>
      </c>
      <c r="AE29" s="187">
        <f>CABOS[[#This Row],[(A)]]*AC29</f>
        <v>0.16886963210713496</v>
      </c>
      <c r="AF29" s="189">
        <f t="shared" si="5"/>
        <v>5.8498156533004453</v>
      </c>
      <c r="AG29" s="102">
        <f t="shared" si="6"/>
        <v>2.6590071151365659E-2</v>
      </c>
    </row>
    <row r="30" spans="1:33" ht="17.399999999999999" customHeight="1" x14ac:dyDescent="0.3">
      <c r="A30" s="52" t="s">
        <v>113</v>
      </c>
      <c r="B30" s="52">
        <v>150</v>
      </c>
      <c r="C30" s="52">
        <v>0.52</v>
      </c>
      <c r="D30" s="52">
        <v>0.08</v>
      </c>
      <c r="E30" s="52">
        <v>4.0299999999999997E-3</v>
      </c>
      <c r="F30" s="52">
        <f t="shared" si="3"/>
        <v>1.2821</v>
      </c>
      <c r="G30" s="52">
        <f>IF(OR(A30="13 Al - DX",A30="13 Al - TX",A30="13 Al - QX",A30="21 Al - QX",A30="53 Al - QX"),70,90)</f>
        <v>90</v>
      </c>
      <c r="H30" s="52">
        <f t="shared" si="4"/>
        <v>60</v>
      </c>
      <c r="I30" s="157">
        <f t="shared" si="0"/>
        <v>2.5</v>
      </c>
      <c r="N30" s="78" t="s">
        <v>116</v>
      </c>
      <c r="O30" s="77">
        <v>110481.129</v>
      </c>
      <c r="Q30" s="77">
        <f>P30*O30</f>
        <v>0</v>
      </c>
      <c r="AA30" t="s">
        <v>113</v>
      </c>
      <c r="AB30" s="187">
        <f>(SQRT(3)*((CABOS[[#This Row],[DIVISOR_R]]*COS(fator_potencia))+(SIN(fator_potencia)*CABOS[[#This Row],[Reatância]])))/1000</f>
        <v>1.455563801182676E-3</v>
      </c>
      <c r="AC30" s="187">
        <f>2*((CABOS[[#This Row],[DIVISOR_R]]*COS(fator_potencia))+(SIN(fator_potencia)*CABOS[[#This Row],[Reatância]]))/1000</f>
        <v>1.6807403048709859E-3</v>
      </c>
      <c r="AD30" s="187">
        <f>CABOS[[#This Row],[(A)]]*AB30</f>
        <v>0.2183345701774014</v>
      </c>
      <c r="AE30" s="187">
        <f>CABOS[[#This Row],[(A)]]*AC30</f>
        <v>0.25211104573064791</v>
      </c>
      <c r="AF30" s="189">
        <f t="shared" si="5"/>
        <v>8.7333828070960564</v>
      </c>
      <c r="AG30" s="102">
        <f t="shared" si="6"/>
        <v>3.9697194577709351E-2</v>
      </c>
    </row>
    <row r="31" spans="1:33" ht="15" customHeight="1" x14ac:dyDescent="0.3">
      <c r="A31" s="52" t="s">
        <v>115</v>
      </c>
      <c r="B31" s="52">
        <v>200</v>
      </c>
      <c r="C31" s="52">
        <v>0.33</v>
      </c>
      <c r="D31" s="52">
        <v>7.8E-2</v>
      </c>
      <c r="E31" s="52">
        <v>4.0299999999999997E-3</v>
      </c>
      <c r="F31" s="52">
        <f t="shared" si="3"/>
        <v>1.2821</v>
      </c>
      <c r="G31" s="52">
        <f>IF(OR(A31="13 Al - DX",A31="13 Al - TX",A31="13 Al - QX",A31="21 Al - QX",A31="53 Al - QX"),70,90)</f>
        <v>90</v>
      </c>
      <c r="H31" s="52">
        <f t="shared" si="4"/>
        <v>60</v>
      </c>
      <c r="I31" s="157">
        <f t="shared" si="0"/>
        <v>3.3333333333333335</v>
      </c>
      <c r="N31" s="78" t="s">
        <v>118</v>
      </c>
      <c r="O31" s="77">
        <v>68591.91</v>
      </c>
      <c r="Q31" s="77">
        <f>P31*O31</f>
        <v>0</v>
      </c>
      <c r="AA31" t="s">
        <v>115</v>
      </c>
      <c r="AB31" s="187">
        <f>(SQRT(3)*((CABOS[[#This Row],[DIVISOR_R]]*COS(fator_potencia))+(SIN(fator_potencia)*CABOS[[#This Row],[Reatância]])))/1000</f>
        <v>1.4528077563257019E-3</v>
      </c>
      <c r="AC31" s="187">
        <f>2*((CABOS[[#This Row],[DIVISOR_R]]*COS(fator_potencia))+(SIN(fator_potencia)*CABOS[[#This Row],[Reatância]]))/1000</f>
        <v>1.6775578983908403E-3</v>
      </c>
      <c r="AD31" s="187">
        <f>CABOS[[#This Row],[(A)]]*AB31</f>
        <v>0.29056155126514038</v>
      </c>
      <c r="AE31" s="187">
        <f>CABOS[[#This Row],[(A)]]*AC31</f>
        <v>0.33551157967816808</v>
      </c>
      <c r="AF31" s="189">
        <f t="shared" si="5"/>
        <v>11.622462050605616</v>
      </c>
      <c r="AG31" s="102">
        <f t="shared" si="6"/>
        <v>5.2829372957298254E-2</v>
      </c>
    </row>
    <row r="32" spans="1:33" ht="15" customHeight="1" x14ac:dyDescent="0.3">
      <c r="A32" s="52" t="s">
        <v>117</v>
      </c>
      <c r="B32" s="52">
        <v>230</v>
      </c>
      <c r="C32" s="52">
        <v>0.26</v>
      </c>
      <c r="D32" s="52">
        <v>7.4999999999999997E-2</v>
      </c>
      <c r="E32" s="52">
        <v>4.0299999999999997E-3</v>
      </c>
      <c r="F32" s="52">
        <f t="shared" si="3"/>
        <v>1.2821</v>
      </c>
      <c r="G32" s="52">
        <f>IF(OR(A32="13 Al - DX",A32="13 Al - TX",A32="13 Al - QX",A32="21 Al - QX",A32="53 Al - QX"),70,90)</f>
        <v>90</v>
      </c>
      <c r="H32" s="52">
        <f t="shared" si="4"/>
        <v>60</v>
      </c>
      <c r="I32" s="157">
        <f t="shared" si="0"/>
        <v>3.8333333333333335</v>
      </c>
      <c r="N32" s="78" t="s">
        <v>119</v>
      </c>
      <c r="O32" s="77">
        <v>94961.91</v>
      </c>
      <c r="Q32" s="77">
        <f>P32*O32</f>
        <v>0</v>
      </c>
      <c r="AA32" t="s">
        <v>117</v>
      </c>
      <c r="AB32" s="187">
        <f>(SQRT(3)*((CABOS[[#This Row],[DIVISOR_R]]*COS(fator_potencia))+(SIN(fator_potencia)*CABOS[[#This Row],[Reatância]])))/1000</f>
        <v>1.4486736890402406E-3</v>
      </c>
      <c r="AC32" s="187">
        <f>2*((CABOS[[#This Row],[DIVISOR_R]]*COS(fator_potencia))+(SIN(fator_potencia)*CABOS[[#This Row],[Reatância]]))/1000</f>
        <v>1.6727842886706222E-3</v>
      </c>
      <c r="AD32" s="187">
        <f>CABOS[[#This Row],[(A)]]*AB32</f>
        <v>0.33319494847925535</v>
      </c>
      <c r="AE32" s="187">
        <f>CABOS[[#This Row],[(A)]]*AC32</f>
        <v>0.38474038639424313</v>
      </c>
      <c r="AF32" s="189">
        <f t="shared" si="5"/>
        <v>13.327797939170214</v>
      </c>
      <c r="AG32" s="102">
        <f t="shared" si="6"/>
        <v>6.0580899723500975E-2</v>
      </c>
    </row>
    <row r="33" spans="1:32" ht="15" customHeight="1" x14ac:dyDescent="0.3">
      <c r="A33" s="136"/>
      <c r="B33" s="137"/>
      <c r="C33" s="137"/>
      <c r="D33" s="137"/>
      <c r="E33" s="137"/>
      <c r="F33" s="138"/>
      <c r="G33" s="136"/>
      <c r="H33" s="137"/>
      <c r="I33" s="137"/>
      <c r="N33" s="78" t="s">
        <v>120</v>
      </c>
      <c r="O33" s="77">
        <v>110011.91</v>
      </c>
      <c r="Q33" s="77">
        <f>P33*O33</f>
        <v>0</v>
      </c>
    </row>
    <row r="34" spans="1:32" ht="15" customHeight="1" x14ac:dyDescent="0.3">
      <c r="N34" s="84"/>
      <c r="O34" s="83"/>
      <c r="P34" s="83"/>
      <c r="Q34" s="82"/>
      <c r="AB34" s="196"/>
    </row>
    <row r="35" spans="1:32" ht="15.6" customHeight="1" x14ac:dyDescent="0.35">
      <c r="A35" s="9" t="s">
        <v>121</v>
      </c>
      <c r="B35" t="s">
        <v>79</v>
      </c>
      <c r="C35" s="86" t="s">
        <v>122</v>
      </c>
      <c r="D35" s="86" t="s">
        <v>123</v>
      </c>
      <c r="E35" s="86" t="s">
        <v>124</v>
      </c>
      <c r="F35" s="86" t="s">
        <v>125</v>
      </c>
      <c r="G35" s="119"/>
      <c r="H35" s="119"/>
      <c r="I35" s="119"/>
      <c r="N35" s="79" t="s">
        <v>126</v>
      </c>
      <c r="Q35" s="77">
        <f>P35*O35</f>
        <v>0</v>
      </c>
      <c r="AD35" s="187"/>
      <c r="AE35" s="187"/>
    </row>
    <row r="36" spans="1:32" ht="15" customHeight="1" x14ac:dyDescent="0.3">
      <c r="A36" s="9">
        <v>20</v>
      </c>
      <c r="B36">
        <v>1.62</v>
      </c>
      <c r="C36" s="87">
        <v>1</v>
      </c>
      <c r="D36" s="88">
        <f>RAMAL!AB35</f>
        <v>1.88</v>
      </c>
      <c r="E36" s="87">
        <v>3.88</v>
      </c>
      <c r="F36" s="89">
        <f t="shared" ref="F36:F99" si="7">D36*E36</f>
        <v>7.2943999999999996</v>
      </c>
      <c r="G36" s="90"/>
      <c r="H36" s="90"/>
      <c r="I36" s="90"/>
      <c r="N36" s="80" t="s">
        <v>127</v>
      </c>
      <c r="O36" s="77">
        <v>102973.3</v>
      </c>
      <c r="Q36" s="77">
        <f>P36*O36</f>
        <v>0</v>
      </c>
      <c r="AD36" s="187"/>
      <c r="AE36" s="187"/>
    </row>
    <row r="37" spans="1:32" ht="15" customHeight="1" x14ac:dyDescent="0.3">
      <c r="A37" s="9">
        <v>21</v>
      </c>
      <c r="B37">
        <v>1.62</v>
      </c>
      <c r="C37" s="87">
        <v>2</v>
      </c>
      <c r="D37" s="87">
        <f t="shared" ref="D37:D100" si="8">D36</f>
        <v>1.88</v>
      </c>
      <c r="E37" s="87">
        <v>3.88</v>
      </c>
      <c r="F37" s="89">
        <f t="shared" si="7"/>
        <v>7.2943999999999996</v>
      </c>
      <c r="G37" s="90"/>
      <c r="H37" s="90"/>
      <c r="I37" s="90"/>
      <c r="N37" s="80" t="s">
        <v>128</v>
      </c>
      <c r="O37" s="77">
        <v>122163.3</v>
      </c>
      <c r="Q37" s="77">
        <f>P37*O37</f>
        <v>0</v>
      </c>
      <c r="AD37" s="187"/>
      <c r="AE37" s="187"/>
    </row>
    <row r="38" spans="1:32" ht="15" customHeight="1" x14ac:dyDescent="0.3">
      <c r="A38" s="9">
        <v>22</v>
      </c>
      <c r="B38">
        <v>1.62</v>
      </c>
      <c r="C38" s="87">
        <v>3</v>
      </c>
      <c r="D38" s="87">
        <f t="shared" si="8"/>
        <v>1.88</v>
      </c>
      <c r="E38" s="87">
        <v>3.88</v>
      </c>
      <c r="F38" s="89">
        <f t="shared" si="7"/>
        <v>7.2943999999999996</v>
      </c>
      <c r="G38" s="90"/>
      <c r="H38" s="90"/>
      <c r="I38" s="90"/>
      <c r="N38" s="80" t="s">
        <v>129</v>
      </c>
      <c r="O38" s="77">
        <v>163793.29999999999</v>
      </c>
      <c r="Q38" s="77">
        <f>P38*O38</f>
        <v>0</v>
      </c>
      <c r="AD38" s="187"/>
      <c r="AE38" s="187"/>
    </row>
    <row r="39" spans="1:32" ht="15" customHeight="1" x14ac:dyDescent="0.3">
      <c r="A39" s="9">
        <v>23</v>
      </c>
      <c r="B39">
        <v>1.62</v>
      </c>
      <c r="C39" s="87">
        <v>4</v>
      </c>
      <c r="D39" s="87">
        <f t="shared" si="8"/>
        <v>1.88</v>
      </c>
      <c r="E39" s="87">
        <v>3.88</v>
      </c>
      <c r="F39" s="89">
        <f t="shared" si="7"/>
        <v>7.2943999999999996</v>
      </c>
      <c r="G39" s="90"/>
      <c r="H39" s="90"/>
      <c r="I39" s="90"/>
      <c r="N39" s="84"/>
      <c r="O39" s="83" t="s">
        <v>3</v>
      </c>
      <c r="P39" s="83"/>
      <c r="Q39" s="82"/>
      <c r="AD39" s="187"/>
      <c r="AE39" s="90"/>
      <c r="AF39" s="188"/>
    </row>
    <row r="40" spans="1:32" x14ac:dyDescent="0.3">
      <c r="A40" s="9">
        <v>24</v>
      </c>
      <c r="B40">
        <v>1.62</v>
      </c>
      <c r="C40" s="87">
        <v>5</v>
      </c>
      <c r="D40" s="87">
        <f t="shared" si="8"/>
        <v>1.88</v>
      </c>
      <c r="E40" s="87">
        <v>4.84</v>
      </c>
      <c r="F40" s="89">
        <f t="shared" si="7"/>
        <v>9.0991999999999997</v>
      </c>
      <c r="G40" s="90"/>
      <c r="H40" s="90"/>
      <c r="I40" s="90"/>
      <c r="N40" t="s">
        <v>130</v>
      </c>
      <c r="O40" s="77">
        <v>15780.16</v>
      </c>
      <c r="Q40" s="77">
        <f t="shared" ref="Q40:Q48" si="9">P40*O40</f>
        <v>0</v>
      </c>
    </row>
    <row r="41" spans="1:32" x14ac:dyDescent="0.3">
      <c r="A41" s="9">
        <v>25</v>
      </c>
      <c r="B41">
        <v>1.62</v>
      </c>
      <c r="C41" s="87">
        <v>6</v>
      </c>
      <c r="D41" s="87">
        <f t="shared" si="8"/>
        <v>1.88</v>
      </c>
      <c r="E41" s="87">
        <v>5.8</v>
      </c>
      <c r="F41" s="89">
        <f t="shared" si="7"/>
        <v>10.904</v>
      </c>
      <c r="G41" s="90"/>
      <c r="H41" s="90"/>
      <c r="I41" s="90"/>
      <c r="N41" t="s">
        <v>131</v>
      </c>
      <c r="O41" s="77">
        <v>6896.47</v>
      </c>
      <c r="Q41" s="77">
        <f t="shared" si="9"/>
        <v>0</v>
      </c>
    </row>
    <row r="42" spans="1:32" x14ac:dyDescent="0.3">
      <c r="A42" s="9">
        <v>26</v>
      </c>
      <c r="B42">
        <v>1.62</v>
      </c>
      <c r="C42" s="87">
        <v>7</v>
      </c>
      <c r="D42" s="87">
        <f t="shared" si="8"/>
        <v>1.88</v>
      </c>
      <c r="E42" s="87">
        <v>6.76</v>
      </c>
      <c r="F42" s="89">
        <f t="shared" si="7"/>
        <v>12.708799999999998</v>
      </c>
      <c r="G42" s="90"/>
      <c r="H42" s="90"/>
      <c r="I42" s="90"/>
      <c r="N42" t="s">
        <v>132</v>
      </c>
      <c r="O42" s="77">
        <v>7397.12</v>
      </c>
      <c r="Q42" s="77">
        <f t="shared" si="9"/>
        <v>0</v>
      </c>
    </row>
    <row r="43" spans="1:32" x14ac:dyDescent="0.3">
      <c r="A43" s="9">
        <v>27</v>
      </c>
      <c r="B43">
        <v>1.62</v>
      </c>
      <c r="C43" s="87">
        <v>8</v>
      </c>
      <c r="D43" s="87">
        <f t="shared" si="8"/>
        <v>1.88</v>
      </c>
      <c r="E43" s="87">
        <v>7.72</v>
      </c>
      <c r="F43" s="89">
        <f t="shared" si="7"/>
        <v>14.513599999999999</v>
      </c>
      <c r="G43" s="90"/>
      <c r="H43" s="90"/>
      <c r="I43" s="90"/>
      <c r="N43" t="s">
        <v>133</v>
      </c>
      <c r="O43" s="77">
        <v>9394.25</v>
      </c>
      <c r="Q43" s="77">
        <f t="shared" si="9"/>
        <v>0</v>
      </c>
    </row>
    <row r="44" spans="1:32" x14ac:dyDescent="0.3">
      <c r="A44" s="9">
        <v>28</v>
      </c>
      <c r="B44">
        <v>1.62</v>
      </c>
      <c r="C44" s="87">
        <v>9</v>
      </c>
      <c r="D44" s="87">
        <f t="shared" si="8"/>
        <v>1.88</v>
      </c>
      <c r="E44" s="87">
        <v>8.68</v>
      </c>
      <c r="F44" s="89">
        <f t="shared" si="7"/>
        <v>16.318399999999997</v>
      </c>
      <c r="G44" s="90"/>
      <c r="H44" s="90"/>
      <c r="I44" s="90"/>
      <c r="N44" t="s">
        <v>134</v>
      </c>
      <c r="O44" s="77">
        <v>12790.25</v>
      </c>
      <c r="Q44" s="77">
        <f t="shared" si="9"/>
        <v>0</v>
      </c>
    </row>
    <row r="45" spans="1:32" x14ac:dyDescent="0.3">
      <c r="A45" s="9">
        <v>29</v>
      </c>
      <c r="B45">
        <v>1.62</v>
      </c>
      <c r="C45" s="87">
        <v>10</v>
      </c>
      <c r="D45" s="87">
        <f t="shared" si="8"/>
        <v>1.88</v>
      </c>
      <c r="E45" s="87">
        <v>9.64</v>
      </c>
      <c r="F45" s="89">
        <f t="shared" si="7"/>
        <v>18.123200000000001</v>
      </c>
      <c r="G45" s="90"/>
      <c r="H45" s="90"/>
      <c r="I45" s="90"/>
      <c r="N45" t="s">
        <v>135</v>
      </c>
      <c r="O45" s="77">
        <v>17258.38</v>
      </c>
      <c r="Q45" s="77">
        <f t="shared" si="9"/>
        <v>0</v>
      </c>
    </row>
    <row r="46" spans="1:32" x14ac:dyDescent="0.3">
      <c r="A46" s="9">
        <v>30</v>
      </c>
      <c r="B46">
        <v>1.62</v>
      </c>
      <c r="C46" s="87">
        <v>11</v>
      </c>
      <c r="D46" s="87">
        <f t="shared" si="8"/>
        <v>1.88</v>
      </c>
      <c r="E46" s="87">
        <v>10.42</v>
      </c>
      <c r="F46" s="89">
        <f t="shared" si="7"/>
        <v>19.589599999999997</v>
      </c>
      <c r="G46" s="90"/>
      <c r="H46" s="90"/>
      <c r="I46" s="90"/>
      <c r="N46" t="s">
        <v>136</v>
      </c>
      <c r="O46" s="77">
        <v>21367.86</v>
      </c>
      <c r="Q46" s="77">
        <f t="shared" si="9"/>
        <v>0</v>
      </c>
    </row>
    <row r="47" spans="1:32" x14ac:dyDescent="0.3">
      <c r="A47" s="9">
        <v>31</v>
      </c>
      <c r="B47">
        <v>1.62</v>
      </c>
      <c r="C47" s="87">
        <v>12</v>
      </c>
      <c r="D47" s="87">
        <f t="shared" si="8"/>
        <v>1.88</v>
      </c>
      <c r="E47" s="87">
        <v>11.2</v>
      </c>
      <c r="F47" s="89">
        <f t="shared" si="7"/>
        <v>21.055999999999997</v>
      </c>
      <c r="G47" s="90"/>
      <c r="H47" s="90"/>
      <c r="I47" s="90"/>
      <c r="N47" t="s">
        <v>137</v>
      </c>
      <c r="O47" s="77">
        <v>32406.27</v>
      </c>
      <c r="Q47" s="77">
        <f t="shared" si="9"/>
        <v>0</v>
      </c>
    </row>
    <row r="48" spans="1:32" x14ac:dyDescent="0.3">
      <c r="A48" s="9">
        <v>32</v>
      </c>
      <c r="B48">
        <v>1.62</v>
      </c>
      <c r="C48" s="87">
        <v>13</v>
      </c>
      <c r="D48" s="87">
        <f t="shared" si="8"/>
        <v>1.88</v>
      </c>
      <c r="E48" s="87">
        <v>11.98</v>
      </c>
      <c r="F48" s="89">
        <f t="shared" si="7"/>
        <v>22.522400000000001</v>
      </c>
      <c r="G48" s="90"/>
      <c r="H48" s="90"/>
      <c r="I48" s="90"/>
      <c r="N48" t="s">
        <v>138</v>
      </c>
      <c r="O48" s="77">
        <v>39745.57</v>
      </c>
      <c r="P48" s="9">
        <v>1</v>
      </c>
      <c r="Q48" s="77">
        <f t="shared" si="9"/>
        <v>39745.57</v>
      </c>
    </row>
    <row r="49" spans="1:17" ht="15" customHeight="1" x14ac:dyDescent="0.3">
      <c r="A49" s="9">
        <v>33</v>
      </c>
      <c r="B49">
        <v>1.62</v>
      </c>
      <c r="C49" s="87">
        <v>14</v>
      </c>
      <c r="D49" s="87">
        <f t="shared" si="8"/>
        <v>1.88</v>
      </c>
      <c r="E49" s="87">
        <v>12.76</v>
      </c>
      <c r="F49" s="89">
        <f t="shared" si="7"/>
        <v>23.988799999999998</v>
      </c>
      <c r="G49" s="90"/>
      <c r="H49" s="90"/>
      <c r="I49" s="90"/>
      <c r="N49" s="84"/>
      <c r="O49" s="83" t="s">
        <v>139</v>
      </c>
      <c r="P49" s="83"/>
      <c r="Q49" s="82"/>
    </row>
    <row r="50" spans="1:17" x14ac:dyDescent="0.3">
      <c r="A50" s="9">
        <v>34</v>
      </c>
      <c r="B50">
        <v>1.62</v>
      </c>
      <c r="C50" s="87">
        <v>15</v>
      </c>
      <c r="D50" s="87">
        <f t="shared" si="8"/>
        <v>1.88</v>
      </c>
      <c r="E50" s="87">
        <v>13.54</v>
      </c>
      <c r="F50" s="89">
        <f t="shared" si="7"/>
        <v>25.455199999999998</v>
      </c>
      <c r="G50" s="90"/>
      <c r="H50" s="90"/>
      <c r="I50" s="90"/>
      <c r="N50" t="s">
        <v>140</v>
      </c>
    </row>
    <row r="51" spans="1:17" x14ac:dyDescent="0.3">
      <c r="A51" s="9">
        <v>35</v>
      </c>
      <c r="B51">
        <v>1.62</v>
      </c>
      <c r="C51" s="87">
        <v>16</v>
      </c>
      <c r="D51" s="87">
        <f t="shared" si="8"/>
        <v>1.88</v>
      </c>
      <c r="E51" s="87">
        <v>14.32</v>
      </c>
      <c r="F51" s="89">
        <f t="shared" si="7"/>
        <v>26.921599999999998</v>
      </c>
      <c r="G51" s="90"/>
      <c r="H51" s="90"/>
      <c r="I51" s="90"/>
      <c r="N51" t="s">
        <v>141</v>
      </c>
      <c r="O51" s="77">
        <v>129055.2648</v>
      </c>
      <c r="Q51" s="77">
        <f t="shared" ref="Q51:Q58" si="10">P51*O51</f>
        <v>0</v>
      </c>
    </row>
    <row r="52" spans="1:17" x14ac:dyDescent="0.3">
      <c r="A52" s="9">
        <v>36</v>
      </c>
      <c r="B52">
        <v>1.62</v>
      </c>
      <c r="C52" s="87">
        <v>17</v>
      </c>
      <c r="D52" s="87">
        <f t="shared" si="8"/>
        <v>1.88</v>
      </c>
      <c r="E52" s="87">
        <v>15.1</v>
      </c>
      <c r="F52" s="89">
        <f t="shared" si="7"/>
        <v>28.387999999999998</v>
      </c>
      <c r="G52" s="90"/>
      <c r="H52" s="90"/>
      <c r="I52" s="90"/>
      <c r="N52" t="s">
        <v>142</v>
      </c>
      <c r="O52" s="77">
        <v>138814.14499999999</v>
      </c>
      <c r="Q52" s="77">
        <f t="shared" si="10"/>
        <v>0</v>
      </c>
    </row>
    <row r="53" spans="1:17" x14ac:dyDescent="0.3">
      <c r="A53" s="9">
        <v>37</v>
      </c>
      <c r="B53">
        <v>1.62</v>
      </c>
      <c r="C53" s="87">
        <v>18</v>
      </c>
      <c r="D53" s="87">
        <f t="shared" si="8"/>
        <v>1.88</v>
      </c>
      <c r="E53" s="87">
        <v>15.88</v>
      </c>
      <c r="F53" s="89">
        <f t="shared" si="7"/>
        <v>29.854399999999998</v>
      </c>
      <c r="G53" s="90"/>
      <c r="H53" s="90"/>
      <c r="I53" s="90"/>
      <c r="N53" t="s">
        <v>143</v>
      </c>
      <c r="O53" s="77">
        <v>168904.14499999999</v>
      </c>
      <c r="Q53" s="77">
        <f t="shared" si="10"/>
        <v>0</v>
      </c>
    </row>
    <row r="54" spans="1:17" x14ac:dyDescent="0.3">
      <c r="A54" s="9">
        <v>38</v>
      </c>
      <c r="B54">
        <v>1.62</v>
      </c>
      <c r="C54" s="87">
        <v>19</v>
      </c>
      <c r="D54" s="87">
        <f t="shared" si="8"/>
        <v>1.88</v>
      </c>
      <c r="E54" s="87">
        <v>16.66</v>
      </c>
      <c r="F54" s="89">
        <f t="shared" si="7"/>
        <v>31.320799999999998</v>
      </c>
      <c r="G54" s="90"/>
      <c r="H54" s="90"/>
      <c r="I54" s="90"/>
      <c r="N54" t="s">
        <v>144</v>
      </c>
      <c r="O54" s="77">
        <v>317932.01809999999</v>
      </c>
      <c r="Q54" s="77">
        <f t="shared" si="10"/>
        <v>0</v>
      </c>
    </row>
    <row r="55" spans="1:17" x14ac:dyDescent="0.3">
      <c r="A55" s="9">
        <v>39</v>
      </c>
      <c r="B55">
        <v>1.62</v>
      </c>
      <c r="C55" s="87">
        <v>20</v>
      </c>
      <c r="D55" s="87">
        <f t="shared" si="8"/>
        <v>1.88</v>
      </c>
      <c r="E55" s="87">
        <v>17.440000000000001</v>
      </c>
      <c r="F55" s="89">
        <f t="shared" si="7"/>
        <v>32.787199999999999</v>
      </c>
      <c r="G55" s="90"/>
      <c r="H55" s="90"/>
      <c r="I55" s="90"/>
      <c r="O55" s="77"/>
      <c r="Q55" s="77">
        <f t="shared" si="10"/>
        <v>0</v>
      </c>
    </row>
    <row r="56" spans="1:17" x14ac:dyDescent="0.3">
      <c r="A56" s="9">
        <v>40</v>
      </c>
      <c r="B56">
        <v>1.62</v>
      </c>
      <c r="C56" s="87">
        <v>21</v>
      </c>
      <c r="D56" s="87">
        <f t="shared" si="8"/>
        <v>1.88</v>
      </c>
      <c r="E56" s="87">
        <v>18.05</v>
      </c>
      <c r="F56" s="89">
        <f t="shared" si="7"/>
        <v>33.933999999999997</v>
      </c>
      <c r="G56" s="90"/>
      <c r="H56" s="90"/>
      <c r="I56" s="90"/>
      <c r="N56" t="s">
        <v>145</v>
      </c>
      <c r="O56" s="77"/>
      <c r="Q56" s="77">
        <f t="shared" si="10"/>
        <v>0</v>
      </c>
    </row>
    <row r="57" spans="1:17" x14ac:dyDescent="0.3">
      <c r="A57" s="9">
        <v>41</v>
      </c>
      <c r="B57">
        <v>1.62</v>
      </c>
      <c r="C57" s="87">
        <v>22</v>
      </c>
      <c r="D57" s="87">
        <f t="shared" si="8"/>
        <v>1.88</v>
      </c>
      <c r="E57" s="87">
        <v>18.66</v>
      </c>
      <c r="F57" s="89">
        <f t="shared" si="7"/>
        <v>35.080799999999996</v>
      </c>
      <c r="G57" s="90"/>
      <c r="H57" s="90"/>
      <c r="I57" s="90"/>
      <c r="N57" t="s">
        <v>141</v>
      </c>
      <c r="O57" s="77">
        <v>82273.600000000006</v>
      </c>
      <c r="Q57" s="77">
        <f t="shared" si="10"/>
        <v>0</v>
      </c>
    </row>
    <row r="58" spans="1:17" x14ac:dyDescent="0.3">
      <c r="A58" s="9">
        <v>42</v>
      </c>
      <c r="B58">
        <v>1.62</v>
      </c>
      <c r="C58" s="87">
        <v>23</v>
      </c>
      <c r="D58" s="87">
        <f t="shared" si="8"/>
        <v>1.88</v>
      </c>
      <c r="E58" s="87">
        <v>19.27</v>
      </c>
      <c r="F58" s="89">
        <f t="shared" si="7"/>
        <v>36.227599999999995</v>
      </c>
      <c r="G58" s="90"/>
      <c r="H58" s="90"/>
      <c r="I58" s="90"/>
      <c r="N58" t="s">
        <v>143</v>
      </c>
      <c r="O58" s="77">
        <v>134083</v>
      </c>
      <c r="Q58" s="77">
        <f t="shared" si="10"/>
        <v>0</v>
      </c>
    </row>
    <row r="59" spans="1:17" x14ac:dyDescent="0.3">
      <c r="A59" s="9">
        <v>43</v>
      </c>
      <c r="B59">
        <v>1.64</v>
      </c>
      <c r="C59" s="87">
        <v>24</v>
      </c>
      <c r="D59" s="87">
        <f t="shared" si="8"/>
        <v>1.88</v>
      </c>
      <c r="E59" s="87">
        <v>19.88</v>
      </c>
      <c r="F59" s="89">
        <f t="shared" si="7"/>
        <v>37.374399999999994</v>
      </c>
      <c r="G59" s="90"/>
      <c r="H59" s="90"/>
      <c r="I59" s="90"/>
    </row>
    <row r="60" spans="1:17" x14ac:dyDescent="0.3">
      <c r="A60" s="9">
        <v>44</v>
      </c>
      <c r="B60">
        <v>1.68</v>
      </c>
      <c r="C60" s="87">
        <v>25</v>
      </c>
      <c r="D60" s="87">
        <f t="shared" si="8"/>
        <v>1.88</v>
      </c>
      <c r="E60" s="87">
        <v>20.49</v>
      </c>
      <c r="F60" s="89">
        <f t="shared" si="7"/>
        <v>38.521199999999993</v>
      </c>
      <c r="G60" s="90"/>
      <c r="H60" s="90"/>
      <c r="I60" s="90"/>
    </row>
    <row r="61" spans="1:17" x14ac:dyDescent="0.3">
      <c r="A61" s="9">
        <v>45</v>
      </c>
      <c r="B61">
        <v>1.72</v>
      </c>
      <c r="C61" s="87">
        <v>26</v>
      </c>
      <c r="D61" s="87">
        <f t="shared" si="8"/>
        <v>1.88</v>
      </c>
      <c r="E61" s="87">
        <v>21.1</v>
      </c>
      <c r="F61" s="89">
        <f t="shared" si="7"/>
        <v>39.667999999999999</v>
      </c>
      <c r="G61" s="90"/>
      <c r="H61" s="90"/>
      <c r="I61" s="90"/>
    </row>
    <row r="62" spans="1:17" x14ac:dyDescent="0.3">
      <c r="A62" s="9">
        <v>46</v>
      </c>
      <c r="B62">
        <v>1.75</v>
      </c>
      <c r="C62" s="87">
        <v>27</v>
      </c>
      <c r="D62" s="87">
        <f t="shared" si="8"/>
        <v>1.88</v>
      </c>
      <c r="E62" s="87">
        <v>21.71</v>
      </c>
      <c r="F62" s="89">
        <f t="shared" si="7"/>
        <v>40.814799999999998</v>
      </c>
      <c r="G62" s="90"/>
      <c r="H62" s="90"/>
      <c r="I62" s="90"/>
    </row>
    <row r="63" spans="1:17" x14ac:dyDescent="0.3">
      <c r="A63" s="9">
        <v>47</v>
      </c>
      <c r="B63">
        <v>1.79</v>
      </c>
      <c r="C63" s="87">
        <v>28</v>
      </c>
      <c r="D63" s="87">
        <f t="shared" si="8"/>
        <v>1.88</v>
      </c>
      <c r="E63" s="87">
        <v>22.32</v>
      </c>
      <c r="F63" s="89">
        <f t="shared" si="7"/>
        <v>41.961599999999997</v>
      </c>
      <c r="G63" s="90"/>
      <c r="H63" s="90"/>
      <c r="I63" s="90"/>
    </row>
    <row r="64" spans="1:17" x14ac:dyDescent="0.3">
      <c r="A64" s="9">
        <v>48</v>
      </c>
      <c r="B64">
        <v>1.81</v>
      </c>
      <c r="C64" s="87">
        <v>29</v>
      </c>
      <c r="D64" s="87">
        <f t="shared" si="8"/>
        <v>1.88</v>
      </c>
      <c r="E64" s="87">
        <v>22.93</v>
      </c>
      <c r="F64" s="89">
        <f t="shared" si="7"/>
        <v>43.108399999999996</v>
      </c>
      <c r="G64" s="90"/>
      <c r="H64" s="90"/>
      <c r="I64" s="90"/>
    </row>
    <row r="65" spans="1:9" x14ac:dyDescent="0.3">
      <c r="A65" s="9">
        <v>49</v>
      </c>
      <c r="B65">
        <v>1.85</v>
      </c>
      <c r="C65" s="87">
        <v>30</v>
      </c>
      <c r="D65" s="87">
        <f t="shared" si="8"/>
        <v>1.88</v>
      </c>
      <c r="E65" s="87">
        <v>23.54</v>
      </c>
      <c r="F65" s="89">
        <f t="shared" si="7"/>
        <v>44.255199999999995</v>
      </c>
      <c r="G65" s="90"/>
      <c r="H65" s="90"/>
      <c r="I65" s="90"/>
    </row>
    <row r="66" spans="1:9" x14ac:dyDescent="0.3">
      <c r="A66" s="9">
        <v>50</v>
      </c>
      <c r="B66">
        <v>1.88</v>
      </c>
      <c r="C66" s="87">
        <v>31</v>
      </c>
      <c r="D66" s="87">
        <f t="shared" si="8"/>
        <v>1.88</v>
      </c>
      <c r="E66" s="87">
        <v>24.14</v>
      </c>
      <c r="F66" s="89">
        <f t="shared" si="7"/>
        <v>45.383199999999995</v>
      </c>
      <c r="G66" s="90"/>
      <c r="H66" s="90"/>
      <c r="I66" s="90"/>
    </row>
    <row r="67" spans="1:9" x14ac:dyDescent="0.3">
      <c r="A67" s="9">
        <v>51</v>
      </c>
      <c r="B67">
        <v>1.92</v>
      </c>
      <c r="C67" s="87">
        <v>32</v>
      </c>
      <c r="D67" s="87">
        <f t="shared" si="8"/>
        <v>1.88</v>
      </c>
      <c r="E67" s="87">
        <v>24.74</v>
      </c>
      <c r="F67" s="89">
        <f t="shared" si="7"/>
        <v>46.511199999999995</v>
      </c>
      <c r="G67" s="90"/>
      <c r="H67" s="90"/>
      <c r="I67" s="90"/>
    </row>
    <row r="68" spans="1:9" x14ac:dyDescent="0.3">
      <c r="A68" s="9">
        <v>52</v>
      </c>
      <c r="B68">
        <v>1.96</v>
      </c>
      <c r="C68" s="87">
        <v>33</v>
      </c>
      <c r="D68" s="87">
        <f t="shared" si="8"/>
        <v>1.88</v>
      </c>
      <c r="E68" s="87">
        <v>25.34</v>
      </c>
      <c r="F68" s="89">
        <f t="shared" si="7"/>
        <v>47.639199999999995</v>
      </c>
      <c r="G68" s="90"/>
      <c r="H68" s="90"/>
      <c r="I68" s="90"/>
    </row>
    <row r="69" spans="1:9" x14ac:dyDescent="0.3">
      <c r="A69" s="9">
        <v>53</v>
      </c>
      <c r="B69">
        <v>1.99</v>
      </c>
      <c r="C69" s="87">
        <v>34</v>
      </c>
      <c r="D69" s="87">
        <f t="shared" si="8"/>
        <v>1.88</v>
      </c>
      <c r="E69" s="87">
        <v>25.94</v>
      </c>
      <c r="F69" s="89">
        <f t="shared" si="7"/>
        <v>48.767200000000003</v>
      </c>
      <c r="G69" s="90"/>
      <c r="H69" s="90"/>
      <c r="I69" s="90"/>
    </row>
    <row r="70" spans="1:9" x14ac:dyDescent="0.3">
      <c r="A70" s="9">
        <v>54</v>
      </c>
      <c r="B70">
        <v>2.02</v>
      </c>
      <c r="C70" s="87">
        <v>35</v>
      </c>
      <c r="D70" s="87">
        <f t="shared" si="8"/>
        <v>1.88</v>
      </c>
      <c r="E70" s="87">
        <v>26.54</v>
      </c>
      <c r="F70" s="89">
        <f t="shared" si="7"/>
        <v>49.895199999999996</v>
      </c>
      <c r="G70" s="90"/>
      <c r="H70" s="90"/>
      <c r="I70" s="90"/>
    </row>
    <row r="71" spans="1:9" x14ac:dyDescent="0.3">
      <c r="A71" s="9">
        <v>55</v>
      </c>
      <c r="B71">
        <v>2.0499999999999998</v>
      </c>
      <c r="C71" s="87">
        <v>36</v>
      </c>
      <c r="D71" s="87">
        <f t="shared" si="8"/>
        <v>1.88</v>
      </c>
      <c r="E71" s="87">
        <v>27.14</v>
      </c>
      <c r="F71" s="89">
        <f t="shared" si="7"/>
        <v>51.023199999999996</v>
      </c>
      <c r="G71" s="90"/>
      <c r="H71" s="90"/>
      <c r="I71" s="90"/>
    </row>
    <row r="72" spans="1:9" x14ac:dyDescent="0.3">
      <c r="A72" s="9">
        <v>56</v>
      </c>
      <c r="B72">
        <v>2.09</v>
      </c>
      <c r="C72" s="87">
        <v>37</v>
      </c>
      <c r="D72" s="87">
        <f t="shared" si="8"/>
        <v>1.88</v>
      </c>
      <c r="E72" s="87">
        <v>27.74</v>
      </c>
      <c r="F72" s="89">
        <f t="shared" si="7"/>
        <v>52.151199999999996</v>
      </c>
      <c r="G72" s="90"/>
      <c r="H72" s="90"/>
      <c r="I72" s="90"/>
    </row>
    <row r="73" spans="1:9" x14ac:dyDescent="0.3">
      <c r="A73" s="9">
        <v>57</v>
      </c>
      <c r="B73">
        <v>2.12</v>
      </c>
      <c r="C73" s="87">
        <v>38</v>
      </c>
      <c r="D73" s="87">
        <f t="shared" si="8"/>
        <v>1.88</v>
      </c>
      <c r="E73" s="87">
        <v>28.34</v>
      </c>
      <c r="F73" s="89">
        <f t="shared" si="7"/>
        <v>53.279199999999996</v>
      </c>
      <c r="G73" s="90"/>
      <c r="H73" s="90"/>
      <c r="I73" s="90"/>
    </row>
    <row r="74" spans="1:9" x14ac:dyDescent="0.3">
      <c r="A74" s="9">
        <v>58</v>
      </c>
      <c r="B74">
        <v>2.15</v>
      </c>
      <c r="C74" s="87">
        <v>39</v>
      </c>
      <c r="D74" s="87">
        <f t="shared" si="8"/>
        <v>1.88</v>
      </c>
      <c r="E74" s="87">
        <v>28.94</v>
      </c>
      <c r="F74" s="89">
        <f t="shared" si="7"/>
        <v>54.407199999999996</v>
      </c>
      <c r="G74" s="90"/>
      <c r="H74" s="90"/>
      <c r="I74" s="90"/>
    </row>
    <row r="75" spans="1:9" x14ac:dyDescent="0.3">
      <c r="A75" s="9">
        <v>59</v>
      </c>
      <c r="B75">
        <v>2.1800000000000002</v>
      </c>
      <c r="C75" s="87">
        <v>40</v>
      </c>
      <c r="D75" s="87">
        <f t="shared" si="8"/>
        <v>1.88</v>
      </c>
      <c r="E75" s="87">
        <v>29.54</v>
      </c>
      <c r="F75" s="89">
        <f t="shared" si="7"/>
        <v>55.535199999999996</v>
      </c>
      <c r="G75" s="90"/>
      <c r="H75" s="90"/>
      <c r="I75" s="90"/>
    </row>
    <row r="76" spans="1:9" x14ac:dyDescent="0.3">
      <c r="A76" s="9">
        <v>60</v>
      </c>
      <c r="B76">
        <v>2.2200000000000002</v>
      </c>
      <c r="C76" s="87">
        <v>41</v>
      </c>
      <c r="D76" s="87">
        <f t="shared" si="8"/>
        <v>1.88</v>
      </c>
      <c r="E76" s="87">
        <v>30.14</v>
      </c>
      <c r="F76" s="89">
        <f t="shared" si="7"/>
        <v>56.663199999999996</v>
      </c>
      <c r="G76" s="90"/>
      <c r="H76" s="90"/>
      <c r="I76" s="90"/>
    </row>
    <row r="77" spans="1:9" x14ac:dyDescent="0.3">
      <c r="A77" s="9">
        <v>61</v>
      </c>
      <c r="B77">
        <v>2.2599999999999998</v>
      </c>
      <c r="C77" s="87">
        <v>42</v>
      </c>
      <c r="D77" s="87">
        <f t="shared" si="8"/>
        <v>1.88</v>
      </c>
      <c r="E77" s="87">
        <v>30.74</v>
      </c>
      <c r="F77" s="89">
        <f t="shared" si="7"/>
        <v>57.791199999999996</v>
      </c>
      <c r="G77" s="90"/>
      <c r="H77" s="90"/>
      <c r="I77" s="90"/>
    </row>
    <row r="78" spans="1:9" x14ac:dyDescent="0.3">
      <c r="A78" s="9">
        <v>62</v>
      </c>
      <c r="B78">
        <v>2.29</v>
      </c>
      <c r="C78" s="87">
        <v>43</v>
      </c>
      <c r="D78" s="87">
        <f t="shared" si="8"/>
        <v>1.88</v>
      </c>
      <c r="E78" s="87">
        <v>31.34</v>
      </c>
      <c r="F78" s="89">
        <f t="shared" si="7"/>
        <v>58.919199999999996</v>
      </c>
      <c r="G78" s="90"/>
      <c r="H78" s="90"/>
      <c r="I78" s="90"/>
    </row>
    <row r="79" spans="1:9" x14ac:dyDescent="0.3">
      <c r="A79" s="9">
        <v>63</v>
      </c>
      <c r="B79">
        <v>2.3199999999999998</v>
      </c>
      <c r="C79" s="87">
        <v>44</v>
      </c>
      <c r="D79" s="87">
        <f t="shared" si="8"/>
        <v>1.88</v>
      </c>
      <c r="E79" s="87">
        <v>31.94</v>
      </c>
      <c r="F79" s="89">
        <f t="shared" si="7"/>
        <v>60.047199999999997</v>
      </c>
      <c r="G79" s="90"/>
      <c r="H79" s="90"/>
      <c r="I79" s="90"/>
    </row>
    <row r="80" spans="1:9" x14ac:dyDescent="0.3">
      <c r="A80" s="9">
        <v>64</v>
      </c>
      <c r="B80">
        <v>2.35</v>
      </c>
      <c r="C80" s="87">
        <v>45</v>
      </c>
      <c r="D80" s="87">
        <f t="shared" si="8"/>
        <v>1.88</v>
      </c>
      <c r="E80" s="87">
        <v>32.54</v>
      </c>
      <c r="F80" s="89">
        <f t="shared" si="7"/>
        <v>61.175199999999997</v>
      </c>
      <c r="G80" s="90"/>
      <c r="H80" s="90"/>
      <c r="I80" s="90"/>
    </row>
    <row r="81" spans="1:9" x14ac:dyDescent="0.3">
      <c r="A81" s="9">
        <v>65</v>
      </c>
      <c r="B81">
        <v>2.39</v>
      </c>
      <c r="C81" s="87">
        <v>46</v>
      </c>
      <c r="D81" s="87">
        <f t="shared" si="8"/>
        <v>1.88</v>
      </c>
      <c r="E81" s="87">
        <v>33.1</v>
      </c>
      <c r="F81" s="89">
        <f t="shared" si="7"/>
        <v>62.228000000000002</v>
      </c>
      <c r="G81" s="90"/>
      <c r="H81" s="90"/>
      <c r="I81" s="90"/>
    </row>
    <row r="82" spans="1:9" x14ac:dyDescent="0.3">
      <c r="A82" s="9">
        <v>66</v>
      </c>
      <c r="B82">
        <v>2.41</v>
      </c>
      <c r="C82" s="87">
        <v>47</v>
      </c>
      <c r="D82" s="87">
        <f t="shared" si="8"/>
        <v>1.88</v>
      </c>
      <c r="E82" s="87">
        <v>33.659999999999997</v>
      </c>
      <c r="F82" s="89">
        <f t="shared" si="7"/>
        <v>63.280799999999992</v>
      </c>
      <c r="G82" s="90"/>
      <c r="H82" s="90"/>
      <c r="I82" s="90"/>
    </row>
    <row r="83" spans="1:9" x14ac:dyDescent="0.3">
      <c r="A83" s="9">
        <v>67</v>
      </c>
      <c r="B83">
        <v>2.4500000000000002</v>
      </c>
      <c r="C83" s="87">
        <v>48</v>
      </c>
      <c r="D83" s="87">
        <f t="shared" si="8"/>
        <v>1.88</v>
      </c>
      <c r="E83" s="87">
        <v>34.22</v>
      </c>
      <c r="F83" s="89">
        <f t="shared" si="7"/>
        <v>64.33359999999999</v>
      </c>
      <c r="G83" s="90"/>
      <c r="H83" s="90"/>
      <c r="I83" s="90"/>
    </row>
    <row r="84" spans="1:9" x14ac:dyDescent="0.3">
      <c r="A84" s="9">
        <v>68</v>
      </c>
      <c r="B84">
        <v>2.48</v>
      </c>
      <c r="C84" s="87">
        <v>49</v>
      </c>
      <c r="D84" s="87">
        <f t="shared" si="8"/>
        <v>1.88</v>
      </c>
      <c r="E84" s="87">
        <v>34.78</v>
      </c>
      <c r="F84" s="89">
        <f t="shared" si="7"/>
        <v>65.386399999999995</v>
      </c>
      <c r="G84" s="90"/>
      <c r="H84" s="90"/>
      <c r="I84" s="90"/>
    </row>
    <row r="85" spans="1:9" x14ac:dyDescent="0.3">
      <c r="A85" s="9">
        <v>69</v>
      </c>
      <c r="B85">
        <v>2.52</v>
      </c>
      <c r="C85" s="87">
        <v>50</v>
      </c>
      <c r="D85" s="87">
        <f t="shared" si="8"/>
        <v>1.88</v>
      </c>
      <c r="E85" s="87">
        <v>35.340000000000003</v>
      </c>
      <c r="F85" s="89">
        <f t="shared" si="7"/>
        <v>66.4392</v>
      </c>
      <c r="G85" s="90"/>
      <c r="H85" s="90"/>
      <c r="I85" s="90"/>
    </row>
    <row r="86" spans="1:9" x14ac:dyDescent="0.3">
      <c r="A86" s="9">
        <v>70</v>
      </c>
      <c r="B86">
        <v>2.54</v>
      </c>
      <c r="C86" s="87">
        <v>51</v>
      </c>
      <c r="D86" s="87">
        <f t="shared" si="8"/>
        <v>1.88</v>
      </c>
      <c r="E86" s="87">
        <v>35.9</v>
      </c>
      <c r="F86" s="89">
        <f t="shared" si="7"/>
        <v>67.49199999999999</v>
      </c>
      <c r="G86" s="90"/>
      <c r="H86" s="90"/>
      <c r="I86" s="90"/>
    </row>
    <row r="87" spans="1:9" x14ac:dyDescent="0.3">
      <c r="A87" s="9">
        <v>71</v>
      </c>
      <c r="B87">
        <v>2.58</v>
      </c>
      <c r="C87" s="87">
        <v>52</v>
      </c>
      <c r="D87" s="87">
        <f t="shared" si="8"/>
        <v>1.88</v>
      </c>
      <c r="E87" s="87">
        <v>36.46</v>
      </c>
      <c r="F87" s="89">
        <f t="shared" si="7"/>
        <v>68.544799999999995</v>
      </c>
      <c r="G87" s="90"/>
      <c r="H87" s="90"/>
      <c r="I87" s="90"/>
    </row>
    <row r="88" spans="1:9" x14ac:dyDescent="0.3">
      <c r="A88" s="9">
        <v>72</v>
      </c>
      <c r="B88">
        <v>2.62</v>
      </c>
      <c r="C88" s="87">
        <v>53</v>
      </c>
      <c r="D88" s="87">
        <f t="shared" si="8"/>
        <v>1.88</v>
      </c>
      <c r="E88" s="87">
        <v>37.020000000000003</v>
      </c>
      <c r="F88" s="89">
        <f t="shared" si="7"/>
        <v>69.5976</v>
      </c>
      <c r="G88" s="90"/>
      <c r="H88" s="90"/>
      <c r="I88" s="90"/>
    </row>
    <row r="89" spans="1:9" x14ac:dyDescent="0.3">
      <c r="A89" s="9">
        <v>73</v>
      </c>
      <c r="B89">
        <v>2.64</v>
      </c>
      <c r="C89" s="87">
        <v>54</v>
      </c>
      <c r="D89" s="87">
        <f t="shared" si="8"/>
        <v>1.88</v>
      </c>
      <c r="E89" s="87">
        <v>37.58</v>
      </c>
      <c r="F89" s="89">
        <f t="shared" si="7"/>
        <v>70.650399999999991</v>
      </c>
      <c r="G89" s="90"/>
      <c r="H89" s="90"/>
      <c r="I89" s="90"/>
    </row>
    <row r="90" spans="1:9" x14ac:dyDescent="0.3">
      <c r="A90" s="9">
        <v>74</v>
      </c>
      <c r="B90">
        <v>2.68</v>
      </c>
      <c r="C90" s="87">
        <v>55</v>
      </c>
      <c r="D90" s="87">
        <f t="shared" si="8"/>
        <v>1.88</v>
      </c>
      <c r="E90" s="87">
        <v>38.14</v>
      </c>
      <c r="F90" s="89">
        <f t="shared" si="7"/>
        <v>71.703199999999995</v>
      </c>
      <c r="G90" s="90"/>
      <c r="H90" s="90"/>
      <c r="I90" s="90"/>
    </row>
    <row r="91" spans="1:9" x14ac:dyDescent="0.3">
      <c r="A91" s="9">
        <v>75</v>
      </c>
      <c r="B91">
        <v>2.71</v>
      </c>
      <c r="C91" s="87">
        <v>56</v>
      </c>
      <c r="D91" s="87">
        <f t="shared" si="8"/>
        <v>1.88</v>
      </c>
      <c r="E91" s="87">
        <v>38.700000000000003</v>
      </c>
      <c r="F91" s="89">
        <f t="shared" si="7"/>
        <v>72.756</v>
      </c>
      <c r="G91" s="90"/>
      <c r="H91" s="90"/>
      <c r="I91" s="90"/>
    </row>
    <row r="92" spans="1:9" x14ac:dyDescent="0.3">
      <c r="A92" s="9">
        <v>76</v>
      </c>
      <c r="B92">
        <v>2.75</v>
      </c>
      <c r="C92" s="87">
        <v>57</v>
      </c>
      <c r="D92" s="87">
        <f t="shared" si="8"/>
        <v>1.88</v>
      </c>
      <c r="E92" s="87">
        <v>39.26</v>
      </c>
      <c r="F92" s="89">
        <f t="shared" si="7"/>
        <v>73.808799999999991</v>
      </c>
      <c r="G92" s="90"/>
      <c r="H92" s="90"/>
      <c r="I92" s="90"/>
    </row>
    <row r="93" spans="1:9" x14ac:dyDescent="0.3">
      <c r="A93" s="9">
        <v>77</v>
      </c>
      <c r="B93">
        <v>2.77</v>
      </c>
      <c r="C93" s="87">
        <v>58</v>
      </c>
      <c r="D93" s="87">
        <f t="shared" si="8"/>
        <v>1.88</v>
      </c>
      <c r="E93" s="87">
        <v>39.82</v>
      </c>
      <c r="F93" s="89">
        <f t="shared" si="7"/>
        <v>74.861599999999996</v>
      </c>
      <c r="G93" s="90"/>
      <c r="H93" s="90"/>
      <c r="I93" s="90"/>
    </row>
    <row r="94" spans="1:9" x14ac:dyDescent="0.3">
      <c r="A94" s="9">
        <v>78</v>
      </c>
      <c r="B94">
        <v>2.81</v>
      </c>
      <c r="C94" s="87">
        <v>59</v>
      </c>
      <c r="D94" s="87">
        <f t="shared" si="8"/>
        <v>1.88</v>
      </c>
      <c r="E94" s="87">
        <v>40.380000000000003</v>
      </c>
      <c r="F94" s="89">
        <f t="shared" si="7"/>
        <v>75.914400000000001</v>
      </c>
      <c r="G94" s="90"/>
      <c r="H94" s="90"/>
      <c r="I94" s="90"/>
    </row>
    <row r="95" spans="1:9" x14ac:dyDescent="0.3">
      <c r="A95" s="9">
        <v>79</v>
      </c>
      <c r="B95">
        <v>2.84</v>
      </c>
      <c r="C95" s="87">
        <v>60</v>
      </c>
      <c r="D95" s="87">
        <f t="shared" si="8"/>
        <v>1.88</v>
      </c>
      <c r="E95" s="87">
        <v>40.94</v>
      </c>
      <c r="F95" s="89">
        <f t="shared" si="7"/>
        <v>76.967199999999991</v>
      </c>
      <c r="G95" s="90"/>
      <c r="H95" s="90"/>
      <c r="I95" s="90"/>
    </row>
    <row r="96" spans="1:9" x14ac:dyDescent="0.3">
      <c r="A96" s="9">
        <v>80</v>
      </c>
      <c r="B96">
        <v>2.87</v>
      </c>
      <c r="C96" s="87">
        <v>61</v>
      </c>
      <c r="D96" s="87">
        <f t="shared" si="8"/>
        <v>1.88</v>
      </c>
      <c r="E96" s="87">
        <v>41.5</v>
      </c>
      <c r="F96" s="89">
        <f t="shared" si="7"/>
        <v>78.02</v>
      </c>
      <c r="G96" s="90"/>
      <c r="H96" s="90"/>
      <c r="I96" s="90"/>
    </row>
    <row r="97" spans="1:9" x14ac:dyDescent="0.3">
      <c r="A97" s="9">
        <v>81</v>
      </c>
      <c r="B97">
        <v>2.9</v>
      </c>
      <c r="C97" s="87">
        <v>62</v>
      </c>
      <c r="D97" s="87">
        <f t="shared" si="8"/>
        <v>1.88</v>
      </c>
      <c r="E97" s="87">
        <v>42.06</v>
      </c>
      <c r="F97" s="89">
        <f t="shared" si="7"/>
        <v>79.072800000000001</v>
      </c>
      <c r="G97" s="90"/>
      <c r="H97" s="90"/>
      <c r="I97" s="90"/>
    </row>
    <row r="98" spans="1:9" x14ac:dyDescent="0.3">
      <c r="A98" s="9">
        <v>82</v>
      </c>
      <c r="B98">
        <v>2.94</v>
      </c>
      <c r="C98" s="87">
        <v>63</v>
      </c>
      <c r="D98" s="87">
        <f t="shared" si="8"/>
        <v>1.88</v>
      </c>
      <c r="E98" s="87">
        <v>42.62</v>
      </c>
      <c r="F98" s="89">
        <f t="shared" si="7"/>
        <v>80.125599999999991</v>
      </c>
      <c r="G98" s="90"/>
      <c r="H98" s="90"/>
      <c r="I98" s="90"/>
    </row>
    <row r="99" spans="1:9" x14ac:dyDescent="0.3">
      <c r="A99" s="9">
        <v>83</v>
      </c>
      <c r="B99">
        <v>2.96</v>
      </c>
      <c r="C99" s="87">
        <v>64</v>
      </c>
      <c r="D99" s="87">
        <f t="shared" si="8"/>
        <v>1.88</v>
      </c>
      <c r="E99" s="87">
        <v>43.18</v>
      </c>
      <c r="F99" s="89">
        <f t="shared" si="7"/>
        <v>81.178399999999996</v>
      </c>
      <c r="G99" s="90"/>
      <c r="H99" s="90"/>
      <c r="I99" s="90"/>
    </row>
    <row r="100" spans="1:9" x14ac:dyDescent="0.3">
      <c r="A100" s="9">
        <v>84</v>
      </c>
      <c r="B100">
        <v>3</v>
      </c>
      <c r="C100" s="87">
        <v>65</v>
      </c>
      <c r="D100" s="87">
        <f t="shared" si="8"/>
        <v>1.88</v>
      </c>
      <c r="E100" s="87">
        <v>43.74</v>
      </c>
      <c r="F100" s="89">
        <f t="shared" ref="F100:F163" si="11">D100*E100</f>
        <v>82.231200000000001</v>
      </c>
      <c r="G100" s="90"/>
      <c r="H100" s="90"/>
      <c r="I100" s="90"/>
    </row>
    <row r="101" spans="1:9" x14ac:dyDescent="0.3">
      <c r="A101" s="9">
        <v>85</v>
      </c>
      <c r="B101">
        <v>3.04</v>
      </c>
      <c r="C101" s="87">
        <v>66</v>
      </c>
      <c r="D101" s="87">
        <f t="shared" ref="D101:D164" si="12">D100</f>
        <v>1.88</v>
      </c>
      <c r="E101" s="87">
        <v>44.3</v>
      </c>
      <c r="F101" s="89">
        <f t="shared" si="11"/>
        <v>83.283999999999992</v>
      </c>
      <c r="G101" s="90"/>
      <c r="H101" s="90"/>
      <c r="I101" s="90"/>
    </row>
    <row r="102" spans="1:9" x14ac:dyDescent="0.3">
      <c r="A102" s="9">
        <v>86</v>
      </c>
      <c r="B102">
        <v>3.06</v>
      </c>
      <c r="C102" s="87">
        <v>67</v>
      </c>
      <c r="D102" s="87">
        <f t="shared" si="12"/>
        <v>1.88</v>
      </c>
      <c r="E102" s="87">
        <v>44.86</v>
      </c>
      <c r="F102" s="89">
        <f t="shared" si="11"/>
        <v>84.336799999999997</v>
      </c>
      <c r="G102" s="90"/>
      <c r="H102" s="90"/>
      <c r="I102" s="90"/>
    </row>
    <row r="103" spans="1:9" x14ac:dyDescent="0.3">
      <c r="A103" s="9">
        <v>87</v>
      </c>
      <c r="B103">
        <v>3.1</v>
      </c>
      <c r="C103" s="87">
        <v>68</v>
      </c>
      <c r="D103" s="87">
        <f t="shared" si="12"/>
        <v>1.88</v>
      </c>
      <c r="E103" s="87">
        <v>45.42</v>
      </c>
      <c r="F103" s="89">
        <f t="shared" si="11"/>
        <v>85.389600000000002</v>
      </c>
      <c r="G103" s="90"/>
      <c r="H103" s="90"/>
      <c r="I103" s="90"/>
    </row>
    <row r="104" spans="1:9" x14ac:dyDescent="0.3">
      <c r="A104" s="9">
        <v>88</v>
      </c>
      <c r="B104">
        <v>3.13</v>
      </c>
      <c r="C104" s="87">
        <v>69</v>
      </c>
      <c r="D104" s="87">
        <f t="shared" si="12"/>
        <v>1.88</v>
      </c>
      <c r="E104" s="87">
        <v>45.98</v>
      </c>
      <c r="F104" s="89">
        <f t="shared" si="11"/>
        <v>86.442399999999992</v>
      </c>
      <c r="G104" s="90"/>
      <c r="H104" s="90"/>
      <c r="I104" s="90"/>
    </row>
    <row r="105" spans="1:9" x14ac:dyDescent="0.3">
      <c r="A105" s="9">
        <v>89</v>
      </c>
      <c r="B105">
        <v>3.16</v>
      </c>
      <c r="C105" s="87">
        <v>70</v>
      </c>
      <c r="D105" s="87">
        <f t="shared" si="12"/>
        <v>1.88</v>
      </c>
      <c r="E105" s="87">
        <v>46.5399999999999</v>
      </c>
      <c r="F105" s="89">
        <f t="shared" si="11"/>
        <v>87.495199999999812</v>
      </c>
      <c r="G105" s="90"/>
      <c r="H105" s="90"/>
      <c r="I105" s="90"/>
    </row>
    <row r="106" spans="1:9" x14ac:dyDescent="0.3">
      <c r="A106" s="9">
        <v>90</v>
      </c>
      <c r="B106">
        <v>3.19</v>
      </c>
      <c r="C106" s="87">
        <v>71</v>
      </c>
      <c r="D106" s="87">
        <f t="shared" si="12"/>
        <v>1.88</v>
      </c>
      <c r="E106" s="87">
        <v>47.099999999999902</v>
      </c>
      <c r="F106" s="89">
        <f t="shared" si="11"/>
        <v>88.547999999999817</v>
      </c>
      <c r="G106" s="90"/>
      <c r="H106" s="90"/>
      <c r="I106" s="90"/>
    </row>
    <row r="107" spans="1:9" x14ac:dyDescent="0.3">
      <c r="A107" s="9">
        <v>91</v>
      </c>
      <c r="B107">
        <v>3.23</v>
      </c>
      <c r="C107" s="87">
        <v>72</v>
      </c>
      <c r="D107" s="87">
        <f t="shared" si="12"/>
        <v>1.88</v>
      </c>
      <c r="E107" s="87">
        <v>47.659999999999897</v>
      </c>
      <c r="F107" s="89">
        <f t="shared" si="11"/>
        <v>89.600799999999808</v>
      </c>
      <c r="G107" s="90"/>
      <c r="H107" s="90"/>
      <c r="I107" s="90"/>
    </row>
    <row r="108" spans="1:9" x14ac:dyDescent="0.3">
      <c r="A108" s="9">
        <v>92</v>
      </c>
      <c r="B108">
        <v>3.25</v>
      </c>
      <c r="C108" s="87">
        <v>73</v>
      </c>
      <c r="D108" s="87">
        <f t="shared" si="12"/>
        <v>1.88</v>
      </c>
      <c r="E108" s="87">
        <v>48.219999999999899</v>
      </c>
      <c r="F108" s="89">
        <f t="shared" si="11"/>
        <v>90.653599999999813</v>
      </c>
      <c r="G108" s="90"/>
      <c r="H108" s="90"/>
      <c r="I108" s="90"/>
    </row>
    <row r="109" spans="1:9" x14ac:dyDescent="0.3">
      <c r="A109" s="9">
        <v>93</v>
      </c>
      <c r="B109">
        <v>3.29</v>
      </c>
      <c r="C109" s="87">
        <v>74</v>
      </c>
      <c r="D109" s="87">
        <f t="shared" si="12"/>
        <v>1.88</v>
      </c>
      <c r="E109" s="87">
        <v>48.779999999999902</v>
      </c>
      <c r="F109" s="89">
        <f t="shared" si="11"/>
        <v>91.706399999999803</v>
      </c>
      <c r="G109" s="90"/>
      <c r="H109" s="90"/>
      <c r="I109" s="90"/>
    </row>
    <row r="110" spans="1:9" x14ac:dyDescent="0.3">
      <c r="A110" s="9">
        <v>94</v>
      </c>
      <c r="B110">
        <v>3.31</v>
      </c>
      <c r="C110" s="87">
        <v>75</v>
      </c>
      <c r="D110" s="87">
        <f t="shared" si="12"/>
        <v>1.88</v>
      </c>
      <c r="E110" s="87">
        <v>49.339999999999897</v>
      </c>
      <c r="F110" s="89">
        <f t="shared" si="11"/>
        <v>92.759199999999794</v>
      </c>
      <c r="G110" s="90"/>
      <c r="H110" s="90"/>
      <c r="I110" s="90"/>
    </row>
    <row r="111" spans="1:9" x14ac:dyDescent="0.3">
      <c r="A111" s="9">
        <v>95</v>
      </c>
      <c r="B111">
        <v>3.35</v>
      </c>
      <c r="C111" s="87">
        <v>76</v>
      </c>
      <c r="D111" s="87">
        <f t="shared" si="12"/>
        <v>1.88</v>
      </c>
      <c r="E111" s="87">
        <v>49.899999999999899</v>
      </c>
      <c r="F111" s="89">
        <f t="shared" si="11"/>
        <v>93.811999999999799</v>
      </c>
      <c r="G111" s="90"/>
      <c r="H111" s="90"/>
      <c r="I111" s="90"/>
    </row>
    <row r="112" spans="1:9" x14ac:dyDescent="0.3">
      <c r="A112" s="9">
        <v>96</v>
      </c>
      <c r="B112">
        <v>3.38</v>
      </c>
      <c r="C112" s="87">
        <v>77</v>
      </c>
      <c r="D112" s="87">
        <f t="shared" si="12"/>
        <v>1.88</v>
      </c>
      <c r="E112" s="87">
        <v>50.459999999999901</v>
      </c>
      <c r="F112" s="89">
        <f t="shared" si="11"/>
        <v>94.864799999999804</v>
      </c>
      <c r="G112" s="90"/>
      <c r="H112" s="90"/>
      <c r="I112" s="90"/>
    </row>
    <row r="113" spans="1:9" x14ac:dyDescent="0.3">
      <c r="A113" s="9">
        <v>97</v>
      </c>
      <c r="B113">
        <v>3.41</v>
      </c>
      <c r="C113" s="87">
        <v>78</v>
      </c>
      <c r="D113" s="87">
        <f t="shared" si="12"/>
        <v>1.88</v>
      </c>
      <c r="E113" s="87">
        <v>51.019999999999897</v>
      </c>
      <c r="F113" s="89">
        <f t="shared" si="11"/>
        <v>95.917599999999794</v>
      </c>
      <c r="G113" s="90"/>
      <c r="H113" s="90"/>
      <c r="I113" s="90"/>
    </row>
    <row r="114" spans="1:9" x14ac:dyDescent="0.3">
      <c r="A114" s="9">
        <v>98</v>
      </c>
      <c r="B114">
        <v>3.44</v>
      </c>
      <c r="C114" s="87">
        <v>79</v>
      </c>
      <c r="D114" s="87">
        <f t="shared" si="12"/>
        <v>1.88</v>
      </c>
      <c r="E114" s="87">
        <v>51.579999999999899</v>
      </c>
      <c r="F114" s="89">
        <f t="shared" si="11"/>
        <v>96.970399999999799</v>
      </c>
      <c r="G114" s="90"/>
      <c r="H114" s="90"/>
      <c r="I114" s="90"/>
    </row>
    <row r="115" spans="1:9" x14ac:dyDescent="0.3">
      <c r="A115" s="9">
        <v>99</v>
      </c>
      <c r="B115">
        <v>3.48</v>
      </c>
      <c r="C115" s="87">
        <v>80</v>
      </c>
      <c r="D115" s="87">
        <f t="shared" si="12"/>
        <v>1.88</v>
      </c>
      <c r="E115" s="87">
        <v>52.139999999999901</v>
      </c>
      <c r="F115" s="89">
        <f t="shared" si="11"/>
        <v>98.023199999999804</v>
      </c>
      <c r="G115" s="90"/>
      <c r="H115" s="90"/>
      <c r="I115" s="90"/>
    </row>
    <row r="116" spans="1:9" x14ac:dyDescent="0.3">
      <c r="A116" s="9">
        <v>100</v>
      </c>
      <c r="B116">
        <v>3.5</v>
      </c>
      <c r="C116" s="87">
        <v>81</v>
      </c>
      <c r="D116" s="87">
        <f t="shared" si="12"/>
        <v>1.88</v>
      </c>
      <c r="E116" s="87">
        <v>52.699999999999903</v>
      </c>
      <c r="F116" s="89">
        <f t="shared" si="11"/>
        <v>99.075999999999809</v>
      </c>
      <c r="G116" s="90"/>
      <c r="H116" s="90"/>
      <c r="I116" s="90"/>
    </row>
    <row r="117" spans="1:9" x14ac:dyDescent="0.3">
      <c r="A117" s="9">
        <v>101</v>
      </c>
      <c r="B117">
        <v>3.54</v>
      </c>
      <c r="C117" s="87">
        <v>82</v>
      </c>
      <c r="D117" s="87">
        <f t="shared" si="12"/>
        <v>1.88</v>
      </c>
      <c r="E117" s="87">
        <v>53.259999999999899</v>
      </c>
      <c r="F117" s="89">
        <f t="shared" si="11"/>
        <v>100.1287999999998</v>
      </c>
      <c r="G117" s="90"/>
      <c r="H117" s="90"/>
      <c r="I117" s="90"/>
    </row>
    <row r="118" spans="1:9" x14ac:dyDescent="0.3">
      <c r="A118" s="9">
        <v>102</v>
      </c>
      <c r="B118">
        <v>3.56</v>
      </c>
      <c r="C118" s="87">
        <v>83</v>
      </c>
      <c r="D118" s="87">
        <f t="shared" si="12"/>
        <v>1.88</v>
      </c>
      <c r="E118" s="87">
        <v>53.819999999999901</v>
      </c>
      <c r="F118" s="89">
        <f t="shared" si="11"/>
        <v>101.1815999999998</v>
      </c>
      <c r="G118" s="90"/>
      <c r="H118" s="90"/>
      <c r="I118" s="90"/>
    </row>
    <row r="119" spans="1:9" x14ac:dyDescent="0.3">
      <c r="A119" s="9">
        <v>103</v>
      </c>
      <c r="B119">
        <v>3.6</v>
      </c>
      <c r="C119" s="87">
        <v>84</v>
      </c>
      <c r="D119" s="87">
        <f t="shared" si="12"/>
        <v>1.88</v>
      </c>
      <c r="E119" s="87">
        <v>54.379999999999903</v>
      </c>
      <c r="F119" s="89">
        <f t="shared" si="11"/>
        <v>102.23439999999981</v>
      </c>
      <c r="G119" s="90"/>
      <c r="H119" s="90"/>
      <c r="I119" s="90"/>
    </row>
    <row r="120" spans="1:9" x14ac:dyDescent="0.3">
      <c r="A120" s="9">
        <v>104</v>
      </c>
      <c r="B120">
        <v>3.64</v>
      </c>
      <c r="C120" s="87">
        <v>85</v>
      </c>
      <c r="D120" s="87">
        <f t="shared" si="12"/>
        <v>1.88</v>
      </c>
      <c r="E120" s="87">
        <v>54.939999999999898</v>
      </c>
      <c r="F120" s="89">
        <f t="shared" si="11"/>
        <v>103.2871999999998</v>
      </c>
      <c r="G120" s="90"/>
      <c r="H120" s="90"/>
      <c r="I120" s="90"/>
    </row>
    <row r="121" spans="1:9" x14ac:dyDescent="0.3">
      <c r="A121" s="9">
        <v>105</v>
      </c>
      <c r="B121">
        <v>3.66</v>
      </c>
      <c r="C121" s="87">
        <v>86</v>
      </c>
      <c r="D121" s="87">
        <f t="shared" si="12"/>
        <v>1.88</v>
      </c>
      <c r="E121" s="87">
        <v>55.499999999999901</v>
      </c>
      <c r="F121" s="89">
        <f t="shared" si="11"/>
        <v>104.3399999999998</v>
      </c>
      <c r="G121" s="90"/>
      <c r="H121" s="90"/>
      <c r="I121" s="90"/>
    </row>
    <row r="122" spans="1:9" x14ac:dyDescent="0.3">
      <c r="A122" s="9">
        <v>106</v>
      </c>
      <c r="B122">
        <v>3.7</v>
      </c>
      <c r="C122" s="87">
        <v>87</v>
      </c>
      <c r="D122" s="87">
        <f t="shared" si="12"/>
        <v>1.88</v>
      </c>
      <c r="E122" s="87">
        <v>56.059999999999903</v>
      </c>
      <c r="F122" s="89">
        <f t="shared" si="11"/>
        <v>105.39279999999981</v>
      </c>
      <c r="G122" s="90"/>
      <c r="H122" s="90"/>
      <c r="I122" s="90"/>
    </row>
    <row r="123" spans="1:9" x14ac:dyDescent="0.3">
      <c r="A123" s="9">
        <v>107</v>
      </c>
      <c r="B123">
        <v>3.72</v>
      </c>
      <c r="C123" s="87">
        <v>88</v>
      </c>
      <c r="D123" s="87">
        <f t="shared" si="12"/>
        <v>1.88</v>
      </c>
      <c r="E123" s="87">
        <v>56.619999999999898</v>
      </c>
      <c r="F123" s="89">
        <f t="shared" si="11"/>
        <v>106.4455999999998</v>
      </c>
      <c r="G123" s="90"/>
      <c r="H123" s="90"/>
      <c r="I123" s="90"/>
    </row>
    <row r="124" spans="1:9" x14ac:dyDescent="0.3">
      <c r="A124" s="9">
        <v>108</v>
      </c>
      <c r="B124">
        <v>3.76</v>
      </c>
      <c r="C124" s="87">
        <v>89</v>
      </c>
      <c r="D124" s="87">
        <f t="shared" si="12"/>
        <v>1.88</v>
      </c>
      <c r="E124" s="87">
        <v>57.1799999999999</v>
      </c>
      <c r="F124" s="89">
        <f t="shared" si="11"/>
        <v>107.4983999999998</v>
      </c>
      <c r="G124" s="90"/>
      <c r="H124" s="90"/>
      <c r="I124" s="90"/>
    </row>
    <row r="125" spans="1:9" x14ac:dyDescent="0.3">
      <c r="A125" s="9">
        <v>109</v>
      </c>
      <c r="B125">
        <v>3.79</v>
      </c>
      <c r="C125" s="87">
        <v>90</v>
      </c>
      <c r="D125" s="87">
        <f t="shared" si="12"/>
        <v>1.88</v>
      </c>
      <c r="E125" s="87">
        <v>57.739999999999903</v>
      </c>
      <c r="F125" s="89">
        <f t="shared" si="11"/>
        <v>108.55119999999981</v>
      </c>
      <c r="G125" s="90"/>
      <c r="H125" s="90"/>
      <c r="I125" s="90"/>
    </row>
    <row r="126" spans="1:9" x14ac:dyDescent="0.3">
      <c r="A126" s="9">
        <v>110</v>
      </c>
      <c r="B126">
        <v>3.82</v>
      </c>
      <c r="C126" s="87">
        <v>91</v>
      </c>
      <c r="D126" s="87">
        <f t="shared" si="12"/>
        <v>1.88</v>
      </c>
      <c r="E126" s="87">
        <v>58.299999999999798</v>
      </c>
      <c r="F126" s="89">
        <f t="shared" si="11"/>
        <v>109.60399999999962</v>
      </c>
      <c r="G126" s="90"/>
      <c r="H126" s="90"/>
      <c r="I126" s="90"/>
    </row>
    <row r="127" spans="1:9" x14ac:dyDescent="0.3">
      <c r="A127" s="9">
        <v>111</v>
      </c>
      <c r="B127">
        <v>3.85</v>
      </c>
      <c r="C127" s="87">
        <v>92</v>
      </c>
      <c r="D127" s="87">
        <f t="shared" si="12"/>
        <v>1.88</v>
      </c>
      <c r="E127" s="87">
        <v>58.8599999999998</v>
      </c>
      <c r="F127" s="89">
        <f t="shared" si="11"/>
        <v>110.65679999999962</v>
      </c>
      <c r="G127" s="90"/>
      <c r="H127" s="90"/>
      <c r="I127" s="90"/>
    </row>
    <row r="128" spans="1:9" x14ac:dyDescent="0.3">
      <c r="A128" s="9">
        <v>112</v>
      </c>
      <c r="B128">
        <v>3.88</v>
      </c>
      <c r="C128" s="87">
        <v>93</v>
      </c>
      <c r="D128" s="87">
        <f t="shared" si="12"/>
        <v>1.88</v>
      </c>
      <c r="E128" s="87">
        <v>59.419999999999803</v>
      </c>
      <c r="F128" s="89">
        <f t="shared" si="11"/>
        <v>111.70959999999963</v>
      </c>
      <c r="G128" s="90"/>
      <c r="H128" s="90"/>
      <c r="I128" s="90"/>
    </row>
    <row r="129" spans="1:9" x14ac:dyDescent="0.3">
      <c r="A129" s="9">
        <v>113</v>
      </c>
      <c r="B129">
        <v>3.91</v>
      </c>
      <c r="C129" s="87">
        <v>94</v>
      </c>
      <c r="D129" s="87">
        <f t="shared" si="12"/>
        <v>1.88</v>
      </c>
      <c r="E129" s="87">
        <v>59.979999999999897</v>
      </c>
      <c r="F129" s="89">
        <f t="shared" si="11"/>
        <v>112.7623999999998</v>
      </c>
      <c r="G129" s="90"/>
      <c r="H129" s="90"/>
      <c r="I129" s="90"/>
    </row>
    <row r="130" spans="1:9" x14ac:dyDescent="0.3">
      <c r="A130" s="9">
        <v>114</v>
      </c>
      <c r="B130">
        <v>3.95</v>
      </c>
      <c r="C130" s="87">
        <v>95</v>
      </c>
      <c r="D130" s="87">
        <f t="shared" si="12"/>
        <v>1.88</v>
      </c>
      <c r="E130" s="87">
        <v>60.5399999999999</v>
      </c>
      <c r="F130" s="89">
        <f t="shared" si="11"/>
        <v>113.81519999999981</v>
      </c>
      <c r="G130" s="90"/>
      <c r="H130" s="90"/>
      <c r="I130" s="90"/>
    </row>
    <row r="131" spans="1:9" x14ac:dyDescent="0.3">
      <c r="A131" s="9">
        <v>115</v>
      </c>
      <c r="B131">
        <v>3.97</v>
      </c>
      <c r="C131" s="87">
        <v>96</v>
      </c>
      <c r="D131" s="87">
        <f t="shared" si="12"/>
        <v>1.88</v>
      </c>
      <c r="E131" s="87">
        <v>61.099999999999902</v>
      </c>
      <c r="F131" s="89">
        <f t="shared" si="11"/>
        <v>114.86799999999981</v>
      </c>
      <c r="G131" s="90"/>
      <c r="H131" s="90"/>
      <c r="I131" s="90"/>
    </row>
    <row r="132" spans="1:9" x14ac:dyDescent="0.3">
      <c r="A132" s="9">
        <v>116</v>
      </c>
      <c r="B132">
        <v>4.01</v>
      </c>
      <c r="C132" s="87">
        <v>97</v>
      </c>
      <c r="D132" s="87">
        <f t="shared" si="12"/>
        <v>1.88</v>
      </c>
      <c r="E132" s="87">
        <v>61.659999999999897</v>
      </c>
      <c r="F132" s="89">
        <f t="shared" si="11"/>
        <v>115.9207999999998</v>
      </c>
      <c r="G132" s="90"/>
      <c r="H132" s="90"/>
      <c r="I132" s="90"/>
    </row>
    <row r="133" spans="1:9" x14ac:dyDescent="0.3">
      <c r="A133" s="9">
        <v>117</v>
      </c>
      <c r="B133">
        <v>4.03</v>
      </c>
      <c r="C133" s="87">
        <v>98</v>
      </c>
      <c r="D133" s="87">
        <f t="shared" si="12"/>
        <v>1.88</v>
      </c>
      <c r="E133" s="87">
        <v>62.219999999999899</v>
      </c>
      <c r="F133" s="89">
        <f t="shared" si="11"/>
        <v>116.97359999999981</v>
      </c>
      <c r="G133" s="90"/>
      <c r="H133" s="90"/>
      <c r="I133" s="90"/>
    </row>
    <row r="134" spans="1:9" x14ac:dyDescent="0.3">
      <c r="A134" s="9">
        <v>118</v>
      </c>
      <c r="B134">
        <v>4.07</v>
      </c>
      <c r="C134" s="87">
        <v>99</v>
      </c>
      <c r="D134" s="87">
        <f t="shared" si="12"/>
        <v>1.88</v>
      </c>
      <c r="E134" s="87">
        <v>62.779999999999902</v>
      </c>
      <c r="F134" s="89">
        <f t="shared" si="11"/>
        <v>118.02639999999981</v>
      </c>
      <c r="G134" s="90"/>
      <c r="H134" s="90"/>
      <c r="I134" s="90"/>
    </row>
    <row r="135" spans="1:9" x14ac:dyDescent="0.3">
      <c r="A135" s="9">
        <v>119</v>
      </c>
      <c r="B135">
        <v>4.09</v>
      </c>
      <c r="C135" s="87">
        <v>100</v>
      </c>
      <c r="D135" s="87">
        <f t="shared" si="12"/>
        <v>1.88</v>
      </c>
      <c r="E135" s="87">
        <v>63.339999999999897</v>
      </c>
      <c r="F135" s="89">
        <f t="shared" si="11"/>
        <v>119.0791999999998</v>
      </c>
      <c r="G135" s="90"/>
      <c r="H135" s="90"/>
      <c r="I135" s="90"/>
    </row>
    <row r="136" spans="1:9" x14ac:dyDescent="0.3">
      <c r="A136" s="9">
        <v>120</v>
      </c>
      <c r="B136">
        <v>4.13</v>
      </c>
      <c r="C136" s="87">
        <v>101</v>
      </c>
      <c r="D136" s="87">
        <f t="shared" si="12"/>
        <v>1.88</v>
      </c>
      <c r="E136" s="87">
        <v>63.59</v>
      </c>
      <c r="F136" s="89">
        <f t="shared" si="11"/>
        <v>119.5492</v>
      </c>
      <c r="G136" s="90"/>
      <c r="H136" s="90"/>
      <c r="I136" s="90"/>
    </row>
    <row r="137" spans="1:9" x14ac:dyDescent="0.3">
      <c r="A137" s="9">
        <v>121</v>
      </c>
      <c r="B137">
        <v>4.16</v>
      </c>
      <c r="C137" s="87">
        <v>102</v>
      </c>
      <c r="D137" s="87">
        <f t="shared" si="12"/>
        <v>1.88</v>
      </c>
      <c r="E137" s="87">
        <v>63.84</v>
      </c>
      <c r="F137" s="89">
        <f t="shared" si="11"/>
        <v>120.0192</v>
      </c>
      <c r="G137" s="90"/>
      <c r="H137" s="90"/>
      <c r="I137" s="90"/>
    </row>
    <row r="138" spans="1:9" x14ac:dyDescent="0.3">
      <c r="A138" s="9">
        <v>122</v>
      </c>
      <c r="B138">
        <v>4.1900000000000004</v>
      </c>
      <c r="C138" s="87">
        <v>103</v>
      </c>
      <c r="D138" s="87">
        <f t="shared" si="12"/>
        <v>1.88</v>
      </c>
      <c r="E138" s="87">
        <v>64.09</v>
      </c>
      <c r="F138" s="89">
        <f t="shared" si="11"/>
        <v>120.4892</v>
      </c>
      <c r="G138" s="90"/>
      <c r="H138" s="90"/>
      <c r="I138" s="90"/>
    </row>
    <row r="139" spans="1:9" x14ac:dyDescent="0.3">
      <c r="A139" s="9">
        <v>123</v>
      </c>
      <c r="B139">
        <v>4.22</v>
      </c>
      <c r="C139" s="87">
        <v>104</v>
      </c>
      <c r="D139" s="87">
        <f t="shared" si="12"/>
        <v>1.88</v>
      </c>
      <c r="E139" s="87">
        <v>64.34</v>
      </c>
      <c r="F139" s="89">
        <f t="shared" si="11"/>
        <v>120.9592</v>
      </c>
      <c r="G139" s="90"/>
      <c r="H139" s="90"/>
      <c r="I139" s="90"/>
    </row>
    <row r="140" spans="1:9" x14ac:dyDescent="0.3">
      <c r="A140" s="9">
        <v>124</v>
      </c>
      <c r="B140">
        <v>4.25</v>
      </c>
      <c r="C140" s="87">
        <v>105</v>
      </c>
      <c r="D140" s="87">
        <f t="shared" si="12"/>
        <v>1.88</v>
      </c>
      <c r="E140" s="87">
        <v>64.59</v>
      </c>
      <c r="F140" s="89">
        <f t="shared" si="11"/>
        <v>121.42919999999999</v>
      </c>
      <c r="G140" s="90"/>
      <c r="H140" s="90"/>
      <c r="I140" s="90"/>
    </row>
    <row r="141" spans="1:9" x14ac:dyDescent="0.3">
      <c r="A141" s="9">
        <v>125</v>
      </c>
      <c r="B141">
        <v>4.28</v>
      </c>
      <c r="C141" s="87">
        <v>106</v>
      </c>
      <c r="D141" s="87">
        <f t="shared" si="12"/>
        <v>1.88</v>
      </c>
      <c r="E141" s="87">
        <v>64.84</v>
      </c>
      <c r="F141" s="89">
        <f t="shared" si="11"/>
        <v>121.89919999999999</v>
      </c>
      <c r="G141" s="90"/>
      <c r="H141" s="90"/>
      <c r="I141" s="90"/>
    </row>
    <row r="142" spans="1:9" x14ac:dyDescent="0.3">
      <c r="A142" s="9">
        <v>126</v>
      </c>
      <c r="B142">
        <v>4.3099999999999996</v>
      </c>
      <c r="C142" s="87">
        <v>107</v>
      </c>
      <c r="D142" s="87">
        <f t="shared" si="12"/>
        <v>1.88</v>
      </c>
      <c r="E142" s="87">
        <v>65.09</v>
      </c>
      <c r="F142" s="89">
        <f t="shared" si="11"/>
        <v>122.36920000000001</v>
      </c>
      <c r="G142" s="90"/>
      <c r="H142" s="90"/>
      <c r="I142" s="90"/>
    </row>
    <row r="143" spans="1:9" x14ac:dyDescent="0.3">
      <c r="A143" s="9">
        <v>127</v>
      </c>
      <c r="B143">
        <v>4.34</v>
      </c>
      <c r="C143" s="87">
        <v>108</v>
      </c>
      <c r="D143" s="87">
        <f t="shared" si="12"/>
        <v>1.88</v>
      </c>
      <c r="E143" s="87">
        <v>65.34</v>
      </c>
      <c r="F143" s="89">
        <f t="shared" si="11"/>
        <v>122.83920000000001</v>
      </c>
      <c r="G143" s="90"/>
      <c r="H143" s="90"/>
      <c r="I143" s="90"/>
    </row>
    <row r="144" spans="1:9" x14ac:dyDescent="0.3">
      <c r="A144" s="9">
        <v>128</v>
      </c>
      <c r="B144">
        <v>4.37</v>
      </c>
      <c r="C144" s="87">
        <v>109</v>
      </c>
      <c r="D144" s="87">
        <f t="shared" si="12"/>
        <v>1.88</v>
      </c>
      <c r="E144" s="87">
        <v>65.59</v>
      </c>
      <c r="F144" s="89">
        <f t="shared" si="11"/>
        <v>123.3092</v>
      </c>
      <c r="G144" s="90"/>
      <c r="H144" s="90"/>
      <c r="I144" s="90"/>
    </row>
    <row r="145" spans="1:9" x14ac:dyDescent="0.3">
      <c r="A145" s="9">
        <v>129</v>
      </c>
      <c r="B145">
        <v>4.4000000000000004</v>
      </c>
      <c r="C145" s="87">
        <v>110</v>
      </c>
      <c r="D145" s="87">
        <f t="shared" si="12"/>
        <v>1.88</v>
      </c>
      <c r="E145" s="87">
        <v>65.84</v>
      </c>
      <c r="F145" s="89">
        <f t="shared" si="11"/>
        <v>123.7792</v>
      </c>
      <c r="G145" s="90"/>
      <c r="H145" s="90"/>
      <c r="I145" s="90"/>
    </row>
    <row r="146" spans="1:9" x14ac:dyDescent="0.3">
      <c r="A146" s="9">
        <v>130</v>
      </c>
      <c r="B146">
        <v>4.4400000000000004</v>
      </c>
      <c r="C146" s="87">
        <v>111</v>
      </c>
      <c r="D146" s="87">
        <f t="shared" si="12"/>
        <v>1.88</v>
      </c>
      <c r="E146" s="87">
        <v>66.09</v>
      </c>
      <c r="F146" s="89">
        <f t="shared" si="11"/>
        <v>124.2492</v>
      </c>
      <c r="G146" s="90"/>
      <c r="H146" s="90"/>
      <c r="I146" s="90"/>
    </row>
    <row r="147" spans="1:9" x14ac:dyDescent="0.3">
      <c r="A147" s="9">
        <v>131</v>
      </c>
      <c r="B147">
        <v>4.46</v>
      </c>
      <c r="C147" s="87">
        <v>112</v>
      </c>
      <c r="D147" s="87">
        <f t="shared" si="12"/>
        <v>1.88</v>
      </c>
      <c r="E147" s="87">
        <v>66.34</v>
      </c>
      <c r="F147" s="89">
        <f t="shared" si="11"/>
        <v>124.7192</v>
      </c>
      <c r="G147" s="90"/>
      <c r="H147" s="90"/>
      <c r="I147" s="90"/>
    </row>
    <row r="148" spans="1:9" x14ac:dyDescent="0.3">
      <c r="A148" s="9">
        <v>132</v>
      </c>
      <c r="B148">
        <v>4.5</v>
      </c>
      <c r="C148" s="87">
        <v>113</v>
      </c>
      <c r="D148" s="87">
        <f t="shared" si="12"/>
        <v>1.88</v>
      </c>
      <c r="E148" s="87">
        <v>66.59</v>
      </c>
      <c r="F148" s="89">
        <f t="shared" si="11"/>
        <v>125.1892</v>
      </c>
      <c r="G148" s="90"/>
      <c r="H148" s="90"/>
      <c r="I148" s="90"/>
    </row>
    <row r="149" spans="1:9" x14ac:dyDescent="0.3">
      <c r="A149" s="9">
        <v>133</v>
      </c>
      <c r="B149">
        <v>4.5199999999999996</v>
      </c>
      <c r="C149" s="87">
        <v>114</v>
      </c>
      <c r="D149" s="87">
        <f t="shared" si="12"/>
        <v>1.88</v>
      </c>
      <c r="E149" s="87">
        <v>66.84</v>
      </c>
      <c r="F149" s="89">
        <f t="shared" si="11"/>
        <v>125.6592</v>
      </c>
      <c r="G149" s="90"/>
      <c r="H149" s="90"/>
      <c r="I149" s="90"/>
    </row>
    <row r="150" spans="1:9" x14ac:dyDescent="0.3">
      <c r="A150" s="9">
        <v>134</v>
      </c>
      <c r="B150">
        <v>4.5599999999999996</v>
      </c>
      <c r="C150" s="87">
        <v>115</v>
      </c>
      <c r="D150" s="87">
        <f t="shared" si="12"/>
        <v>1.88</v>
      </c>
      <c r="E150" s="87">
        <v>67.09</v>
      </c>
      <c r="F150" s="89">
        <f t="shared" si="11"/>
        <v>126.1292</v>
      </c>
      <c r="G150" s="90"/>
      <c r="H150" s="90"/>
      <c r="I150" s="90"/>
    </row>
    <row r="151" spans="1:9" x14ac:dyDescent="0.3">
      <c r="A151" s="9">
        <v>135</v>
      </c>
      <c r="B151">
        <v>4.58</v>
      </c>
      <c r="C151" s="87">
        <v>116</v>
      </c>
      <c r="D151" s="87">
        <f t="shared" si="12"/>
        <v>1.88</v>
      </c>
      <c r="E151" s="87">
        <v>67.34</v>
      </c>
      <c r="F151" s="89">
        <f t="shared" si="11"/>
        <v>126.5992</v>
      </c>
      <c r="G151" s="90"/>
      <c r="H151" s="90"/>
      <c r="I151" s="90"/>
    </row>
    <row r="152" spans="1:9" x14ac:dyDescent="0.3">
      <c r="A152" s="9">
        <v>136</v>
      </c>
      <c r="B152">
        <v>4.62</v>
      </c>
      <c r="C152" s="87">
        <v>117</v>
      </c>
      <c r="D152" s="87">
        <f t="shared" si="12"/>
        <v>1.88</v>
      </c>
      <c r="E152" s="87">
        <v>67.59</v>
      </c>
      <c r="F152" s="89">
        <f t="shared" si="11"/>
        <v>127.0692</v>
      </c>
      <c r="G152" s="90"/>
      <c r="H152" s="90"/>
      <c r="I152" s="90"/>
    </row>
    <row r="153" spans="1:9" x14ac:dyDescent="0.3">
      <c r="A153" s="9">
        <v>137</v>
      </c>
      <c r="B153">
        <v>4.6399999999999997</v>
      </c>
      <c r="C153" s="87">
        <v>118</v>
      </c>
      <c r="D153" s="87">
        <f t="shared" si="12"/>
        <v>1.88</v>
      </c>
      <c r="E153" s="87">
        <v>67.84</v>
      </c>
      <c r="F153" s="89">
        <f t="shared" si="11"/>
        <v>127.53919999999999</v>
      </c>
      <c r="G153" s="90"/>
      <c r="H153" s="90"/>
      <c r="I153" s="90"/>
    </row>
    <row r="154" spans="1:9" x14ac:dyDescent="0.3">
      <c r="A154" s="9">
        <v>138</v>
      </c>
      <c r="B154">
        <v>4.68</v>
      </c>
      <c r="C154" s="87">
        <v>119</v>
      </c>
      <c r="D154" s="87">
        <f t="shared" si="12"/>
        <v>1.88</v>
      </c>
      <c r="E154" s="87">
        <v>68.09</v>
      </c>
      <c r="F154" s="89">
        <f t="shared" si="11"/>
        <v>128.00919999999999</v>
      </c>
      <c r="G154" s="90"/>
      <c r="H154" s="90"/>
      <c r="I154" s="90"/>
    </row>
    <row r="155" spans="1:9" x14ac:dyDescent="0.3">
      <c r="A155" s="9">
        <v>139</v>
      </c>
      <c r="B155">
        <v>4.7</v>
      </c>
      <c r="C155" s="87">
        <v>120</v>
      </c>
      <c r="D155" s="87">
        <f t="shared" si="12"/>
        <v>1.88</v>
      </c>
      <c r="E155" s="87">
        <v>68.34</v>
      </c>
      <c r="F155" s="89">
        <f t="shared" si="11"/>
        <v>128.47919999999999</v>
      </c>
      <c r="G155" s="90"/>
      <c r="H155" s="90"/>
      <c r="I155" s="90"/>
    </row>
    <row r="156" spans="1:9" x14ac:dyDescent="0.3">
      <c r="A156" s="9">
        <v>140</v>
      </c>
      <c r="B156">
        <v>4.74</v>
      </c>
      <c r="C156" s="87">
        <v>121</v>
      </c>
      <c r="D156" s="87">
        <f t="shared" si="12"/>
        <v>1.88</v>
      </c>
      <c r="E156" s="87">
        <v>68.59</v>
      </c>
      <c r="F156" s="89">
        <f t="shared" si="11"/>
        <v>128.94919999999999</v>
      </c>
      <c r="G156" s="90"/>
      <c r="H156" s="90"/>
      <c r="I156" s="90"/>
    </row>
    <row r="157" spans="1:9" x14ac:dyDescent="0.3">
      <c r="A157" s="9">
        <v>141</v>
      </c>
      <c r="B157">
        <v>4.76</v>
      </c>
      <c r="C157" s="87">
        <v>122</v>
      </c>
      <c r="D157" s="87">
        <f t="shared" si="12"/>
        <v>1.88</v>
      </c>
      <c r="E157" s="87">
        <v>68.84</v>
      </c>
      <c r="F157" s="89">
        <f t="shared" si="11"/>
        <v>129.41919999999999</v>
      </c>
      <c r="G157" s="90"/>
      <c r="H157" s="90"/>
      <c r="I157" s="90"/>
    </row>
    <row r="158" spans="1:9" x14ac:dyDescent="0.3">
      <c r="A158" s="9">
        <v>142</v>
      </c>
      <c r="B158">
        <v>4.8</v>
      </c>
      <c r="C158" s="87">
        <v>123</v>
      </c>
      <c r="D158" s="87">
        <f t="shared" si="12"/>
        <v>1.88</v>
      </c>
      <c r="E158" s="87">
        <v>69.09</v>
      </c>
      <c r="F158" s="89">
        <f t="shared" si="11"/>
        <v>129.88919999999999</v>
      </c>
      <c r="G158" s="90"/>
      <c r="H158" s="90"/>
      <c r="I158" s="90"/>
    </row>
    <row r="159" spans="1:9" x14ac:dyDescent="0.3">
      <c r="A159" s="9">
        <v>143</v>
      </c>
      <c r="B159">
        <v>4.82</v>
      </c>
      <c r="C159" s="87">
        <v>124</v>
      </c>
      <c r="D159" s="87">
        <f t="shared" si="12"/>
        <v>1.88</v>
      </c>
      <c r="E159" s="87">
        <v>69.34</v>
      </c>
      <c r="F159" s="89">
        <f t="shared" si="11"/>
        <v>130.35919999999999</v>
      </c>
      <c r="G159" s="90"/>
      <c r="H159" s="90"/>
      <c r="I159" s="90"/>
    </row>
    <row r="160" spans="1:9" x14ac:dyDescent="0.3">
      <c r="A160" s="9">
        <v>144</v>
      </c>
      <c r="B160">
        <v>4.8600000000000003</v>
      </c>
      <c r="C160" s="87">
        <v>125</v>
      </c>
      <c r="D160" s="87">
        <f t="shared" si="12"/>
        <v>1.88</v>
      </c>
      <c r="E160" s="87">
        <v>69.59</v>
      </c>
      <c r="F160" s="89">
        <f t="shared" si="11"/>
        <v>130.82919999999999</v>
      </c>
      <c r="G160" s="90"/>
      <c r="H160" s="90"/>
      <c r="I160" s="90"/>
    </row>
    <row r="161" spans="1:9" x14ac:dyDescent="0.3">
      <c r="A161" s="9">
        <v>145</v>
      </c>
      <c r="B161">
        <v>4.9000000000000004</v>
      </c>
      <c r="C161" s="87">
        <v>126</v>
      </c>
      <c r="D161" s="87">
        <f t="shared" si="12"/>
        <v>1.88</v>
      </c>
      <c r="E161" s="87">
        <v>69.790000000000006</v>
      </c>
      <c r="F161" s="89">
        <f t="shared" si="11"/>
        <v>131.20519999999999</v>
      </c>
      <c r="G161" s="90"/>
      <c r="H161" s="90"/>
      <c r="I161" s="90"/>
    </row>
    <row r="162" spans="1:9" x14ac:dyDescent="0.3">
      <c r="A162" s="9">
        <v>146</v>
      </c>
      <c r="B162">
        <v>4.92</v>
      </c>
      <c r="C162" s="87">
        <v>127</v>
      </c>
      <c r="D162" s="87">
        <f t="shared" si="12"/>
        <v>1.88</v>
      </c>
      <c r="E162" s="87">
        <v>69.989999999999995</v>
      </c>
      <c r="F162" s="89">
        <f t="shared" si="11"/>
        <v>131.5812</v>
      </c>
      <c r="G162" s="90"/>
      <c r="H162" s="90"/>
      <c r="I162" s="90"/>
    </row>
    <row r="163" spans="1:9" x14ac:dyDescent="0.3">
      <c r="A163" s="9">
        <v>147</v>
      </c>
      <c r="B163">
        <v>4.96</v>
      </c>
      <c r="C163" s="87">
        <v>128</v>
      </c>
      <c r="D163" s="87">
        <f t="shared" si="12"/>
        <v>1.88</v>
      </c>
      <c r="E163" s="87">
        <v>70.19</v>
      </c>
      <c r="F163" s="89">
        <f t="shared" si="11"/>
        <v>131.9572</v>
      </c>
      <c r="G163" s="90"/>
      <c r="H163" s="90"/>
      <c r="I163" s="90"/>
    </row>
    <row r="164" spans="1:9" x14ac:dyDescent="0.3">
      <c r="A164" s="9">
        <v>148</v>
      </c>
      <c r="B164">
        <v>4.9800000000000004</v>
      </c>
      <c r="C164" s="87">
        <v>129</v>
      </c>
      <c r="D164" s="87">
        <f t="shared" si="12"/>
        <v>1.88</v>
      </c>
      <c r="E164" s="87">
        <v>70.39</v>
      </c>
      <c r="F164" s="89">
        <f t="shared" ref="F164:F227" si="13">D164*E164</f>
        <v>132.33320000000001</v>
      </c>
      <c r="G164" s="90"/>
      <c r="H164" s="90"/>
      <c r="I164" s="90"/>
    </row>
    <row r="165" spans="1:9" x14ac:dyDescent="0.3">
      <c r="A165" s="9">
        <v>149</v>
      </c>
      <c r="B165">
        <v>5.0199999999999996</v>
      </c>
      <c r="C165" s="87">
        <v>130</v>
      </c>
      <c r="D165" s="87">
        <f t="shared" ref="D165:D228" si="14">D164</f>
        <v>1.88</v>
      </c>
      <c r="E165" s="87">
        <v>70.59</v>
      </c>
      <c r="F165" s="89">
        <f t="shared" si="13"/>
        <v>132.70920000000001</v>
      </c>
      <c r="G165" s="90"/>
      <c r="H165" s="90"/>
      <c r="I165" s="90"/>
    </row>
    <row r="166" spans="1:9" x14ac:dyDescent="0.3">
      <c r="A166" s="9">
        <v>150</v>
      </c>
      <c r="B166">
        <v>5.04</v>
      </c>
      <c r="C166" s="87">
        <v>131</v>
      </c>
      <c r="D166" s="87">
        <f t="shared" si="14"/>
        <v>1.88</v>
      </c>
      <c r="E166" s="87">
        <v>70.790000000000006</v>
      </c>
      <c r="F166" s="89">
        <f t="shared" si="13"/>
        <v>133.08520000000001</v>
      </c>
      <c r="G166" s="90"/>
      <c r="H166" s="90"/>
      <c r="I166" s="90"/>
    </row>
    <row r="167" spans="1:9" x14ac:dyDescent="0.3">
      <c r="A167" s="9">
        <v>151</v>
      </c>
      <c r="B167">
        <v>5.08</v>
      </c>
      <c r="C167" s="87">
        <v>132</v>
      </c>
      <c r="D167" s="87">
        <f t="shared" si="14"/>
        <v>1.88</v>
      </c>
      <c r="E167" s="87">
        <v>70.989999999999995</v>
      </c>
      <c r="F167" s="89">
        <f t="shared" si="13"/>
        <v>133.46119999999999</v>
      </c>
      <c r="G167" s="90"/>
      <c r="H167" s="90"/>
      <c r="I167" s="90"/>
    </row>
    <row r="168" spans="1:9" x14ac:dyDescent="0.3">
      <c r="A168" s="9">
        <v>152</v>
      </c>
      <c r="B168">
        <v>5.0999999999999996</v>
      </c>
      <c r="C168" s="87">
        <v>133</v>
      </c>
      <c r="D168" s="87">
        <f t="shared" si="14"/>
        <v>1.88</v>
      </c>
      <c r="E168" s="87">
        <v>71.19</v>
      </c>
      <c r="F168" s="89">
        <f t="shared" si="13"/>
        <v>133.8372</v>
      </c>
      <c r="G168" s="90"/>
      <c r="H168" s="90"/>
      <c r="I168" s="90"/>
    </row>
    <row r="169" spans="1:9" x14ac:dyDescent="0.3">
      <c r="A169" s="9">
        <v>153</v>
      </c>
      <c r="B169">
        <v>5.14</v>
      </c>
      <c r="C169" s="87">
        <v>134</v>
      </c>
      <c r="D169" s="87">
        <f t="shared" si="14"/>
        <v>1.88</v>
      </c>
      <c r="E169" s="87">
        <v>71.39</v>
      </c>
      <c r="F169" s="89">
        <f t="shared" si="13"/>
        <v>134.2132</v>
      </c>
      <c r="G169" s="90"/>
      <c r="H169" s="90"/>
      <c r="I169" s="90"/>
    </row>
    <row r="170" spans="1:9" x14ac:dyDescent="0.3">
      <c r="A170" s="9">
        <v>154</v>
      </c>
      <c r="B170">
        <v>5.16</v>
      </c>
      <c r="C170" s="87">
        <v>135</v>
      </c>
      <c r="D170" s="87">
        <f t="shared" si="14"/>
        <v>1.88</v>
      </c>
      <c r="E170" s="87">
        <v>71.59</v>
      </c>
      <c r="F170" s="89">
        <f t="shared" si="13"/>
        <v>134.58920000000001</v>
      </c>
      <c r="G170" s="90"/>
      <c r="H170" s="90"/>
      <c r="I170" s="90"/>
    </row>
    <row r="171" spans="1:9" x14ac:dyDescent="0.3">
      <c r="A171" s="9">
        <v>155</v>
      </c>
      <c r="B171">
        <v>5.2</v>
      </c>
      <c r="C171" s="87">
        <v>136</v>
      </c>
      <c r="D171" s="87">
        <f t="shared" si="14"/>
        <v>1.88</v>
      </c>
      <c r="E171" s="87">
        <v>71.790000000000006</v>
      </c>
      <c r="F171" s="89">
        <f t="shared" si="13"/>
        <v>134.96520000000001</v>
      </c>
      <c r="G171" s="90"/>
      <c r="H171" s="90"/>
      <c r="I171" s="90"/>
    </row>
    <row r="172" spans="1:9" x14ac:dyDescent="0.3">
      <c r="A172" s="9">
        <v>156</v>
      </c>
      <c r="B172">
        <v>5.22</v>
      </c>
      <c r="C172" s="87">
        <v>137</v>
      </c>
      <c r="D172" s="87">
        <f t="shared" si="14"/>
        <v>1.88</v>
      </c>
      <c r="E172" s="87">
        <v>71.989999999999995</v>
      </c>
      <c r="F172" s="89">
        <f t="shared" si="13"/>
        <v>135.34119999999999</v>
      </c>
      <c r="G172" s="90"/>
      <c r="H172" s="90"/>
      <c r="I172" s="90"/>
    </row>
    <row r="173" spans="1:9" x14ac:dyDescent="0.3">
      <c r="A173" s="9">
        <v>157</v>
      </c>
      <c r="B173">
        <v>5.26</v>
      </c>
      <c r="C173" s="87">
        <v>138</v>
      </c>
      <c r="D173" s="87">
        <f t="shared" si="14"/>
        <v>1.88</v>
      </c>
      <c r="E173" s="87">
        <v>72.19</v>
      </c>
      <c r="F173" s="89">
        <f t="shared" si="13"/>
        <v>135.71719999999999</v>
      </c>
      <c r="G173" s="90"/>
      <c r="H173" s="90"/>
      <c r="I173" s="90"/>
    </row>
    <row r="174" spans="1:9" x14ac:dyDescent="0.3">
      <c r="A174" s="9">
        <v>158</v>
      </c>
      <c r="B174">
        <v>5.28</v>
      </c>
      <c r="C174" s="87">
        <v>139</v>
      </c>
      <c r="D174" s="87">
        <f t="shared" si="14"/>
        <v>1.88</v>
      </c>
      <c r="E174" s="87">
        <v>72.39</v>
      </c>
      <c r="F174" s="89">
        <f t="shared" si="13"/>
        <v>136.0932</v>
      </c>
      <c r="G174" s="90"/>
      <c r="H174" s="90"/>
      <c r="I174" s="90"/>
    </row>
    <row r="175" spans="1:9" x14ac:dyDescent="0.3">
      <c r="A175" s="9">
        <v>159</v>
      </c>
      <c r="B175">
        <v>5.32</v>
      </c>
      <c r="C175" s="87">
        <v>140</v>
      </c>
      <c r="D175" s="87">
        <f t="shared" si="14"/>
        <v>1.88</v>
      </c>
      <c r="E175" s="87">
        <v>72.59</v>
      </c>
      <c r="F175" s="89">
        <f t="shared" si="13"/>
        <v>136.4692</v>
      </c>
      <c r="G175" s="90"/>
      <c r="H175" s="90"/>
      <c r="I175" s="90"/>
    </row>
    <row r="176" spans="1:9" x14ac:dyDescent="0.3">
      <c r="A176" s="9">
        <v>160</v>
      </c>
      <c r="B176">
        <v>5.34</v>
      </c>
      <c r="C176" s="87">
        <v>141</v>
      </c>
      <c r="D176" s="87">
        <f t="shared" si="14"/>
        <v>1.88</v>
      </c>
      <c r="E176" s="87">
        <v>72.790000000000006</v>
      </c>
      <c r="F176" s="89">
        <f t="shared" si="13"/>
        <v>136.84520000000001</v>
      </c>
      <c r="G176" s="90"/>
      <c r="H176" s="90"/>
      <c r="I176" s="90"/>
    </row>
    <row r="177" spans="1:9" x14ac:dyDescent="0.3">
      <c r="A177" s="9">
        <v>161</v>
      </c>
      <c r="B177">
        <v>5.38</v>
      </c>
      <c r="C177" s="87">
        <v>142</v>
      </c>
      <c r="D177" s="87">
        <f t="shared" si="14"/>
        <v>1.88</v>
      </c>
      <c r="E177" s="87">
        <v>72.989999999999995</v>
      </c>
      <c r="F177" s="89">
        <f t="shared" si="13"/>
        <v>137.22119999999998</v>
      </c>
      <c r="G177" s="90"/>
      <c r="H177" s="90"/>
      <c r="I177" s="90"/>
    </row>
    <row r="178" spans="1:9" x14ac:dyDescent="0.3">
      <c r="A178" s="9">
        <v>162</v>
      </c>
      <c r="B178">
        <v>5.4</v>
      </c>
      <c r="C178" s="87">
        <v>143</v>
      </c>
      <c r="D178" s="87">
        <f t="shared" si="14"/>
        <v>1.88</v>
      </c>
      <c r="E178" s="87">
        <v>73.19</v>
      </c>
      <c r="F178" s="89">
        <f t="shared" si="13"/>
        <v>137.59719999999999</v>
      </c>
      <c r="G178" s="90"/>
      <c r="H178" s="90"/>
      <c r="I178" s="90"/>
    </row>
    <row r="179" spans="1:9" x14ac:dyDescent="0.3">
      <c r="A179" s="9">
        <v>163</v>
      </c>
      <c r="B179">
        <v>5.44</v>
      </c>
      <c r="C179" s="87">
        <v>144</v>
      </c>
      <c r="D179" s="87">
        <f t="shared" si="14"/>
        <v>1.88</v>
      </c>
      <c r="E179" s="87">
        <v>73.39</v>
      </c>
      <c r="F179" s="89">
        <f t="shared" si="13"/>
        <v>137.97319999999999</v>
      </c>
      <c r="G179" s="90"/>
      <c r="H179" s="90"/>
      <c r="I179" s="90"/>
    </row>
    <row r="180" spans="1:9" x14ac:dyDescent="0.3">
      <c r="A180" s="9">
        <v>164</v>
      </c>
      <c r="B180">
        <v>5.46</v>
      </c>
      <c r="C180" s="87">
        <v>145</v>
      </c>
      <c r="D180" s="87">
        <f t="shared" si="14"/>
        <v>1.88</v>
      </c>
      <c r="E180" s="87">
        <v>73.59</v>
      </c>
      <c r="F180" s="89">
        <f t="shared" si="13"/>
        <v>138.3492</v>
      </c>
      <c r="G180" s="90"/>
      <c r="H180" s="90"/>
      <c r="I180" s="90"/>
    </row>
    <row r="181" spans="1:9" x14ac:dyDescent="0.3">
      <c r="A181" s="9">
        <v>165</v>
      </c>
      <c r="B181">
        <v>5.48</v>
      </c>
      <c r="C181" s="87">
        <v>146</v>
      </c>
      <c r="D181" s="87">
        <f t="shared" si="14"/>
        <v>1.88</v>
      </c>
      <c r="E181" s="87">
        <v>73.790000000000006</v>
      </c>
      <c r="F181" s="89">
        <f t="shared" si="13"/>
        <v>138.7252</v>
      </c>
      <c r="G181" s="90"/>
      <c r="H181" s="90"/>
      <c r="I181" s="90"/>
    </row>
    <row r="182" spans="1:9" x14ac:dyDescent="0.3">
      <c r="A182" s="9">
        <v>166</v>
      </c>
      <c r="B182">
        <v>5.52</v>
      </c>
      <c r="C182" s="87">
        <v>147</v>
      </c>
      <c r="D182" s="87">
        <f t="shared" si="14"/>
        <v>1.88</v>
      </c>
      <c r="E182" s="87">
        <v>73.989999999999995</v>
      </c>
      <c r="F182" s="89">
        <f t="shared" si="13"/>
        <v>139.10119999999998</v>
      </c>
      <c r="G182" s="90"/>
      <c r="H182" s="90"/>
      <c r="I182" s="90"/>
    </row>
    <row r="183" spans="1:9" x14ac:dyDescent="0.3">
      <c r="A183" s="9">
        <v>167</v>
      </c>
      <c r="B183">
        <v>5.54</v>
      </c>
      <c r="C183" s="87">
        <v>148</v>
      </c>
      <c r="D183" s="87">
        <f t="shared" si="14"/>
        <v>1.88</v>
      </c>
      <c r="E183" s="87">
        <v>74.19</v>
      </c>
      <c r="F183" s="89">
        <f t="shared" si="13"/>
        <v>139.47719999999998</v>
      </c>
      <c r="G183" s="90"/>
      <c r="H183" s="90"/>
      <c r="I183" s="90"/>
    </row>
    <row r="184" spans="1:9" x14ac:dyDescent="0.3">
      <c r="A184" s="9">
        <v>168</v>
      </c>
      <c r="B184">
        <v>5.58</v>
      </c>
      <c r="C184" s="87">
        <v>149</v>
      </c>
      <c r="D184" s="87">
        <f t="shared" si="14"/>
        <v>1.88</v>
      </c>
      <c r="E184" s="87">
        <v>74.389999999999901</v>
      </c>
      <c r="F184" s="89">
        <f t="shared" si="13"/>
        <v>139.85319999999982</v>
      </c>
      <c r="G184" s="90"/>
      <c r="H184" s="90"/>
      <c r="I184" s="90"/>
    </row>
    <row r="185" spans="1:9" x14ac:dyDescent="0.3">
      <c r="A185" s="9">
        <v>169</v>
      </c>
      <c r="B185">
        <v>5.6</v>
      </c>
      <c r="C185" s="87">
        <v>150</v>
      </c>
      <c r="D185" s="87">
        <f t="shared" si="14"/>
        <v>1.88</v>
      </c>
      <c r="E185" s="87">
        <v>74.589999999999904</v>
      </c>
      <c r="F185" s="89">
        <f t="shared" si="13"/>
        <v>140.22919999999982</v>
      </c>
      <c r="G185" s="90"/>
      <c r="H185" s="90"/>
      <c r="I185" s="90"/>
    </row>
    <row r="186" spans="1:9" x14ac:dyDescent="0.3">
      <c r="A186" s="9">
        <v>170</v>
      </c>
      <c r="B186">
        <v>5.64</v>
      </c>
      <c r="C186" s="87">
        <v>151</v>
      </c>
      <c r="D186" s="87">
        <f t="shared" si="14"/>
        <v>1.88</v>
      </c>
      <c r="E186" s="87">
        <v>74.739999999999995</v>
      </c>
      <c r="F186" s="89">
        <f t="shared" si="13"/>
        <v>140.51119999999997</v>
      </c>
      <c r="G186" s="90"/>
      <c r="H186" s="90"/>
      <c r="I186" s="90"/>
    </row>
    <row r="187" spans="1:9" x14ac:dyDescent="0.3">
      <c r="A187" s="9">
        <v>171</v>
      </c>
      <c r="B187">
        <v>5.66</v>
      </c>
      <c r="C187" s="87">
        <v>152</v>
      </c>
      <c r="D187" s="87">
        <f t="shared" si="14"/>
        <v>1.88</v>
      </c>
      <c r="E187" s="87">
        <v>74.89</v>
      </c>
      <c r="F187" s="89">
        <f t="shared" si="13"/>
        <v>140.79319999999998</v>
      </c>
      <c r="G187" s="90"/>
      <c r="H187" s="90"/>
      <c r="I187" s="90"/>
    </row>
    <row r="188" spans="1:9" x14ac:dyDescent="0.3">
      <c r="A188" s="9">
        <v>172</v>
      </c>
      <c r="B188">
        <v>5.7</v>
      </c>
      <c r="C188" s="87">
        <v>153</v>
      </c>
      <c r="D188" s="87">
        <f t="shared" si="14"/>
        <v>1.88</v>
      </c>
      <c r="E188" s="87">
        <v>75.040000000000006</v>
      </c>
      <c r="F188" s="89">
        <f t="shared" si="13"/>
        <v>141.0752</v>
      </c>
      <c r="G188" s="90"/>
      <c r="H188" s="90"/>
      <c r="I188" s="90"/>
    </row>
    <row r="189" spans="1:9" x14ac:dyDescent="0.3">
      <c r="A189" s="9">
        <v>173</v>
      </c>
      <c r="B189">
        <v>5.72</v>
      </c>
      <c r="C189" s="87">
        <v>154</v>
      </c>
      <c r="D189" s="87">
        <f t="shared" si="14"/>
        <v>1.88</v>
      </c>
      <c r="E189" s="87">
        <v>75.19</v>
      </c>
      <c r="F189" s="89">
        <f t="shared" si="13"/>
        <v>141.35719999999998</v>
      </c>
      <c r="G189" s="90"/>
      <c r="H189" s="90"/>
      <c r="I189" s="90"/>
    </row>
    <row r="190" spans="1:9" x14ac:dyDescent="0.3">
      <c r="A190" s="9">
        <v>174</v>
      </c>
      <c r="B190">
        <v>5.76</v>
      </c>
      <c r="C190" s="87">
        <v>155</v>
      </c>
      <c r="D190" s="87">
        <f t="shared" si="14"/>
        <v>1.88</v>
      </c>
      <c r="E190" s="87">
        <v>75.34</v>
      </c>
      <c r="F190" s="89">
        <f t="shared" si="13"/>
        <v>141.63919999999999</v>
      </c>
      <c r="G190" s="90"/>
      <c r="H190" s="90"/>
      <c r="I190" s="90"/>
    </row>
    <row r="191" spans="1:9" x14ac:dyDescent="0.3">
      <c r="A191" s="9">
        <v>175</v>
      </c>
      <c r="B191">
        <v>5.78</v>
      </c>
      <c r="C191" s="87">
        <v>156</v>
      </c>
      <c r="D191" s="87">
        <f t="shared" si="14"/>
        <v>1.88</v>
      </c>
      <c r="E191" s="87">
        <v>75.489999999999995</v>
      </c>
      <c r="F191" s="89">
        <f t="shared" si="13"/>
        <v>141.92119999999997</v>
      </c>
      <c r="G191" s="90"/>
      <c r="H191" s="90"/>
      <c r="I191" s="90"/>
    </row>
    <row r="192" spans="1:9" x14ac:dyDescent="0.3">
      <c r="A192" s="9">
        <v>176</v>
      </c>
      <c r="B192">
        <v>5.82</v>
      </c>
      <c r="C192" s="87">
        <v>157</v>
      </c>
      <c r="D192" s="87">
        <f t="shared" si="14"/>
        <v>1.88</v>
      </c>
      <c r="E192" s="87">
        <v>75.64</v>
      </c>
      <c r="F192" s="89">
        <f t="shared" si="13"/>
        <v>142.20319999999998</v>
      </c>
      <c r="G192" s="90"/>
      <c r="H192" s="90"/>
      <c r="I192" s="90"/>
    </row>
    <row r="193" spans="1:9" x14ac:dyDescent="0.3">
      <c r="A193" s="9">
        <v>177</v>
      </c>
      <c r="B193">
        <v>5.84</v>
      </c>
      <c r="C193" s="87">
        <v>158</v>
      </c>
      <c r="D193" s="87">
        <f t="shared" si="14"/>
        <v>1.88</v>
      </c>
      <c r="E193" s="87">
        <v>75.790000000000006</v>
      </c>
      <c r="F193" s="89">
        <f t="shared" si="13"/>
        <v>142.48519999999999</v>
      </c>
      <c r="G193" s="90"/>
      <c r="H193" s="90"/>
      <c r="I193" s="90"/>
    </row>
    <row r="194" spans="1:9" x14ac:dyDescent="0.3">
      <c r="A194" s="9">
        <v>178</v>
      </c>
      <c r="B194">
        <v>5.88</v>
      </c>
      <c r="C194" s="87">
        <v>159</v>
      </c>
      <c r="D194" s="87">
        <f t="shared" si="14"/>
        <v>1.88</v>
      </c>
      <c r="E194" s="87">
        <v>75.94</v>
      </c>
      <c r="F194" s="89">
        <f t="shared" si="13"/>
        <v>142.76719999999997</v>
      </c>
      <c r="G194" s="90"/>
      <c r="H194" s="90"/>
      <c r="I194" s="90"/>
    </row>
    <row r="195" spans="1:9" x14ac:dyDescent="0.3">
      <c r="A195" s="9">
        <v>179</v>
      </c>
      <c r="B195">
        <v>5.9</v>
      </c>
      <c r="C195" s="87">
        <v>160</v>
      </c>
      <c r="D195" s="87">
        <f t="shared" si="14"/>
        <v>1.88</v>
      </c>
      <c r="E195" s="87">
        <v>76.09</v>
      </c>
      <c r="F195" s="89">
        <f t="shared" si="13"/>
        <v>143.04919999999998</v>
      </c>
      <c r="G195" s="90"/>
      <c r="H195" s="90"/>
      <c r="I195" s="90"/>
    </row>
    <row r="196" spans="1:9" x14ac:dyDescent="0.3">
      <c r="A196" s="9">
        <v>180</v>
      </c>
      <c r="B196">
        <v>5.94</v>
      </c>
      <c r="C196" s="87">
        <v>161</v>
      </c>
      <c r="D196" s="87">
        <f t="shared" si="14"/>
        <v>1.88</v>
      </c>
      <c r="E196" s="87">
        <v>76.240000000000094</v>
      </c>
      <c r="F196" s="89">
        <f t="shared" si="13"/>
        <v>143.33120000000017</v>
      </c>
      <c r="G196" s="90"/>
      <c r="H196" s="90"/>
      <c r="I196" s="90"/>
    </row>
    <row r="197" spans="1:9" x14ac:dyDescent="0.3">
      <c r="A197" s="9">
        <v>181</v>
      </c>
      <c r="B197">
        <v>5.96</v>
      </c>
      <c r="C197" s="87">
        <v>162</v>
      </c>
      <c r="D197" s="87">
        <f t="shared" si="14"/>
        <v>1.88</v>
      </c>
      <c r="E197" s="87">
        <v>76.3900000000001</v>
      </c>
      <c r="F197" s="89">
        <f t="shared" si="13"/>
        <v>143.61320000000018</v>
      </c>
      <c r="G197" s="90"/>
      <c r="H197" s="90"/>
      <c r="I197" s="90"/>
    </row>
    <row r="198" spans="1:9" x14ac:dyDescent="0.3">
      <c r="A198" s="9">
        <v>182</v>
      </c>
      <c r="B198">
        <v>5.99</v>
      </c>
      <c r="C198" s="87">
        <v>163</v>
      </c>
      <c r="D198" s="87">
        <f t="shared" si="14"/>
        <v>1.88</v>
      </c>
      <c r="E198" s="87">
        <v>76.540000000000106</v>
      </c>
      <c r="F198" s="89">
        <f t="shared" si="13"/>
        <v>143.89520000000019</v>
      </c>
      <c r="G198" s="90"/>
      <c r="H198" s="90"/>
      <c r="I198" s="90"/>
    </row>
    <row r="199" spans="1:9" x14ac:dyDescent="0.3">
      <c r="A199" s="9">
        <v>183</v>
      </c>
      <c r="B199">
        <v>6.02</v>
      </c>
      <c r="C199" s="87">
        <v>164</v>
      </c>
      <c r="D199" s="87">
        <f t="shared" si="14"/>
        <v>1.88</v>
      </c>
      <c r="E199" s="87">
        <v>76.690000000000097</v>
      </c>
      <c r="F199" s="89">
        <f t="shared" si="13"/>
        <v>144.17720000000017</v>
      </c>
      <c r="G199" s="90"/>
      <c r="H199" s="90"/>
      <c r="I199" s="90"/>
    </row>
    <row r="200" spans="1:9" x14ac:dyDescent="0.3">
      <c r="A200" s="9">
        <v>184</v>
      </c>
      <c r="B200">
        <v>6.05</v>
      </c>
      <c r="C200" s="87">
        <v>165</v>
      </c>
      <c r="D200" s="87">
        <f t="shared" si="14"/>
        <v>1.88</v>
      </c>
      <c r="E200" s="87">
        <v>76.840000000000103</v>
      </c>
      <c r="F200" s="89">
        <f t="shared" si="13"/>
        <v>144.45920000000018</v>
      </c>
      <c r="G200" s="90"/>
      <c r="H200" s="90"/>
      <c r="I200" s="90"/>
    </row>
    <row r="201" spans="1:9" x14ac:dyDescent="0.3">
      <c r="A201" s="9">
        <v>185</v>
      </c>
      <c r="B201">
        <v>6.08</v>
      </c>
      <c r="C201" s="87">
        <v>166</v>
      </c>
      <c r="D201" s="87">
        <f t="shared" si="14"/>
        <v>1.88</v>
      </c>
      <c r="E201" s="87">
        <v>76.990000000000094</v>
      </c>
      <c r="F201" s="89">
        <f t="shared" si="13"/>
        <v>144.74120000000016</v>
      </c>
      <c r="G201" s="90"/>
      <c r="H201" s="90"/>
      <c r="I201" s="90"/>
    </row>
    <row r="202" spans="1:9" x14ac:dyDescent="0.3">
      <c r="A202" s="9">
        <v>186</v>
      </c>
      <c r="B202">
        <v>6.11</v>
      </c>
      <c r="C202" s="87">
        <v>167</v>
      </c>
      <c r="D202" s="87">
        <f t="shared" si="14"/>
        <v>1.88</v>
      </c>
      <c r="E202" s="87">
        <v>77.1400000000001</v>
      </c>
      <c r="F202" s="89">
        <f t="shared" si="13"/>
        <v>145.02320000000017</v>
      </c>
      <c r="G202" s="90"/>
      <c r="H202" s="90"/>
      <c r="I202" s="90"/>
    </row>
    <row r="203" spans="1:9" x14ac:dyDescent="0.3">
      <c r="A203" s="9">
        <v>187</v>
      </c>
      <c r="B203">
        <v>6.14</v>
      </c>
      <c r="C203" s="87">
        <v>168</v>
      </c>
      <c r="D203" s="87">
        <f t="shared" si="14"/>
        <v>1.88</v>
      </c>
      <c r="E203" s="87">
        <v>77.290000000000106</v>
      </c>
      <c r="F203" s="89">
        <f t="shared" si="13"/>
        <v>145.30520000000018</v>
      </c>
      <c r="G203" s="90"/>
      <c r="H203" s="90"/>
      <c r="I203" s="90"/>
    </row>
    <row r="204" spans="1:9" x14ac:dyDescent="0.3">
      <c r="A204" s="9">
        <v>188</v>
      </c>
      <c r="B204">
        <v>6.17</v>
      </c>
      <c r="C204" s="87">
        <v>169</v>
      </c>
      <c r="D204" s="87">
        <f t="shared" si="14"/>
        <v>1.88</v>
      </c>
      <c r="E204" s="87">
        <v>77.440000000000097</v>
      </c>
      <c r="F204" s="89">
        <f t="shared" si="13"/>
        <v>145.58720000000017</v>
      </c>
      <c r="G204" s="90"/>
      <c r="H204" s="90"/>
      <c r="I204" s="90"/>
    </row>
    <row r="205" spans="1:9" x14ac:dyDescent="0.3">
      <c r="A205" s="9">
        <v>189</v>
      </c>
      <c r="B205">
        <v>6.2</v>
      </c>
      <c r="C205" s="87">
        <v>170</v>
      </c>
      <c r="D205" s="87">
        <f t="shared" si="14"/>
        <v>1.88</v>
      </c>
      <c r="E205" s="87">
        <v>77.590000000000103</v>
      </c>
      <c r="F205" s="89">
        <f t="shared" si="13"/>
        <v>145.86920000000018</v>
      </c>
      <c r="G205" s="90"/>
      <c r="H205" s="90"/>
      <c r="I205" s="90"/>
    </row>
    <row r="206" spans="1:9" x14ac:dyDescent="0.3">
      <c r="A206" s="9">
        <v>190</v>
      </c>
      <c r="B206">
        <v>6.23</v>
      </c>
      <c r="C206" s="87">
        <v>171</v>
      </c>
      <c r="D206" s="87">
        <f t="shared" si="14"/>
        <v>1.88</v>
      </c>
      <c r="E206" s="87">
        <v>77.739999999999995</v>
      </c>
      <c r="F206" s="89">
        <f t="shared" si="13"/>
        <v>146.15119999999999</v>
      </c>
      <c r="G206" s="90"/>
      <c r="H206" s="90"/>
      <c r="I206" s="90"/>
    </row>
    <row r="207" spans="1:9" x14ac:dyDescent="0.3">
      <c r="A207" s="9">
        <v>191</v>
      </c>
      <c r="B207">
        <v>6.26</v>
      </c>
      <c r="C207" s="87">
        <v>172</v>
      </c>
      <c r="D207" s="87">
        <f t="shared" si="14"/>
        <v>1.88</v>
      </c>
      <c r="E207" s="87">
        <v>77.89</v>
      </c>
      <c r="F207" s="89">
        <f t="shared" si="13"/>
        <v>146.4332</v>
      </c>
      <c r="G207" s="90"/>
      <c r="H207" s="90"/>
      <c r="I207" s="90"/>
    </row>
    <row r="208" spans="1:9" x14ac:dyDescent="0.3">
      <c r="A208" s="9">
        <v>192</v>
      </c>
      <c r="B208">
        <v>6.29</v>
      </c>
      <c r="C208" s="87">
        <v>173</v>
      </c>
      <c r="D208" s="87">
        <f t="shared" si="14"/>
        <v>1.88</v>
      </c>
      <c r="E208" s="87">
        <v>78.040000000000006</v>
      </c>
      <c r="F208" s="89">
        <f t="shared" si="13"/>
        <v>146.71520000000001</v>
      </c>
      <c r="G208" s="90"/>
      <c r="H208" s="90"/>
      <c r="I208" s="90"/>
    </row>
    <row r="209" spans="1:9" x14ac:dyDescent="0.3">
      <c r="A209" s="9">
        <v>193</v>
      </c>
      <c r="B209">
        <v>6.31</v>
      </c>
      <c r="C209" s="87">
        <v>174</v>
      </c>
      <c r="D209" s="87">
        <f t="shared" si="14"/>
        <v>1.88</v>
      </c>
      <c r="E209" s="87">
        <v>78.19</v>
      </c>
      <c r="F209" s="89">
        <f t="shared" si="13"/>
        <v>146.99719999999999</v>
      </c>
      <c r="G209" s="90"/>
      <c r="H209" s="90"/>
      <c r="I209" s="90"/>
    </row>
    <row r="210" spans="1:9" x14ac:dyDescent="0.3">
      <c r="A210" s="9">
        <v>194</v>
      </c>
      <c r="B210">
        <v>6.35</v>
      </c>
      <c r="C210" s="87">
        <v>175</v>
      </c>
      <c r="D210" s="87">
        <f t="shared" si="14"/>
        <v>1.88</v>
      </c>
      <c r="E210" s="87">
        <v>78.34</v>
      </c>
      <c r="F210" s="89">
        <f t="shared" si="13"/>
        <v>147.2792</v>
      </c>
      <c r="G210" s="90"/>
      <c r="H210" s="90"/>
      <c r="I210" s="90"/>
    </row>
    <row r="211" spans="1:9" x14ac:dyDescent="0.3">
      <c r="A211" s="9">
        <v>195</v>
      </c>
      <c r="B211">
        <v>6.37</v>
      </c>
      <c r="C211" s="87">
        <v>176</v>
      </c>
      <c r="D211" s="87">
        <f t="shared" si="14"/>
        <v>1.88</v>
      </c>
      <c r="E211" s="87">
        <v>78.44</v>
      </c>
      <c r="F211" s="89">
        <f t="shared" si="13"/>
        <v>147.46719999999999</v>
      </c>
      <c r="G211" s="90"/>
      <c r="H211" s="90"/>
      <c r="I211" s="90"/>
    </row>
    <row r="212" spans="1:9" x14ac:dyDescent="0.3">
      <c r="A212" s="9">
        <v>196</v>
      </c>
      <c r="B212">
        <v>6.41</v>
      </c>
      <c r="C212" s="87">
        <v>177</v>
      </c>
      <c r="D212" s="87">
        <f t="shared" si="14"/>
        <v>1.88</v>
      </c>
      <c r="E212" s="87">
        <v>78.540000000000006</v>
      </c>
      <c r="F212" s="89">
        <f t="shared" si="13"/>
        <v>147.65520000000001</v>
      </c>
      <c r="G212" s="90"/>
      <c r="H212" s="90"/>
      <c r="I212" s="90"/>
    </row>
    <row r="213" spans="1:9" x14ac:dyDescent="0.3">
      <c r="A213" s="9">
        <v>197</v>
      </c>
      <c r="B213">
        <v>6.43</v>
      </c>
      <c r="C213" s="87">
        <v>178</v>
      </c>
      <c r="D213" s="87">
        <f t="shared" si="14"/>
        <v>1.88</v>
      </c>
      <c r="E213" s="87">
        <v>78.64</v>
      </c>
      <c r="F213" s="89">
        <f t="shared" si="13"/>
        <v>147.8432</v>
      </c>
      <c r="G213" s="90"/>
      <c r="H213" s="90"/>
      <c r="I213" s="90"/>
    </row>
    <row r="214" spans="1:9" x14ac:dyDescent="0.3">
      <c r="A214" s="9">
        <v>198</v>
      </c>
      <c r="B214">
        <v>6.47</v>
      </c>
      <c r="C214" s="87">
        <v>179</v>
      </c>
      <c r="D214" s="87">
        <f t="shared" si="14"/>
        <v>1.88</v>
      </c>
      <c r="E214" s="87">
        <v>78.739999999999995</v>
      </c>
      <c r="F214" s="89">
        <f t="shared" si="13"/>
        <v>148.03119999999998</v>
      </c>
      <c r="G214" s="90"/>
      <c r="H214" s="90"/>
      <c r="I214" s="90"/>
    </row>
    <row r="215" spans="1:9" x14ac:dyDescent="0.3">
      <c r="A215" s="9">
        <v>199</v>
      </c>
      <c r="B215">
        <v>6.49</v>
      </c>
      <c r="C215" s="87">
        <v>180</v>
      </c>
      <c r="D215" s="87">
        <f t="shared" si="14"/>
        <v>1.88</v>
      </c>
      <c r="E215" s="87">
        <v>78.84</v>
      </c>
      <c r="F215" s="89">
        <f t="shared" si="13"/>
        <v>148.2192</v>
      </c>
      <c r="G215" s="90"/>
      <c r="H215" s="90"/>
      <c r="I215" s="90"/>
    </row>
    <row r="216" spans="1:9" x14ac:dyDescent="0.3">
      <c r="A216" s="9">
        <v>200</v>
      </c>
      <c r="B216">
        <v>6.52</v>
      </c>
      <c r="C216" s="87">
        <v>181</v>
      </c>
      <c r="D216" s="87">
        <f t="shared" si="14"/>
        <v>1.88</v>
      </c>
      <c r="E216" s="87">
        <v>78.94</v>
      </c>
      <c r="F216" s="89">
        <f t="shared" si="13"/>
        <v>148.40719999999999</v>
      </c>
      <c r="G216" s="90"/>
      <c r="H216" s="90"/>
      <c r="I216" s="90"/>
    </row>
    <row r="217" spans="1:9" x14ac:dyDescent="0.3">
      <c r="A217" s="9">
        <v>201</v>
      </c>
      <c r="B217">
        <v>6.55</v>
      </c>
      <c r="C217" s="87">
        <v>182</v>
      </c>
      <c r="D217" s="87">
        <f t="shared" si="14"/>
        <v>1.88</v>
      </c>
      <c r="E217" s="87">
        <v>79.040000000000006</v>
      </c>
      <c r="F217" s="89">
        <f t="shared" si="13"/>
        <v>148.59520000000001</v>
      </c>
      <c r="G217" s="90"/>
      <c r="H217" s="90"/>
      <c r="I217" s="90"/>
    </row>
    <row r="218" spans="1:9" x14ac:dyDescent="0.3">
      <c r="A218" s="9">
        <v>202</v>
      </c>
      <c r="B218">
        <v>6.58</v>
      </c>
      <c r="C218" s="87">
        <v>183</v>
      </c>
      <c r="D218" s="87">
        <f t="shared" si="14"/>
        <v>1.88</v>
      </c>
      <c r="E218" s="87">
        <v>79.14</v>
      </c>
      <c r="F218" s="89">
        <f t="shared" si="13"/>
        <v>148.78319999999999</v>
      </c>
      <c r="G218" s="90"/>
      <c r="H218" s="90"/>
      <c r="I218" s="90"/>
    </row>
    <row r="219" spans="1:9" x14ac:dyDescent="0.3">
      <c r="A219" s="9">
        <v>203</v>
      </c>
      <c r="B219">
        <v>6.61</v>
      </c>
      <c r="C219" s="87">
        <v>184</v>
      </c>
      <c r="D219" s="87">
        <f t="shared" si="14"/>
        <v>1.88</v>
      </c>
      <c r="E219" s="87">
        <v>79.239999999999995</v>
      </c>
      <c r="F219" s="89">
        <f t="shared" si="13"/>
        <v>148.97119999999998</v>
      </c>
      <c r="G219" s="90"/>
      <c r="H219" s="90"/>
      <c r="I219" s="90"/>
    </row>
    <row r="220" spans="1:9" x14ac:dyDescent="0.3">
      <c r="A220" s="9">
        <v>204</v>
      </c>
      <c r="B220">
        <v>6.64</v>
      </c>
      <c r="C220" s="87">
        <v>185</v>
      </c>
      <c r="D220" s="87">
        <f t="shared" si="14"/>
        <v>1.88</v>
      </c>
      <c r="E220" s="87">
        <v>79.34</v>
      </c>
      <c r="F220" s="89">
        <f t="shared" si="13"/>
        <v>149.1592</v>
      </c>
      <c r="G220" s="90"/>
      <c r="H220" s="90"/>
      <c r="I220" s="90"/>
    </row>
    <row r="221" spans="1:9" x14ac:dyDescent="0.3">
      <c r="A221" s="9">
        <v>205</v>
      </c>
      <c r="B221">
        <v>6.67</v>
      </c>
      <c r="C221" s="87">
        <v>186</v>
      </c>
      <c r="D221" s="87">
        <f t="shared" si="14"/>
        <v>1.88</v>
      </c>
      <c r="E221" s="87">
        <v>79.44</v>
      </c>
      <c r="F221" s="89">
        <f t="shared" si="13"/>
        <v>149.34719999999999</v>
      </c>
      <c r="G221" s="90"/>
      <c r="H221" s="90"/>
      <c r="I221" s="90"/>
    </row>
    <row r="222" spans="1:9" x14ac:dyDescent="0.3">
      <c r="A222" s="9">
        <v>206</v>
      </c>
      <c r="B222">
        <v>6.7</v>
      </c>
      <c r="C222" s="87">
        <v>187</v>
      </c>
      <c r="D222" s="87">
        <f t="shared" si="14"/>
        <v>1.88</v>
      </c>
      <c r="E222" s="87">
        <v>79.539999999999907</v>
      </c>
      <c r="F222" s="89">
        <f t="shared" si="13"/>
        <v>149.5351999999998</v>
      </c>
      <c r="G222" s="90"/>
      <c r="H222" s="90"/>
      <c r="I222" s="90"/>
    </row>
    <row r="223" spans="1:9" x14ac:dyDescent="0.3">
      <c r="A223" s="9">
        <v>207</v>
      </c>
      <c r="B223">
        <v>6.72</v>
      </c>
      <c r="C223" s="87">
        <v>188</v>
      </c>
      <c r="D223" s="87">
        <f t="shared" si="14"/>
        <v>1.88</v>
      </c>
      <c r="E223" s="87">
        <v>79.639999999999901</v>
      </c>
      <c r="F223" s="89">
        <f t="shared" si="13"/>
        <v>149.72319999999979</v>
      </c>
      <c r="G223" s="90"/>
      <c r="H223" s="90"/>
      <c r="I223" s="90"/>
    </row>
    <row r="224" spans="1:9" x14ac:dyDescent="0.3">
      <c r="A224" s="9">
        <v>208</v>
      </c>
      <c r="B224">
        <v>6.76</v>
      </c>
      <c r="C224" s="87">
        <v>189</v>
      </c>
      <c r="D224" s="87">
        <f t="shared" si="14"/>
        <v>1.88</v>
      </c>
      <c r="E224" s="87">
        <v>79.739999999999895</v>
      </c>
      <c r="F224" s="89">
        <f t="shared" si="13"/>
        <v>149.91119999999981</v>
      </c>
      <c r="G224" s="90"/>
      <c r="H224" s="90"/>
      <c r="I224" s="90"/>
    </row>
    <row r="225" spans="1:9" x14ac:dyDescent="0.3">
      <c r="A225" s="9">
        <v>209</v>
      </c>
      <c r="B225">
        <v>6.78</v>
      </c>
      <c r="C225" s="87">
        <v>190</v>
      </c>
      <c r="D225" s="87">
        <f t="shared" si="14"/>
        <v>1.88</v>
      </c>
      <c r="E225" s="87">
        <v>79.839999999999904</v>
      </c>
      <c r="F225" s="89">
        <f t="shared" si="13"/>
        <v>150.0991999999998</v>
      </c>
      <c r="G225" s="90"/>
      <c r="H225" s="90"/>
      <c r="I225" s="90"/>
    </row>
    <row r="226" spans="1:9" x14ac:dyDescent="0.3">
      <c r="A226" s="9">
        <v>210</v>
      </c>
      <c r="B226">
        <v>6.82</v>
      </c>
      <c r="C226" s="87">
        <v>191</v>
      </c>
      <c r="D226" s="87">
        <f t="shared" si="14"/>
        <v>1.88</v>
      </c>
      <c r="E226" s="87">
        <v>79.939999999999898</v>
      </c>
      <c r="F226" s="89">
        <f t="shared" si="13"/>
        <v>150.28719999999981</v>
      </c>
      <c r="G226" s="90"/>
      <c r="H226" s="90"/>
      <c r="I226" s="90"/>
    </row>
    <row r="227" spans="1:9" x14ac:dyDescent="0.3">
      <c r="A227" s="9">
        <v>211</v>
      </c>
      <c r="B227">
        <v>6.84</v>
      </c>
      <c r="C227" s="87">
        <v>192</v>
      </c>
      <c r="D227" s="87">
        <f t="shared" si="14"/>
        <v>1.88</v>
      </c>
      <c r="E227" s="87">
        <v>80.039999999999907</v>
      </c>
      <c r="F227" s="89">
        <f t="shared" si="13"/>
        <v>150.4751999999998</v>
      </c>
      <c r="G227" s="90"/>
      <c r="H227" s="90"/>
      <c r="I227" s="90"/>
    </row>
    <row r="228" spans="1:9" x14ac:dyDescent="0.3">
      <c r="A228" s="9">
        <v>212</v>
      </c>
      <c r="B228">
        <v>6.88</v>
      </c>
      <c r="C228" s="87">
        <v>193</v>
      </c>
      <c r="D228" s="87">
        <f t="shared" si="14"/>
        <v>1.88</v>
      </c>
      <c r="E228" s="87">
        <v>80.139999999999901</v>
      </c>
      <c r="F228" s="89">
        <f t="shared" ref="F228:F291" si="15">D228*E228</f>
        <v>150.66319999999982</v>
      </c>
      <c r="G228" s="90"/>
      <c r="H228" s="90"/>
      <c r="I228" s="90"/>
    </row>
    <row r="229" spans="1:9" x14ac:dyDescent="0.3">
      <c r="A229" s="9">
        <v>213</v>
      </c>
      <c r="B229">
        <v>6.9</v>
      </c>
      <c r="C229" s="87">
        <v>194</v>
      </c>
      <c r="D229" s="87">
        <f t="shared" ref="D229:D292" si="16">D228</f>
        <v>1.88</v>
      </c>
      <c r="E229" s="87">
        <v>80.239999999999895</v>
      </c>
      <c r="F229" s="89">
        <f t="shared" si="15"/>
        <v>150.85119999999981</v>
      </c>
      <c r="G229" s="90"/>
      <c r="H229" s="90"/>
      <c r="I229" s="90"/>
    </row>
    <row r="230" spans="1:9" x14ac:dyDescent="0.3">
      <c r="A230" s="9">
        <v>214</v>
      </c>
      <c r="B230">
        <v>6.92</v>
      </c>
      <c r="C230" s="87">
        <v>195</v>
      </c>
      <c r="D230" s="87">
        <f t="shared" si="16"/>
        <v>1.88</v>
      </c>
      <c r="E230" s="87">
        <v>80.339999999999904</v>
      </c>
      <c r="F230" s="89">
        <f t="shared" si="15"/>
        <v>151.03919999999982</v>
      </c>
      <c r="G230" s="90"/>
      <c r="H230" s="90"/>
      <c r="I230" s="90"/>
    </row>
    <row r="231" spans="1:9" x14ac:dyDescent="0.3">
      <c r="A231" s="9">
        <v>215</v>
      </c>
      <c r="B231">
        <v>6.96</v>
      </c>
      <c r="C231" s="87">
        <v>196</v>
      </c>
      <c r="D231" s="87">
        <f t="shared" si="16"/>
        <v>1.88</v>
      </c>
      <c r="E231" s="87">
        <v>80.439999999999898</v>
      </c>
      <c r="F231" s="89">
        <f t="shared" si="15"/>
        <v>151.22719999999981</v>
      </c>
      <c r="G231" s="90"/>
      <c r="H231" s="90"/>
      <c r="I231" s="90"/>
    </row>
    <row r="232" spans="1:9" x14ac:dyDescent="0.3">
      <c r="A232" s="9">
        <v>216</v>
      </c>
      <c r="B232">
        <v>6.98</v>
      </c>
      <c r="C232" s="87">
        <v>197</v>
      </c>
      <c r="D232" s="87">
        <f t="shared" si="16"/>
        <v>1.88</v>
      </c>
      <c r="E232" s="87">
        <v>80.539999999999907</v>
      </c>
      <c r="F232" s="89">
        <f t="shared" si="15"/>
        <v>151.41519999999983</v>
      </c>
      <c r="G232" s="90"/>
      <c r="H232" s="90"/>
      <c r="I232" s="90"/>
    </row>
    <row r="233" spans="1:9" x14ac:dyDescent="0.3">
      <c r="A233" s="9">
        <v>217</v>
      </c>
      <c r="B233">
        <v>7.02</v>
      </c>
      <c r="C233" s="87">
        <v>198</v>
      </c>
      <c r="D233" s="87">
        <f t="shared" si="16"/>
        <v>1.88</v>
      </c>
      <c r="E233" s="87">
        <v>80.639999999999901</v>
      </c>
      <c r="F233" s="89">
        <f t="shared" si="15"/>
        <v>151.60319999999982</v>
      </c>
      <c r="G233" s="90"/>
      <c r="H233" s="90"/>
      <c r="I233" s="90"/>
    </row>
    <row r="234" spans="1:9" x14ac:dyDescent="0.3">
      <c r="A234" s="9">
        <v>218</v>
      </c>
      <c r="B234">
        <v>7.04</v>
      </c>
      <c r="C234" s="87">
        <v>199</v>
      </c>
      <c r="D234" s="87">
        <f t="shared" si="16"/>
        <v>1.88</v>
      </c>
      <c r="E234" s="87">
        <v>80.739999999999895</v>
      </c>
      <c r="F234" s="89">
        <f t="shared" si="15"/>
        <v>151.7911999999998</v>
      </c>
      <c r="G234" s="90"/>
      <c r="H234" s="90"/>
      <c r="I234" s="90"/>
    </row>
    <row r="235" spans="1:9" x14ac:dyDescent="0.3">
      <c r="A235" s="9">
        <v>219</v>
      </c>
      <c r="B235">
        <v>7.07</v>
      </c>
      <c r="C235" s="87">
        <v>200</v>
      </c>
      <c r="D235" s="87">
        <f t="shared" si="16"/>
        <v>1.88</v>
      </c>
      <c r="E235" s="87">
        <v>80.839999999999904</v>
      </c>
      <c r="F235" s="89">
        <f t="shared" si="15"/>
        <v>151.97919999999982</v>
      </c>
      <c r="G235" s="90"/>
      <c r="H235" s="90"/>
      <c r="I235" s="90"/>
    </row>
    <row r="236" spans="1:9" x14ac:dyDescent="0.3">
      <c r="A236" s="9">
        <v>220</v>
      </c>
      <c r="B236">
        <v>7.1</v>
      </c>
      <c r="C236" s="87">
        <v>201</v>
      </c>
      <c r="D236" s="87">
        <f t="shared" si="16"/>
        <v>1.88</v>
      </c>
      <c r="E236" s="87">
        <v>80.89</v>
      </c>
      <c r="F236" s="89">
        <f t="shared" si="15"/>
        <v>152.07319999999999</v>
      </c>
      <c r="G236" s="90"/>
      <c r="H236" s="90"/>
      <c r="I236" s="90"/>
    </row>
    <row r="237" spans="1:9" x14ac:dyDescent="0.3">
      <c r="A237" s="9">
        <v>221</v>
      </c>
      <c r="B237">
        <v>7.13</v>
      </c>
      <c r="C237" s="87">
        <v>202</v>
      </c>
      <c r="D237" s="87">
        <f t="shared" si="16"/>
        <v>1.88</v>
      </c>
      <c r="E237" s="87">
        <v>80.94</v>
      </c>
      <c r="F237" s="89">
        <f t="shared" si="15"/>
        <v>152.16719999999998</v>
      </c>
      <c r="G237" s="90"/>
      <c r="H237" s="90"/>
      <c r="I237" s="90"/>
    </row>
    <row r="238" spans="1:9" x14ac:dyDescent="0.3">
      <c r="A238" s="9">
        <v>222</v>
      </c>
      <c r="B238">
        <v>7.16</v>
      </c>
      <c r="C238" s="87">
        <v>203</v>
      </c>
      <c r="D238" s="87">
        <f t="shared" si="16"/>
        <v>1.88</v>
      </c>
      <c r="E238" s="87">
        <v>80.989999999999995</v>
      </c>
      <c r="F238" s="89">
        <f t="shared" si="15"/>
        <v>152.26119999999997</v>
      </c>
      <c r="G238" s="90"/>
      <c r="H238" s="90"/>
      <c r="I238" s="90"/>
    </row>
    <row r="239" spans="1:9" x14ac:dyDescent="0.3">
      <c r="A239" s="9">
        <v>223</v>
      </c>
      <c r="B239">
        <v>7.19</v>
      </c>
      <c r="C239" s="87">
        <v>204</v>
      </c>
      <c r="D239" s="87">
        <f t="shared" si="16"/>
        <v>1.88</v>
      </c>
      <c r="E239" s="87">
        <v>81.040000000000006</v>
      </c>
      <c r="F239" s="89">
        <f t="shared" si="15"/>
        <v>152.3552</v>
      </c>
      <c r="G239" s="90"/>
      <c r="H239" s="90"/>
      <c r="I239" s="90"/>
    </row>
    <row r="240" spans="1:9" x14ac:dyDescent="0.3">
      <c r="A240" s="9">
        <v>224</v>
      </c>
      <c r="B240">
        <v>7.21</v>
      </c>
      <c r="C240" s="87">
        <v>205</v>
      </c>
      <c r="D240" s="87">
        <f t="shared" si="16"/>
        <v>1.88</v>
      </c>
      <c r="E240" s="87">
        <v>81.09</v>
      </c>
      <c r="F240" s="89">
        <f t="shared" si="15"/>
        <v>152.44919999999999</v>
      </c>
      <c r="G240" s="90"/>
      <c r="H240" s="90"/>
      <c r="I240" s="90"/>
    </row>
    <row r="241" spans="1:9" x14ac:dyDescent="0.3">
      <c r="A241" s="9">
        <v>225</v>
      </c>
      <c r="B241">
        <v>7.25</v>
      </c>
      <c r="C241" s="87">
        <v>206</v>
      </c>
      <c r="D241" s="87">
        <f t="shared" si="16"/>
        <v>1.88</v>
      </c>
      <c r="E241" s="87">
        <v>81.14</v>
      </c>
      <c r="F241" s="89">
        <f t="shared" si="15"/>
        <v>152.54319999999998</v>
      </c>
      <c r="G241" s="90"/>
      <c r="H241" s="90"/>
      <c r="I241" s="90"/>
    </row>
    <row r="242" spans="1:9" x14ac:dyDescent="0.3">
      <c r="A242" s="9">
        <v>226</v>
      </c>
      <c r="B242">
        <v>7.27</v>
      </c>
      <c r="C242" s="87">
        <v>207</v>
      </c>
      <c r="D242" s="87">
        <f t="shared" si="16"/>
        <v>1.88</v>
      </c>
      <c r="E242" s="87">
        <v>81.19</v>
      </c>
      <c r="F242" s="89">
        <f t="shared" si="15"/>
        <v>152.63719999999998</v>
      </c>
      <c r="G242" s="90"/>
      <c r="H242" s="90"/>
      <c r="I242" s="90"/>
    </row>
    <row r="243" spans="1:9" x14ac:dyDescent="0.3">
      <c r="A243" s="9">
        <v>227</v>
      </c>
      <c r="B243">
        <v>7.31</v>
      </c>
      <c r="C243" s="87">
        <v>208</v>
      </c>
      <c r="D243" s="87">
        <f t="shared" si="16"/>
        <v>1.88</v>
      </c>
      <c r="E243" s="87">
        <v>81.239999999999995</v>
      </c>
      <c r="F243" s="89">
        <f t="shared" si="15"/>
        <v>152.73119999999997</v>
      </c>
      <c r="G243" s="90"/>
      <c r="H243" s="90"/>
      <c r="I243" s="90"/>
    </row>
    <row r="244" spans="1:9" x14ac:dyDescent="0.3">
      <c r="A244" s="9">
        <v>228</v>
      </c>
      <c r="B244">
        <v>7.33</v>
      </c>
      <c r="C244" s="87">
        <v>209</v>
      </c>
      <c r="D244" s="87">
        <f t="shared" si="16"/>
        <v>1.88</v>
      </c>
      <c r="E244" s="87">
        <v>81.290000000000006</v>
      </c>
      <c r="F244" s="89">
        <f t="shared" si="15"/>
        <v>152.8252</v>
      </c>
      <c r="G244" s="90"/>
      <c r="H244" s="90"/>
      <c r="I244" s="90"/>
    </row>
    <row r="245" spans="1:9" x14ac:dyDescent="0.3">
      <c r="A245" s="9">
        <v>229</v>
      </c>
      <c r="B245">
        <v>7.36</v>
      </c>
      <c r="C245" s="87">
        <v>210</v>
      </c>
      <c r="D245" s="87">
        <f t="shared" si="16"/>
        <v>1.88</v>
      </c>
      <c r="E245" s="87">
        <v>81.34</v>
      </c>
      <c r="F245" s="89">
        <f t="shared" si="15"/>
        <v>152.91919999999999</v>
      </c>
      <c r="G245" s="90"/>
      <c r="H245" s="90"/>
      <c r="I245" s="90"/>
    </row>
    <row r="246" spans="1:9" x14ac:dyDescent="0.3">
      <c r="A246" s="9">
        <v>230</v>
      </c>
      <c r="B246">
        <v>7.39</v>
      </c>
      <c r="C246" s="87">
        <v>211</v>
      </c>
      <c r="D246" s="87">
        <f t="shared" si="16"/>
        <v>1.88</v>
      </c>
      <c r="E246" s="87">
        <v>81.39</v>
      </c>
      <c r="F246" s="89">
        <f t="shared" si="15"/>
        <v>153.01319999999998</v>
      </c>
      <c r="G246" s="90"/>
      <c r="H246" s="90"/>
      <c r="I246" s="90"/>
    </row>
    <row r="247" spans="1:9" x14ac:dyDescent="0.3">
      <c r="A247" s="9">
        <v>231</v>
      </c>
      <c r="B247">
        <v>7.42</v>
      </c>
      <c r="C247" s="87">
        <v>212</v>
      </c>
      <c r="D247" s="87">
        <f t="shared" si="16"/>
        <v>1.88</v>
      </c>
      <c r="E247" s="87">
        <v>81.44</v>
      </c>
      <c r="F247" s="89">
        <f t="shared" si="15"/>
        <v>153.10719999999998</v>
      </c>
      <c r="G247" s="90"/>
      <c r="H247" s="90"/>
      <c r="I247" s="90"/>
    </row>
    <row r="248" spans="1:9" x14ac:dyDescent="0.3">
      <c r="A248" s="9">
        <v>232</v>
      </c>
      <c r="B248">
        <v>7.45</v>
      </c>
      <c r="C248" s="87">
        <v>213</v>
      </c>
      <c r="D248" s="87">
        <f t="shared" si="16"/>
        <v>1.88</v>
      </c>
      <c r="E248" s="87">
        <v>81.489999999999995</v>
      </c>
      <c r="F248" s="89">
        <f t="shared" si="15"/>
        <v>153.20119999999997</v>
      </c>
      <c r="G248" s="90"/>
      <c r="H248" s="90"/>
      <c r="I248" s="90"/>
    </row>
    <row r="249" spans="1:9" x14ac:dyDescent="0.3">
      <c r="A249" s="9">
        <v>233</v>
      </c>
      <c r="B249">
        <v>7.48</v>
      </c>
      <c r="C249" s="87">
        <v>214</v>
      </c>
      <c r="D249" s="87">
        <f t="shared" si="16"/>
        <v>1.88</v>
      </c>
      <c r="E249" s="87">
        <v>81.540000000000006</v>
      </c>
      <c r="F249" s="89">
        <f t="shared" si="15"/>
        <v>153.29519999999999</v>
      </c>
      <c r="G249" s="90"/>
      <c r="H249" s="90"/>
      <c r="I249" s="90"/>
    </row>
    <row r="250" spans="1:9" x14ac:dyDescent="0.3">
      <c r="A250" s="9">
        <v>234</v>
      </c>
      <c r="B250">
        <v>7.5</v>
      </c>
      <c r="C250" s="87">
        <v>215</v>
      </c>
      <c r="D250" s="87">
        <f t="shared" si="16"/>
        <v>1.88</v>
      </c>
      <c r="E250" s="87">
        <v>81.59</v>
      </c>
      <c r="F250" s="89">
        <f t="shared" si="15"/>
        <v>153.38919999999999</v>
      </c>
      <c r="G250" s="90"/>
      <c r="H250" s="90"/>
      <c r="I250" s="90"/>
    </row>
    <row r="251" spans="1:9" x14ac:dyDescent="0.3">
      <c r="A251" s="9">
        <v>235</v>
      </c>
      <c r="B251">
        <v>7.54</v>
      </c>
      <c r="C251" s="87">
        <v>216</v>
      </c>
      <c r="D251" s="87">
        <f t="shared" si="16"/>
        <v>1.88</v>
      </c>
      <c r="E251" s="87">
        <v>81.64</v>
      </c>
      <c r="F251" s="89">
        <f t="shared" si="15"/>
        <v>153.48319999999998</v>
      </c>
      <c r="G251" s="90"/>
      <c r="H251" s="90"/>
      <c r="I251" s="90"/>
    </row>
    <row r="252" spans="1:9" x14ac:dyDescent="0.3">
      <c r="A252" s="9">
        <v>236</v>
      </c>
      <c r="B252">
        <v>7.56</v>
      </c>
      <c r="C252" s="87">
        <v>217</v>
      </c>
      <c r="D252" s="87">
        <f t="shared" si="16"/>
        <v>1.88</v>
      </c>
      <c r="E252" s="87">
        <v>81.69</v>
      </c>
      <c r="F252" s="89">
        <f t="shared" si="15"/>
        <v>153.57719999999998</v>
      </c>
      <c r="G252" s="90"/>
      <c r="H252" s="90"/>
      <c r="I252" s="90"/>
    </row>
    <row r="253" spans="1:9" x14ac:dyDescent="0.3">
      <c r="A253" s="9">
        <v>237</v>
      </c>
      <c r="B253">
        <v>7.6</v>
      </c>
      <c r="C253" s="87">
        <v>218</v>
      </c>
      <c r="D253" s="87">
        <f t="shared" si="16"/>
        <v>1.88</v>
      </c>
      <c r="E253" s="87">
        <v>81.739999999999995</v>
      </c>
      <c r="F253" s="89">
        <f t="shared" si="15"/>
        <v>153.67119999999997</v>
      </c>
      <c r="G253" s="90"/>
      <c r="H253" s="90"/>
      <c r="I253" s="90"/>
    </row>
    <row r="254" spans="1:9" x14ac:dyDescent="0.3">
      <c r="A254" s="9">
        <v>238</v>
      </c>
      <c r="B254">
        <v>7.62</v>
      </c>
      <c r="C254" s="87">
        <v>219</v>
      </c>
      <c r="D254" s="87">
        <f t="shared" si="16"/>
        <v>1.88</v>
      </c>
      <c r="E254" s="87">
        <v>81.790000000000006</v>
      </c>
      <c r="F254" s="89">
        <f t="shared" si="15"/>
        <v>153.76519999999999</v>
      </c>
      <c r="G254" s="90"/>
      <c r="H254" s="90"/>
      <c r="I254" s="90"/>
    </row>
    <row r="255" spans="1:9" x14ac:dyDescent="0.3">
      <c r="A255" s="9">
        <v>239</v>
      </c>
      <c r="B255">
        <v>7.64</v>
      </c>
      <c r="C255" s="87">
        <v>220</v>
      </c>
      <c r="D255" s="87">
        <f t="shared" si="16"/>
        <v>1.88</v>
      </c>
      <c r="E255" s="87">
        <v>81.84</v>
      </c>
      <c r="F255" s="89">
        <f t="shared" si="15"/>
        <v>153.85919999999999</v>
      </c>
      <c r="G255" s="90"/>
      <c r="H255" s="90"/>
      <c r="I255" s="90"/>
    </row>
    <row r="256" spans="1:9" x14ac:dyDescent="0.3">
      <c r="A256" s="9">
        <v>240</v>
      </c>
      <c r="B256">
        <v>7.68</v>
      </c>
      <c r="C256" s="87">
        <v>221</v>
      </c>
      <c r="D256" s="87">
        <f t="shared" si="16"/>
        <v>1.88</v>
      </c>
      <c r="E256" s="87">
        <v>81.89</v>
      </c>
      <c r="F256" s="89">
        <f t="shared" si="15"/>
        <v>153.95319999999998</v>
      </c>
      <c r="G256" s="90"/>
      <c r="H256" s="90"/>
      <c r="I256" s="90"/>
    </row>
    <row r="257" spans="1:9" x14ac:dyDescent="0.3">
      <c r="A257" s="9">
        <v>241</v>
      </c>
      <c r="B257">
        <v>7.7</v>
      </c>
      <c r="C257" s="87">
        <v>222</v>
      </c>
      <c r="D257" s="87">
        <f t="shared" si="16"/>
        <v>1.88</v>
      </c>
      <c r="E257" s="87">
        <v>81.94</v>
      </c>
      <c r="F257" s="89">
        <f t="shared" si="15"/>
        <v>154.04719999999998</v>
      </c>
      <c r="G257" s="90"/>
      <c r="H257" s="90"/>
      <c r="I257" s="90"/>
    </row>
    <row r="258" spans="1:9" x14ac:dyDescent="0.3">
      <c r="A258" s="9">
        <v>242</v>
      </c>
      <c r="B258">
        <v>7.74</v>
      </c>
      <c r="C258" s="87">
        <v>223</v>
      </c>
      <c r="D258" s="87">
        <f t="shared" si="16"/>
        <v>1.88</v>
      </c>
      <c r="E258" s="87">
        <v>81.99</v>
      </c>
      <c r="F258" s="89">
        <f t="shared" si="15"/>
        <v>154.14119999999997</v>
      </c>
      <c r="G258" s="90"/>
      <c r="H258" s="90"/>
      <c r="I258" s="90"/>
    </row>
    <row r="259" spans="1:9" x14ac:dyDescent="0.3">
      <c r="A259" s="9">
        <v>243</v>
      </c>
      <c r="B259">
        <v>7.76</v>
      </c>
      <c r="C259" s="87">
        <v>224</v>
      </c>
      <c r="D259" s="87">
        <f t="shared" si="16"/>
        <v>1.88</v>
      </c>
      <c r="E259" s="87">
        <v>82.04</v>
      </c>
      <c r="F259" s="89">
        <f t="shared" si="15"/>
        <v>154.23519999999999</v>
      </c>
      <c r="G259" s="90"/>
      <c r="H259" s="90"/>
      <c r="I259" s="90"/>
    </row>
    <row r="260" spans="1:9" x14ac:dyDescent="0.3">
      <c r="A260" s="9">
        <v>244</v>
      </c>
      <c r="B260">
        <v>7.79</v>
      </c>
      <c r="C260" s="87">
        <v>225</v>
      </c>
      <c r="D260" s="87">
        <f t="shared" si="16"/>
        <v>1.88</v>
      </c>
      <c r="E260" s="87">
        <v>82.09</v>
      </c>
      <c r="F260" s="89">
        <f t="shared" si="15"/>
        <v>154.32919999999999</v>
      </c>
      <c r="G260" s="90"/>
      <c r="H260" s="90"/>
      <c r="I260" s="90"/>
    </row>
    <row r="261" spans="1:9" x14ac:dyDescent="0.3">
      <c r="A261" s="9">
        <v>245</v>
      </c>
      <c r="B261">
        <v>7.82</v>
      </c>
      <c r="C261" s="87">
        <v>226</v>
      </c>
      <c r="D261" s="87">
        <f t="shared" si="16"/>
        <v>1.88</v>
      </c>
      <c r="E261" s="87">
        <v>82.12</v>
      </c>
      <c r="F261" s="89">
        <f t="shared" si="15"/>
        <v>154.38560000000001</v>
      </c>
      <c r="G261" s="90"/>
      <c r="H261" s="90"/>
      <c r="I261" s="90"/>
    </row>
    <row r="262" spans="1:9" x14ac:dyDescent="0.3">
      <c r="A262" s="9">
        <v>246</v>
      </c>
      <c r="B262">
        <v>7.85</v>
      </c>
      <c r="C262" s="87">
        <v>227</v>
      </c>
      <c r="D262" s="87">
        <f t="shared" si="16"/>
        <v>1.88</v>
      </c>
      <c r="E262" s="87">
        <v>82.15</v>
      </c>
      <c r="F262" s="89">
        <f t="shared" si="15"/>
        <v>154.44200000000001</v>
      </c>
      <c r="G262" s="90"/>
      <c r="H262" s="90"/>
      <c r="I262" s="90"/>
    </row>
    <row r="263" spans="1:9" x14ac:dyDescent="0.3">
      <c r="A263" s="9">
        <v>247</v>
      </c>
      <c r="B263">
        <v>7.87</v>
      </c>
      <c r="C263" s="87">
        <v>228</v>
      </c>
      <c r="D263" s="87">
        <f t="shared" si="16"/>
        <v>1.88</v>
      </c>
      <c r="E263" s="87">
        <v>82.18</v>
      </c>
      <c r="F263" s="89">
        <f t="shared" si="15"/>
        <v>154.4984</v>
      </c>
      <c r="G263" s="90"/>
      <c r="H263" s="90"/>
      <c r="I263" s="90"/>
    </row>
    <row r="264" spans="1:9" x14ac:dyDescent="0.3">
      <c r="A264" s="9">
        <v>248</v>
      </c>
      <c r="B264">
        <v>7.91</v>
      </c>
      <c r="C264" s="87">
        <v>229</v>
      </c>
      <c r="D264" s="87">
        <f t="shared" si="16"/>
        <v>1.88</v>
      </c>
      <c r="E264" s="87">
        <v>82.21</v>
      </c>
      <c r="F264" s="89">
        <f t="shared" si="15"/>
        <v>154.55479999999997</v>
      </c>
      <c r="G264" s="90"/>
      <c r="H264" s="90"/>
      <c r="I264" s="90"/>
    </row>
    <row r="265" spans="1:9" x14ac:dyDescent="0.3">
      <c r="A265" s="9">
        <v>249</v>
      </c>
      <c r="B265">
        <v>7.93</v>
      </c>
      <c r="C265" s="87">
        <v>230</v>
      </c>
      <c r="D265" s="87">
        <f t="shared" si="16"/>
        <v>1.88</v>
      </c>
      <c r="E265" s="87">
        <v>82.24</v>
      </c>
      <c r="F265" s="89">
        <f t="shared" si="15"/>
        <v>154.61119999999997</v>
      </c>
      <c r="G265" s="90"/>
      <c r="H265" s="90"/>
      <c r="I265" s="90"/>
    </row>
    <row r="266" spans="1:9" x14ac:dyDescent="0.3">
      <c r="A266" s="9">
        <v>250</v>
      </c>
      <c r="B266">
        <v>7.97</v>
      </c>
      <c r="C266" s="87">
        <v>231</v>
      </c>
      <c r="D266" s="87">
        <f t="shared" si="16"/>
        <v>1.88</v>
      </c>
      <c r="E266" s="87">
        <v>82.27</v>
      </c>
      <c r="F266" s="89">
        <f t="shared" si="15"/>
        <v>154.66759999999999</v>
      </c>
      <c r="G266" s="90"/>
      <c r="H266" s="90"/>
      <c r="I266" s="90"/>
    </row>
    <row r="267" spans="1:9" x14ac:dyDescent="0.3">
      <c r="A267" s="9">
        <v>251</v>
      </c>
      <c r="B267">
        <v>7.99</v>
      </c>
      <c r="C267" s="87">
        <v>232</v>
      </c>
      <c r="D267" s="87">
        <f t="shared" si="16"/>
        <v>1.88</v>
      </c>
      <c r="E267" s="87">
        <v>82.3</v>
      </c>
      <c r="F267" s="89">
        <f t="shared" si="15"/>
        <v>154.72399999999999</v>
      </c>
      <c r="G267" s="90"/>
      <c r="H267" s="90"/>
      <c r="I267" s="90"/>
    </row>
    <row r="268" spans="1:9" x14ac:dyDescent="0.3">
      <c r="A268" s="9">
        <v>252</v>
      </c>
      <c r="B268">
        <v>8.02</v>
      </c>
      <c r="C268" s="87">
        <v>233</v>
      </c>
      <c r="D268" s="87">
        <f t="shared" si="16"/>
        <v>1.88</v>
      </c>
      <c r="E268" s="87">
        <v>82.33</v>
      </c>
      <c r="F268" s="89">
        <f t="shared" si="15"/>
        <v>154.78039999999999</v>
      </c>
      <c r="G268" s="90"/>
      <c r="H268" s="90"/>
      <c r="I268" s="90"/>
    </row>
    <row r="269" spans="1:9" x14ac:dyDescent="0.3">
      <c r="A269" s="9">
        <v>253</v>
      </c>
      <c r="B269">
        <v>8.0500000000000007</v>
      </c>
      <c r="C269" s="87">
        <v>234</v>
      </c>
      <c r="D269" s="87">
        <f t="shared" si="16"/>
        <v>1.88</v>
      </c>
      <c r="E269" s="87">
        <v>82.3599999999999</v>
      </c>
      <c r="F269" s="89">
        <f t="shared" si="15"/>
        <v>154.83679999999981</v>
      </c>
      <c r="G269" s="90"/>
      <c r="H269" s="90"/>
      <c r="I269" s="90"/>
    </row>
    <row r="270" spans="1:9" x14ac:dyDescent="0.3">
      <c r="A270" s="9">
        <v>254</v>
      </c>
      <c r="B270">
        <v>8.08</v>
      </c>
      <c r="C270" s="87">
        <v>235</v>
      </c>
      <c r="D270" s="87">
        <f t="shared" si="16"/>
        <v>1.88</v>
      </c>
      <c r="E270" s="87">
        <v>82.389999999999901</v>
      </c>
      <c r="F270" s="89">
        <f t="shared" si="15"/>
        <v>154.89319999999981</v>
      </c>
      <c r="G270" s="90"/>
      <c r="H270" s="90"/>
      <c r="I270" s="90"/>
    </row>
    <row r="271" spans="1:9" x14ac:dyDescent="0.3">
      <c r="A271" s="9">
        <v>255</v>
      </c>
      <c r="B271">
        <v>8.1</v>
      </c>
      <c r="C271" s="87">
        <v>236</v>
      </c>
      <c r="D271" s="87">
        <f t="shared" si="16"/>
        <v>1.88</v>
      </c>
      <c r="E271" s="87">
        <v>82.419999999999902</v>
      </c>
      <c r="F271" s="89">
        <f t="shared" si="15"/>
        <v>154.9495999999998</v>
      </c>
      <c r="G271" s="90"/>
      <c r="H271" s="90"/>
      <c r="I271" s="90"/>
    </row>
    <row r="272" spans="1:9" x14ac:dyDescent="0.3">
      <c r="A272" s="9">
        <v>256</v>
      </c>
      <c r="B272">
        <v>8.14</v>
      </c>
      <c r="C272" s="87">
        <v>237</v>
      </c>
      <c r="D272" s="87">
        <f t="shared" si="16"/>
        <v>1.88</v>
      </c>
      <c r="E272" s="87">
        <v>82.449999999999903</v>
      </c>
      <c r="F272" s="89">
        <f t="shared" si="15"/>
        <v>155.0059999999998</v>
      </c>
      <c r="G272" s="90"/>
      <c r="H272" s="90"/>
      <c r="I272" s="90"/>
    </row>
    <row r="273" spans="1:9" x14ac:dyDescent="0.3">
      <c r="A273" s="9">
        <v>257</v>
      </c>
      <c r="B273">
        <v>8.16</v>
      </c>
      <c r="C273" s="87">
        <v>238</v>
      </c>
      <c r="D273" s="87">
        <f t="shared" si="16"/>
        <v>1.88</v>
      </c>
      <c r="E273" s="87">
        <v>82.479999999999905</v>
      </c>
      <c r="F273" s="89">
        <f t="shared" si="15"/>
        <v>155.0623999999998</v>
      </c>
      <c r="G273" s="90"/>
      <c r="H273" s="90"/>
      <c r="I273" s="90"/>
    </row>
    <row r="274" spans="1:9" x14ac:dyDescent="0.3">
      <c r="A274" s="9">
        <v>258</v>
      </c>
      <c r="B274">
        <v>8.1999999999999993</v>
      </c>
      <c r="C274" s="87">
        <v>239</v>
      </c>
      <c r="D274" s="87">
        <f t="shared" si="16"/>
        <v>1.88</v>
      </c>
      <c r="E274" s="87">
        <v>82.5</v>
      </c>
      <c r="F274" s="89">
        <f t="shared" si="15"/>
        <v>155.1</v>
      </c>
      <c r="G274" s="90"/>
      <c r="H274" s="90"/>
      <c r="I274" s="90"/>
    </row>
    <row r="275" spans="1:9" x14ac:dyDescent="0.3">
      <c r="A275" s="9">
        <v>259</v>
      </c>
      <c r="B275">
        <v>8.2200000000000006</v>
      </c>
      <c r="C275" s="87">
        <v>240</v>
      </c>
      <c r="D275" s="87">
        <f t="shared" si="16"/>
        <v>1.88</v>
      </c>
      <c r="E275" s="87">
        <v>82.52</v>
      </c>
      <c r="F275" s="89">
        <f t="shared" si="15"/>
        <v>155.13759999999999</v>
      </c>
      <c r="G275" s="90"/>
      <c r="H275" s="90"/>
      <c r="I275" s="90"/>
    </row>
    <row r="276" spans="1:9" x14ac:dyDescent="0.3">
      <c r="A276" s="9">
        <v>260</v>
      </c>
      <c r="B276">
        <v>8.24</v>
      </c>
      <c r="C276" s="87">
        <v>241</v>
      </c>
      <c r="D276" s="87">
        <f t="shared" si="16"/>
        <v>1.88</v>
      </c>
      <c r="E276" s="87">
        <v>82.54</v>
      </c>
      <c r="F276" s="89">
        <f t="shared" si="15"/>
        <v>155.17519999999999</v>
      </c>
      <c r="G276" s="90"/>
      <c r="H276" s="90"/>
      <c r="I276" s="90"/>
    </row>
    <row r="277" spans="1:9" x14ac:dyDescent="0.3">
      <c r="A277" s="9">
        <v>261</v>
      </c>
      <c r="B277">
        <v>8.2799999999999994</v>
      </c>
      <c r="C277" s="87">
        <v>242</v>
      </c>
      <c r="D277" s="87">
        <f t="shared" si="16"/>
        <v>1.88</v>
      </c>
      <c r="E277" s="87">
        <v>82.56</v>
      </c>
      <c r="F277" s="89">
        <f t="shared" si="15"/>
        <v>155.21279999999999</v>
      </c>
      <c r="G277" s="90"/>
      <c r="H277" s="90"/>
      <c r="I277" s="90"/>
    </row>
    <row r="278" spans="1:9" x14ac:dyDescent="0.3">
      <c r="A278" s="9">
        <v>262</v>
      </c>
      <c r="B278">
        <v>8.3000000000000007</v>
      </c>
      <c r="C278" s="87">
        <v>243</v>
      </c>
      <c r="D278" s="87">
        <f t="shared" si="16"/>
        <v>1.88</v>
      </c>
      <c r="E278" s="87">
        <v>82.58</v>
      </c>
      <c r="F278" s="89">
        <f t="shared" si="15"/>
        <v>155.25039999999998</v>
      </c>
      <c r="G278" s="90"/>
      <c r="H278" s="90"/>
      <c r="I278" s="90"/>
    </row>
    <row r="279" spans="1:9" x14ac:dyDescent="0.3">
      <c r="A279" s="9">
        <v>263</v>
      </c>
      <c r="B279">
        <v>8.33</v>
      </c>
      <c r="C279" s="87">
        <v>244</v>
      </c>
      <c r="D279" s="87">
        <f t="shared" si="16"/>
        <v>1.88</v>
      </c>
      <c r="E279" s="87">
        <v>82.6</v>
      </c>
      <c r="F279" s="89">
        <f t="shared" si="15"/>
        <v>155.28799999999998</v>
      </c>
      <c r="G279" s="90"/>
      <c r="H279" s="90"/>
      <c r="I279" s="90"/>
    </row>
    <row r="280" spans="1:9" x14ac:dyDescent="0.3">
      <c r="A280" s="9">
        <v>264</v>
      </c>
      <c r="B280">
        <v>8.36</v>
      </c>
      <c r="C280" s="87">
        <v>245</v>
      </c>
      <c r="D280" s="87">
        <f t="shared" si="16"/>
        <v>1.88</v>
      </c>
      <c r="E280" s="87">
        <v>82.62</v>
      </c>
      <c r="F280" s="89">
        <f t="shared" si="15"/>
        <v>155.32560000000001</v>
      </c>
      <c r="G280" s="90"/>
      <c r="H280" s="90"/>
      <c r="I280" s="90"/>
    </row>
    <row r="281" spans="1:9" x14ac:dyDescent="0.3">
      <c r="A281" s="9">
        <v>265</v>
      </c>
      <c r="B281">
        <v>8.39</v>
      </c>
      <c r="C281" s="87">
        <v>246</v>
      </c>
      <c r="D281" s="87">
        <f t="shared" si="16"/>
        <v>1.88</v>
      </c>
      <c r="E281" s="87">
        <v>82.64</v>
      </c>
      <c r="F281" s="89">
        <f t="shared" si="15"/>
        <v>155.36320000000001</v>
      </c>
      <c r="G281" s="90"/>
      <c r="H281" s="90"/>
      <c r="I281" s="90"/>
    </row>
    <row r="282" spans="1:9" x14ac:dyDescent="0.3">
      <c r="A282" s="9">
        <v>266</v>
      </c>
      <c r="B282">
        <v>8.41</v>
      </c>
      <c r="C282" s="87">
        <v>247</v>
      </c>
      <c r="D282" s="87">
        <f t="shared" si="16"/>
        <v>1.88</v>
      </c>
      <c r="E282" s="87">
        <v>82.66</v>
      </c>
      <c r="F282" s="89">
        <f t="shared" si="15"/>
        <v>155.40079999999998</v>
      </c>
      <c r="G282" s="90"/>
      <c r="H282" s="90"/>
      <c r="I282" s="90"/>
    </row>
    <row r="283" spans="1:9" x14ac:dyDescent="0.3">
      <c r="A283" s="9">
        <v>267</v>
      </c>
      <c r="B283">
        <v>8.4499999999999993</v>
      </c>
      <c r="C283" s="87">
        <v>248</v>
      </c>
      <c r="D283" s="87">
        <f t="shared" si="16"/>
        <v>1.88</v>
      </c>
      <c r="E283" s="87">
        <v>82.68</v>
      </c>
      <c r="F283" s="89">
        <f t="shared" si="15"/>
        <v>155.4384</v>
      </c>
      <c r="G283" s="90"/>
      <c r="H283" s="90"/>
      <c r="I283" s="90"/>
    </row>
    <row r="284" spans="1:9" x14ac:dyDescent="0.3">
      <c r="A284" s="9">
        <v>268</v>
      </c>
      <c r="B284">
        <v>8.4700000000000006</v>
      </c>
      <c r="C284" s="87">
        <v>249</v>
      </c>
      <c r="D284" s="87">
        <f t="shared" si="16"/>
        <v>1.88</v>
      </c>
      <c r="E284" s="87">
        <v>82.7</v>
      </c>
      <c r="F284" s="89">
        <f t="shared" si="15"/>
        <v>155.476</v>
      </c>
      <c r="G284" s="90"/>
      <c r="H284" s="90"/>
      <c r="I284" s="90"/>
    </row>
    <row r="285" spans="1:9" x14ac:dyDescent="0.3">
      <c r="A285" s="9">
        <v>269</v>
      </c>
      <c r="B285">
        <v>8.51</v>
      </c>
      <c r="C285" s="87">
        <v>250</v>
      </c>
      <c r="D285" s="87">
        <f t="shared" si="16"/>
        <v>1.88</v>
      </c>
      <c r="E285" s="87">
        <v>82.72</v>
      </c>
      <c r="F285" s="89">
        <f t="shared" si="15"/>
        <v>155.5136</v>
      </c>
      <c r="G285" s="90"/>
      <c r="H285" s="90"/>
      <c r="I285" s="90"/>
    </row>
    <row r="286" spans="1:9" x14ac:dyDescent="0.3">
      <c r="A286" s="9">
        <v>270</v>
      </c>
      <c r="B286">
        <v>8.5299999999999994</v>
      </c>
      <c r="C286" s="87">
        <v>251</v>
      </c>
      <c r="D286" s="87">
        <f t="shared" si="16"/>
        <v>1.88</v>
      </c>
      <c r="E286" s="87">
        <v>82.73</v>
      </c>
      <c r="F286" s="89">
        <f t="shared" si="15"/>
        <v>155.5324</v>
      </c>
      <c r="G286" s="90"/>
      <c r="H286" s="90"/>
      <c r="I286" s="90"/>
    </row>
    <row r="287" spans="1:9" x14ac:dyDescent="0.3">
      <c r="A287" s="9">
        <v>271</v>
      </c>
      <c r="B287">
        <v>8.56</v>
      </c>
      <c r="C287" s="87">
        <v>252</v>
      </c>
      <c r="D287" s="87">
        <f t="shared" si="16"/>
        <v>1.88</v>
      </c>
      <c r="E287" s="87">
        <v>82.74</v>
      </c>
      <c r="F287" s="89">
        <f t="shared" si="15"/>
        <v>155.55119999999999</v>
      </c>
      <c r="G287" s="90"/>
      <c r="H287" s="90"/>
      <c r="I287" s="90"/>
    </row>
    <row r="288" spans="1:9" x14ac:dyDescent="0.3">
      <c r="A288" s="9">
        <v>272</v>
      </c>
      <c r="B288">
        <v>8.59</v>
      </c>
      <c r="C288" s="87">
        <v>253</v>
      </c>
      <c r="D288" s="87">
        <f t="shared" si="16"/>
        <v>1.88</v>
      </c>
      <c r="E288" s="87">
        <v>82.75</v>
      </c>
      <c r="F288" s="89">
        <f t="shared" si="15"/>
        <v>155.57</v>
      </c>
      <c r="G288" s="90"/>
      <c r="H288" s="90"/>
      <c r="I288" s="90"/>
    </row>
    <row r="289" spans="1:9" x14ac:dyDescent="0.3">
      <c r="A289" s="9">
        <v>273</v>
      </c>
      <c r="B289">
        <v>8.6199999999999992</v>
      </c>
      <c r="C289" s="87">
        <v>254</v>
      </c>
      <c r="D289" s="87">
        <f t="shared" si="16"/>
        <v>1.88</v>
      </c>
      <c r="E289" s="87">
        <v>82.76</v>
      </c>
      <c r="F289" s="89">
        <f t="shared" si="15"/>
        <v>155.58879999999999</v>
      </c>
      <c r="G289" s="90"/>
      <c r="H289" s="90"/>
      <c r="I289" s="90"/>
    </row>
    <row r="290" spans="1:9" x14ac:dyDescent="0.3">
      <c r="A290" s="9">
        <v>274</v>
      </c>
      <c r="B290">
        <v>8.64</v>
      </c>
      <c r="C290" s="87">
        <v>255</v>
      </c>
      <c r="D290" s="87">
        <f t="shared" si="16"/>
        <v>1.88</v>
      </c>
      <c r="E290" s="87">
        <v>82.77</v>
      </c>
      <c r="F290" s="89">
        <f t="shared" si="15"/>
        <v>155.60759999999999</v>
      </c>
      <c r="G290" s="90"/>
      <c r="H290" s="90"/>
      <c r="I290" s="90"/>
    </row>
    <row r="291" spans="1:9" x14ac:dyDescent="0.3">
      <c r="A291" s="9">
        <v>275</v>
      </c>
      <c r="B291">
        <v>8.68</v>
      </c>
      <c r="C291" s="87">
        <v>256</v>
      </c>
      <c r="D291" s="87">
        <f t="shared" si="16"/>
        <v>1.88</v>
      </c>
      <c r="E291" s="87">
        <v>82.78</v>
      </c>
      <c r="F291" s="89">
        <f t="shared" si="15"/>
        <v>155.62639999999999</v>
      </c>
      <c r="G291" s="90"/>
      <c r="H291" s="90"/>
      <c r="I291" s="90"/>
    </row>
    <row r="292" spans="1:9" x14ac:dyDescent="0.3">
      <c r="A292" s="9">
        <v>276</v>
      </c>
      <c r="B292">
        <v>8.6999999999999993</v>
      </c>
      <c r="C292" s="87">
        <v>257</v>
      </c>
      <c r="D292" s="87">
        <f t="shared" si="16"/>
        <v>1.88</v>
      </c>
      <c r="E292" s="87">
        <v>82.79</v>
      </c>
      <c r="F292" s="89">
        <f t="shared" ref="F292:F335" si="17">D292*E292</f>
        <v>155.64520000000002</v>
      </c>
      <c r="G292" s="90"/>
      <c r="H292" s="90"/>
      <c r="I292" s="90"/>
    </row>
    <row r="293" spans="1:9" x14ac:dyDescent="0.3">
      <c r="A293" s="9">
        <v>277</v>
      </c>
      <c r="B293">
        <v>8.7200000000000006</v>
      </c>
      <c r="C293" s="87">
        <v>258</v>
      </c>
      <c r="D293" s="87">
        <f t="shared" ref="D293:D335" si="18">D292</f>
        <v>1.88</v>
      </c>
      <c r="E293" s="87">
        <v>82.8</v>
      </c>
      <c r="F293" s="89">
        <f t="shared" si="17"/>
        <v>155.66399999999999</v>
      </c>
      <c r="G293" s="90"/>
      <c r="H293" s="90"/>
      <c r="I293" s="90"/>
    </row>
    <row r="294" spans="1:9" x14ac:dyDescent="0.3">
      <c r="A294" s="9">
        <v>278</v>
      </c>
      <c r="B294">
        <v>8.76</v>
      </c>
      <c r="C294" s="87">
        <v>259</v>
      </c>
      <c r="D294" s="87">
        <f t="shared" si="18"/>
        <v>1.88</v>
      </c>
      <c r="E294" s="87">
        <v>82.81</v>
      </c>
      <c r="F294" s="89">
        <f t="shared" si="17"/>
        <v>155.68279999999999</v>
      </c>
      <c r="G294" s="90"/>
      <c r="H294" s="90"/>
      <c r="I294" s="90"/>
    </row>
    <row r="295" spans="1:9" x14ac:dyDescent="0.3">
      <c r="A295" s="9">
        <v>279</v>
      </c>
      <c r="B295">
        <v>8.7799999999999994</v>
      </c>
      <c r="C295" s="87">
        <v>260</v>
      </c>
      <c r="D295" s="87">
        <f t="shared" si="18"/>
        <v>1.88</v>
      </c>
      <c r="E295" s="87">
        <v>82.820000000000107</v>
      </c>
      <c r="F295" s="89">
        <f t="shared" si="17"/>
        <v>155.70160000000018</v>
      </c>
      <c r="G295" s="90"/>
      <c r="H295" s="90"/>
      <c r="I295" s="90"/>
    </row>
    <row r="296" spans="1:9" x14ac:dyDescent="0.3">
      <c r="A296" s="9">
        <v>280</v>
      </c>
      <c r="B296">
        <v>8.81</v>
      </c>
      <c r="C296" s="87">
        <v>261</v>
      </c>
      <c r="D296" s="87">
        <f t="shared" si="18"/>
        <v>1.88</v>
      </c>
      <c r="E296" s="87">
        <v>82.830000000000098</v>
      </c>
      <c r="F296" s="89">
        <f t="shared" si="17"/>
        <v>155.72040000000018</v>
      </c>
      <c r="G296" s="90"/>
      <c r="H296" s="90"/>
      <c r="I296" s="90"/>
    </row>
    <row r="297" spans="1:9" x14ac:dyDescent="0.3">
      <c r="A297" s="9">
        <v>281</v>
      </c>
      <c r="B297">
        <v>8.84</v>
      </c>
      <c r="C297" s="87">
        <v>262</v>
      </c>
      <c r="D297" s="87">
        <f t="shared" si="18"/>
        <v>1.88</v>
      </c>
      <c r="E297" s="87">
        <v>82.840000000000103</v>
      </c>
      <c r="F297" s="89">
        <f t="shared" si="17"/>
        <v>155.73920000000018</v>
      </c>
      <c r="G297" s="90"/>
      <c r="H297" s="90"/>
      <c r="I297" s="90"/>
    </row>
    <row r="298" spans="1:9" x14ac:dyDescent="0.3">
      <c r="A298" s="9">
        <v>282</v>
      </c>
      <c r="B298">
        <v>8.8699999999999992</v>
      </c>
      <c r="C298" s="87">
        <v>263</v>
      </c>
      <c r="D298" s="87">
        <f t="shared" si="18"/>
        <v>1.88</v>
      </c>
      <c r="E298" s="87">
        <v>82.850000000000094</v>
      </c>
      <c r="F298" s="89">
        <f t="shared" si="17"/>
        <v>155.75800000000018</v>
      </c>
      <c r="G298" s="90"/>
      <c r="H298" s="90"/>
      <c r="I298" s="90"/>
    </row>
    <row r="299" spans="1:9" x14ac:dyDescent="0.3">
      <c r="A299" s="9">
        <v>283</v>
      </c>
      <c r="B299">
        <v>8.89</v>
      </c>
      <c r="C299" s="87">
        <v>264</v>
      </c>
      <c r="D299" s="87">
        <f t="shared" si="18"/>
        <v>1.88</v>
      </c>
      <c r="E299" s="87">
        <v>82.860000000000099</v>
      </c>
      <c r="F299" s="89">
        <f t="shared" si="17"/>
        <v>155.77680000000018</v>
      </c>
      <c r="G299" s="90"/>
      <c r="H299" s="90"/>
      <c r="I299" s="90"/>
    </row>
    <row r="300" spans="1:9" x14ac:dyDescent="0.3">
      <c r="A300" s="9">
        <v>284</v>
      </c>
      <c r="B300">
        <v>8.93</v>
      </c>
      <c r="C300" s="87">
        <v>265</v>
      </c>
      <c r="D300" s="87">
        <f t="shared" si="18"/>
        <v>1.88</v>
      </c>
      <c r="E300" s="87">
        <v>82.870000000000104</v>
      </c>
      <c r="F300" s="89">
        <f t="shared" si="17"/>
        <v>155.79560000000018</v>
      </c>
      <c r="G300" s="90"/>
      <c r="H300" s="90"/>
      <c r="I300" s="90"/>
    </row>
    <row r="301" spans="1:9" x14ac:dyDescent="0.3">
      <c r="A301" s="9">
        <v>285</v>
      </c>
      <c r="B301">
        <v>8.9499999999999993</v>
      </c>
      <c r="C301" s="87">
        <v>266</v>
      </c>
      <c r="D301" s="87">
        <f t="shared" si="18"/>
        <v>1.88</v>
      </c>
      <c r="E301" s="87">
        <v>82.880000000000095</v>
      </c>
      <c r="F301" s="89">
        <f t="shared" si="17"/>
        <v>155.81440000000018</v>
      </c>
      <c r="G301" s="90"/>
      <c r="H301" s="90"/>
      <c r="I301" s="90"/>
    </row>
    <row r="302" spans="1:9" x14ac:dyDescent="0.3">
      <c r="A302" s="9">
        <v>286</v>
      </c>
      <c r="B302">
        <v>8.99</v>
      </c>
      <c r="C302" s="87">
        <v>267</v>
      </c>
      <c r="D302" s="87">
        <f t="shared" si="18"/>
        <v>1.88</v>
      </c>
      <c r="E302" s="87">
        <v>82.8900000000001</v>
      </c>
      <c r="F302" s="89">
        <f t="shared" si="17"/>
        <v>155.83320000000018</v>
      </c>
      <c r="G302" s="90"/>
      <c r="H302" s="90"/>
      <c r="I302" s="90"/>
    </row>
    <row r="303" spans="1:9" x14ac:dyDescent="0.3">
      <c r="A303" s="9">
        <v>287</v>
      </c>
      <c r="B303">
        <v>9.01</v>
      </c>
      <c r="C303" s="87">
        <v>268</v>
      </c>
      <c r="D303" s="87">
        <f t="shared" si="18"/>
        <v>1.88</v>
      </c>
      <c r="E303" s="87">
        <v>82.900000000000105</v>
      </c>
      <c r="F303" s="89">
        <f t="shared" si="17"/>
        <v>155.8520000000002</v>
      </c>
      <c r="G303" s="90"/>
      <c r="H303" s="90"/>
      <c r="I303" s="90"/>
    </row>
    <row r="304" spans="1:9" x14ac:dyDescent="0.3">
      <c r="A304" s="9">
        <v>288</v>
      </c>
      <c r="B304">
        <v>9.0399999999999991</v>
      </c>
      <c r="C304" s="87">
        <v>269</v>
      </c>
      <c r="D304" s="87">
        <f t="shared" si="18"/>
        <v>1.88</v>
      </c>
      <c r="E304" s="87">
        <v>82.910000000000096</v>
      </c>
      <c r="F304" s="89">
        <f t="shared" si="17"/>
        <v>155.87080000000017</v>
      </c>
      <c r="G304" s="90"/>
      <c r="H304" s="90"/>
      <c r="I304" s="90"/>
    </row>
    <row r="305" spans="1:9" x14ac:dyDescent="0.3">
      <c r="A305" s="9">
        <v>289</v>
      </c>
      <c r="B305">
        <v>9.07</v>
      </c>
      <c r="C305" s="87">
        <v>270</v>
      </c>
      <c r="D305" s="87">
        <f t="shared" si="18"/>
        <v>1.88</v>
      </c>
      <c r="E305" s="87">
        <v>82.920000000000101</v>
      </c>
      <c r="F305" s="89">
        <f t="shared" si="17"/>
        <v>155.88960000000017</v>
      </c>
      <c r="G305" s="90"/>
      <c r="H305" s="90"/>
      <c r="I305" s="90"/>
    </row>
    <row r="306" spans="1:9" x14ac:dyDescent="0.3">
      <c r="A306" s="9">
        <v>290</v>
      </c>
      <c r="B306">
        <v>9.1</v>
      </c>
      <c r="C306" s="87">
        <v>271</v>
      </c>
      <c r="D306" s="87">
        <f t="shared" si="18"/>
        <v>1.88</v>
      </c>
      <c r="E306" s="87">
        <v>82.930000000000106</v>
      </c>
      <c r="F306" s="89">
        <f t="shared" si="17"/>
        <v>155.9084000000002</v>
      </c>
      <c r="G306" s="90"/>
      <c r="H306" s="90"/>
      <c r="I306" s="90"/>
    </row>
    <row r="307" spans="1:9" x14ac:dyDescent="0.3">
      <c r="A307" s="9">
        <v>291</v>
      </c>
      <c r="B307">
        <v>9.1199999999999992</v>
      </c>
      <c r="C307" s="87">
        <v>272</v>
      </c>
      <c r="D307" s="87">
        <f t="shared" si="18"/>
        <v>1.88</v>
      </c>
      <c r="E307" s="87">
        <v>82.940000000000097</v>
      </c>
      <c r="F307" s="89">
        <f t="shared" si="17"/>
        <v>155.92720000000017</v>
      </c>
      <c r="G307" s="90"/>
      <c r="H307" s="90"/>
      <c r="I307" s="90"/>
    </row>
    <row r="308" spans="1:9" x14ac:dyDescent="0.3">
      <c r="A308" s="9">
        <v>292</v>
      </c>
      <c r="B308">
        <v>9.16</v>
      </c>
      <c r="C308" s="87">
        <v>273</v>
      </c>
      <c r="D308" s="87">
        <f t="shared" si="18"/>
        <v>1.88</v>
      </c>
      <c r="E308" s="87">
        <v>82.950000000000102</v>
      </c>
      <c r="F308" s="89">
        <f t="shared" si="17"/>
        <v>155.9460000000002</v>
      </c>
      <c r="G308" s="90"/>
      <c r="H308" s="90"/>
      <c r="I308" s="90"/>
    </row>
    <row r="309" spans="1:9" x14ac:dyDescent="0.3">
      <c r="A309" s="9">
        <v>293</v>
      </c>
      <c r="B309">
        <v>9.18</v>
      </c>
      <c r="C309" s="87">
        <v>274</v>
      </c>
      <c r="D309" s="87">
        <f t="shared" si="18"/>
        <v>1.88</v>
      </c>
      <c r="E309" s="87">
        <v>82.960000000000093</v>
      </c>
      <c r="F309" s="89">
        <f t="shared" si="17"/>
        <v>155.96480000000017</v>
      </c>
      <c r="G309" s="90"/>
      <c r="H309" s="90"/>
      <c r="I309" s="90"/>
    </row>
    <row r="310" spans="1:9" x14ac:dyDescent="0.3">
      <c r="A310" s="9">
        <v>294</v>
      </c>
      <c r="B310">
        <v>9.1999999999999993</v>
      </c>
      <c r="C310" s="87">
        <v>275</v>
      </c>
      <c r="D310" s="87">
        <f t="shared" si="18"/>
        <v>1.88</v>
      </c>
      <c r="E310" s="87">
        <v>82.970000000000098</v>
      </c>
      <c r="F310" s="89">
        <f t="shared" si="17"/>
        <v>155.98360000000017</v>
      </c>
      <c r="G310" s="90"/>
      <c r="H310" s="90"/>
      <c r="I310" s="90"/>
    </row>
    <row r="311" spans="1:9" x14ac:dyDescent="0.3">
      <c r="A311" s="9">
        <v>295</v>
      </c>
      <c r="B311">
        <v>9.24</v>
      </c>
      <c r="C311" s="87">
        <v>276</v>
      </c>
      <c r="D311" s="87">
        <f t="shared" si="18"/>
        <v>1.88</v>
      </c>
      <c r="E311" s="87">
        <v>82.980000000000103</v>
      </c>
      <c r="F311" s="89">
        <f t="shared" si="17"/>
        <v>156.00240000000019</v>
      </c>
      <c r="G311" s="90"/>
      <c r="H311" s="90"/>
      <c r="I311" s="90"/>
    </row>
    <row r="312" spans="1:9" x14ac:dyDescent="0.3">
      <c r="A312" s="9">
        <v>296</v>
      </c>
      <c r="B312">
        <v>9.26</v>
      </c>
      <c r="C312" s="87">
        <v>277</v>
      </c>
      <c r="D312" s="87">
        <f t="shared" si="18"/>
        <v>1.88</v>
      </c>
      <c r="E312" s="87">
        <v>82.990000000000094</v>
      </c>
      <c r="F312" s="89">
        <f t="shared" si="17"/>
        <v>156.02120000000016</v>
      </c>
      <c r="G312" s="90"/>
      <c r="H312" s="90"/>
      <c r="I312" s="90"/>
    </row>
    <row r="313" spans="1:9" x14ac:dyDescent="0.3">
      <c r="A313" s="9">
        <v>297</v>
      </c>
      <c r="B313">
        <v>9.2899999999999991</v>
      </c>
      <c r="C313" s="87">
        <v>278</v>
      </c>
      <c r="D313" s="87">
        <f t="shared" si="18"/>
        <v>1.88</v>
      </c>
      <c r="E313" s="87">
        <v>83</v>
      </c>
      <c r="F313" s="89">
        <f t="shared" si="17"/>
        <v>156.04</v>
      </c>
      <c r="G313" s="90"/>
      <c r="H313" s="90"/>
      <c r="I313" s="90"/>
    </row>
    <row r="314" spans="1:9" x14ac:dyDescent="0.3">
      <c r="A314" s="9">
        <v>298</v>
      </c>
      <c r="B314">
        <v>9.32</v>
      </c>
      <c r="C314" s="87">
        <v>279</v>
      </c>
      <c r="D314" s="87">
        <f t="shared" si="18"/>
        <v>1.88</v>
      </c>
      <c r="E314" s="87">
        <v>83</v>
      </c>
      <c r="F314" s="89">
        <f t="shared" si="17"/>
        <v>156.04</v>
      </c>
      <c r="G314" s="90"/>
      <c r="H314" s="90"/>
      <c r="I314" s="90"/>
    </row>
    <row r="315" spans="1:9" x14ac:dyDescent="0.3">
      <c r="A315" s="9">
        <v>299</v>
      </c>
      <c r="B315">
        <v>9.35</v>
      </c>
      <c r="C315" s="87">
        <v>280</v>
      </c>
      <c r="D315" s="87">
        <f t="shared" si="18"/>
        <v>1.88</v>
      </c>
      <c r="E315" s="87">
        <v>83</v>
      </c>
      <c r="F315" s="89">
        <f t="shared" si="17"/>
        <v>156.04</v>
      </c>
      <c r="G315" s="90"/>
      <c r="H315" s="90"/>
      <c r="I315" s="90"/>
    </row>
    <row r="316" spans="1:9" x14ac:dyDescent="0.3">
      <c r="A316" s="9">
        <v>300</v>
      </c>
      <c r="B316">
        <v>9.3699999999999992</v>
      </c>
      <c r="C316" s="87">
        <v>281</v>
      </c>
      <c r="D316" s="87">
        <f t="shared" si="18"/>
        <v>1.88</v>
      </c>
      <c r="E316" s="87">
        <v>83</v>
      </c>
      <c r="F316" s="89">
        <f t="shared" si="17"/>
        <v>156.04</v>
      </c>
      <c r="G316" s="90"/>
      <c r="H316" s="90"/>
      <c r="I316" s="90"/>
    </row>
    <row r="317" spans="1:9" x14ac:dyDescent="0.3">
      <c r="A317" s="9">
        <v>301</v>
      </c>
      <c r="B317">
        <v>9.41</v>
      </c>
      <c r="C317" s="87">
        <v>282</v>
      </c>
      <c r="D317" s="87">
        <f t="shared" si="18"/>
        <v>1.88</v>
      </c>
      <c r="E317" s="87">
        <v>83</v>
      </c>
      <c r="F317" s="89">
        <f t="shared" si="17"/>
        <v>156.04</v>
      </c>
      <c r="G317" s="90"/>
      <c r="H317" s="90"/>
      <c r="I317" s="90"/>
    </row>
    <row r="318" spans="1:9" x14ac:dyDescent="0.3">
      <c r="A318" s="9">
        <v>302</v>
      </c>
      <c r="B318">
        <v>9.43</v>
      </c>
      <c r="C318" s="87">
        <v>283</v>
      </c>
      <c r="D318" s="87">
        <f t="shared" si="18"/>
        <v>1.88</v>
      </c>
      <c r="E318" s="87">
        <v>83</v>
      </c>
      <c r="F318" s="89">
        <f t="shared" si="17"/>
        <v>156.04</v>
      </c>
      <c r="G318" s="90"/>
      <c r="H318" s="90"/>
      <c r="I318" s="90"/>
    </row>
    <row r="319" spans="1:9" x14ac:dyDescent="0.3">
      <c r="A319" s="9">
        <v>303</v>
      </c>
      <c r="B319">
        <v>9.4600000000000009</v>
      </c>
      <c r="C319" s="87">
        <v>284</v>
      </c>
      <c r="D319" s="87">
        <f t="shared" si="18"/>
        <v>1.88</v>
      </c>
      <c r="E319" s="87">
        <v>83</v>
      </c>
      <c r="F319" s="89">
        <f t="shared" si="17"/>
        <v>156.04</v>
      </c>
      <c r="G319" s="90"/>
      <c r="H319" s="90"/>
      <c r="I319" s="90"/>
    </row>
    <row r="320" spans="1:9" x14ac:dyDescent="0.3">
      <c r="A320" s="9">
        <v>304</v>
      </c>
      <c r="B320">
        <v>9.49</v>
      </c>
      <c r="C320" s="87">
        <v>285</v>
      </c>
      <c r="D320" s="87">
        <f t="shared" si="18"/>
        <v>1.88</v>
      </c>
      <c r="E320" s="87">
        <v>83</v>
      </c>
      <c r="F320" s="89">
        <f t="shared" si="17"/>
        <v>156.04</v>
      </c>
      <c r="G320" s="90"/>
      <c r="H320" s="90"/>
      <c r="I320" s="90"/>
    </row>
    <row r="321" spans="1:9" x14ac:dyDescent="0.3">
      <c r="A321" s="9">
        <v>305</v>
      </c>
      <c r="B321">
        <v>9.52</v>
      </c>
      <c r="C321" s="87">
        <v>286</v>
      </c>
      <c r="D321" s="87">
        <f t="shared" si="18"/>
        <v>1.88</v>
      </c>
      <c r="E321" s="87">
        <v>83</v>
      </c>
      <c r="F321" s="89">
        <f t="shared" si="17"/>
        <v>156.04</v>
      </c>
      <c r="G321" s="90"/>
      <c r="H321" s="90"/>
      <c r="I321" s="90"/>
    </row>
    <row r="322" spans="1:9" x14ac:dyDescent="0.3">
      <c r="A322" s="9">
        <v>306</v>
      </c>
      <c r="B322">
        <v>9.5399999999999991</v>
      </c>
      <c r="C322" s="87">
        <v>287</v>
      </c>
      <c r="D322" s="87">
        <f t="shared" si="18"/>
        <v>1.88</v>
      </c>
      <c r="E322" s="87">
        <v>83</v>
      </c>
      <c r="F322" s="89">
        <f t="shared" si="17"/>
        <v>156.04</v>
      </c>
      <c r="G322" s="90"/>
      <c r="H322" s="90"/>
      <c r="I322" s="90"/>
    </row>
    <row r="323" spans="1:9" x14ac:dyDescent="0.3">
      <c r="A323" s="9">
        <v>307</v>
      </c>
      <c r="B323">
        <v>9.58</v>
      </c>
      <c r="C323" s="87">
        <v>288</v>
      </c>
      <c r="D323" s="87">
        <f t="shared" si="18"/>
        <v>1.88</v>
      </c>
      <c r="E323" s="87">
        <v>83</v>
      </c>
      <c r="F323" s="89">
        <f t="shared" si="17"/>
        <v>156.04</v>
      </c>
      <c r="G323" s="90"/>
      <c r="H323" s="90"/>
      <c r="I323" s="90"/>
    </row>
    <row r="324" spans="1:9" x14ac:dyDescent="0.3">
      <c r="A324" s="9">
        <v>308</v>
      </c>
      <c r="B324">
        <v>9.6</v>
      </c>
      <c r="C324" s="87">
        <v>289</v>
      </c>
      <c r="D324" s="87">
        <f t="shared" si="18"/>
        <v>1.88</v>
      </c>
      <c r="E324" s="87">
        <v>83</v>
      </c>
      <c r="F324" s="89">
        <f t="shared" si="17"/>
        <v>156.04</v>
      </c>
      <c r="G324" s="90"/>
      <c r="H324" s="90"/>
      <c r="I324" s="90"/>
    </row>
    <row r="325" spans="1:9" x14ac:dyDescent="0.3">
      <c r="A325" s="9">
        <v>309</v>
      </c>
      <c r="B325">
        <v>9.6199999999999992</v>
      </c>
      <c r="C325" s="87">
        <v>290</v>
      </c>
      <c r="D325" s="87">
        <f t="shared" si="18"/>
        <v>1.88</v>
      </c>
      <c r="E325" s="87">
        <v>83</v>
      </c>
      <c r="F325" s="89">
        <f t="shared" si="17"/>
        <v>156.04</v>
      </c>
      <c r="G325" s="90"/>
      <c r="H325" s="90"/>
      <c r="I325" s="90"/>
    </row>
    <row r="326" spans="1:9" x14ac:dyDescent="0.3">
      <c r="A326" s="9">
        <v>310</v>
      </c>
      <c r="B326">
        <v>9.65</v>
      </c>
      <c r="C326" s="87">
        <v>291</v>
      </c>
      <c r="D326" s="87">
        <f t="shared" si="18"/>
        <v>1.88</v>
      </c>
      <c r="E326" s="87">
        <v>83</v>
      </c>
      <c r="F326" s="89">
        <f t="shared" si="17"/>
        <v>156.04</v>
      </c>
      <c r="G326" s="90"/>
      <c r="H326" s="90"/>
      <c r="I326" s="90"/>
    </row>
    <row r="327" spans="1:9" x14ac:dyDescent="0.3">
      <c r="A327" s="9">
        <v>311</v>
      </c>
      <c r="B327">
        <v>9.68</v>
      </c>
      <c r="C327" s="87">
        <v>292</v>
      </c>
      <c r="D327" s="87">
        <f t="shared" si="18"/>
        <v>1.88</v>
      </c>
      <c r="E327" s="87">
        <v>83</v>
      </c>
      <c r="F327" s="89">
        <f t="shared" si="17"/>
        <v>156.04</v>
      </c>
      <c r="G327" s="90"/>
      <c r="H327" s="90"/>
      <c r="I327" s="90"/>
    </row>
    <row r="328" spans="1:9" x14ac:dyDescent="0.3">
      <c r="A328" s="9">
        <v>312</v>
      </c>
      <c r="B328">
        <v>9.7100000000000009</v>
      </c>
      <c r="C328" s="87">
        <v>293</v>
      </c>
      <c r="D328" s="87">
        <f t="shared" si="18"/>
        <v>1.88</v>
      </c>
      <c r="E328" s="87">
        <v>83</v>
      </c>
      <c r="F328" s="89">
        <f t="shared" si="17"/>
        <v>156.04</v>
      </c>
      <c r="G328" s="90"/>
      <c r="H328" s="90"/>
      <c r="I328" s="90"/>
    </row>
    <row r="329" spans="1:9" x14ac:dyDescent="0.3">
      <c r="A329" s="9">
        <v>313</v>
      </c>
      <c r="B329">
        <v>9.73</v>
      </c>
      <c r="C329" s="87">
        <v>294</v>
      </c>
      <c r="D329" s="87">
        <f t="shared" si="18"/>
        <v>1.88</v>
      </c>
      <c r="E329" s="87">
        <v>83</v>
      </c>
      <c r="F329" s="89">
        <f t="shared" si="17"/>
        <v>156.04</v>
      </c>
      <c r="G329" s="90"/>
      <c r="H329" s="90"/>
      <c r="I329" s="90"/>
    </row>
    <row r="330" spans="1:9" x14ac:dyDescent="0.3">
      <c r="A330" s="9">
        <v>314</v>
      </c>
      <c r="B330">
        <v>9.77</v>
      </c>
      <c r="C330" s="87">
        <v>295</v>
      </c>
      <c r="D330" s="87">
        <f t="shared" si="18"/>
        <v>1.88</v>
      </c>
      <c r="E330" s="87">
        <v>83</v>
      </c>
      <c r="F330" s="89">
        <f t="shared" si="17"/>
        <v>156.04</v>
      </c>
      <c r="G330" s="90"/>
      <c r="H330" s="90"/>
      <c r="I330" s="90"/>
    </row>
    <row r="331" spans="1:9" x14ac:dyDescent="0.3">
      <c r="A331" s="9">
        <v>315</v>
      </c>
      <c r="B331">
        <v>9.7899999999999991</v>
      </c>
      <c r="C331" s="87">
        <v>296</v>
      </c>
      <c r="D331" s="87">
        <f t="shared" si="18"/>
        <v>1.88</v>
      </c>
      <c r="E331" s="87">
        <v>83</v>
      </c>
      <c r="F331" s="89">
        <f t="shared" si="17"/>
        <v>156.04</v>
      </c>
      <c r="G331" s="90"/>
      <c r="H331" s="90"/>
      <c r="I331" s="90"/>
    </row>
    <row r="332" spans="1:9" x14ac:dyDescent="0.3">
      <c r="A332" s="9">
        <v>316</v>
      </c>
      <c r="B332">
        <v>9.82</v>
      </c>
      <c r="C332" s="87">
        <v>297</v>
      </c>
      <c r="D332" s="87">
        <f t="shared" si="18"/>
        <v>1.88</v>
      </c>
      <c r="E332" s="87">
        <v>83</v>
      </c>
      <c r="F332" s="89">
        <f t="shared" si="17"/>
        <v>156.04</v>
      </c>
      <c r="G332" s="90"/>
      <c r="H332" s="90"/>
      <c r="I332" s="90"/>
    </row>
    <row r="333" spans="1:9" x14ac:dyDescent="0.3">
      <c r="A333" s="9">
        <v>317</v>
      </c>
      <c r="B333">
        <v>9.85</v>
      </c>
      <c r="C333" s="87">
        <v>298</v>
      </c>
      <c r="D333" s="87">
        <f t="shared" si="18"/>
        <v>1.88</v>
      </c>
      <c r="E333" s="87">
        <v>83</v>
      </c>
      <c r="F333" s="89">
        <f t="shared" si="17"/>
        <v>156.04</v>
      </c>
      <c r="G333" s="90"/>
      <c r="H333" s="90"/>
      <c r="I333" s="90"/>
    </row>
    <row r="334" spans="1:9" x14ac:dyDescent="0.3">
      <c r="A334" s="9">
        <v>318</v>
      </c>
      <c r="B334">
        <v>9.8800000000000008</v>
      </c>
      <c r="C334" s="87">
        <v>299</v>
      </c>
      <c r="D334" s="87">
        <f t="shared" si="18"/>
        <v>1.88</v>
      </c>
      <c r="E334" s="87">
        <v>83</v>
      </c>
      <c r="F334" s="89">
        <f t="shared" si="17"/>
        <v>156.04</v>
      </c>
      <c r="G334" s="90"/>
      <c r="H334" s="90"/>
      <c r="I334" s="90"/>
    </row>
    <row r="335" spans="1:9" x14ac:dyDescent="0.3">
      <c r="A335" s="9">
        <v>319</v>
      </c>
      <c r="B335">
        <v>9.9</v>
      </c>
      <c r="C335" s="87">
        <v>300</v>
      </c>
      <c r="D335" s="87">
        <f t="shared" si="18"/>
        <v>1.88</v>
      </c>
      <c r="E335" s="87">
        <v>83</v>
      </c>
      <c r="F335" s="89">
        <f t="shared" si="17"/>
        <v>156.04</v>
      </c>
      <c r="G335" s="90"/>
      <c r="H335" s="90"/>
      <c r="I335" s="90"/>
    </row>
    <row r="336" spans="1:9" x14ac:dyDescent="0.3">
      <c r="A336" s="9">
        <v>320</v>
      </c>
      <c r="B336">
        <v>9.94</v>
      </c>
    </row>
    <row r="337" spans="1:2" x14ac:dyDescent="0.3">
      <c r="A337" s="9">
        <v>321</v>
      </c>
      <c r="B337">
        <v>9.9600000000000009</v>
      </c>
    </row>
    <row r="338" spans="1:2" x14ac:dyDescent="0.3">
      <c r="A338" s="9">
        <v>322</v>
      </c>
      <c r="B338">
        <v>9.98</v>
      </c>
    </row>
    <row r="339" spans="1:2" x14ac:dyDescent="0.3">
      <c r="A339" s="9">
        <v>323</v>
      </c>
      <c r="B339">
        <v>10.02</v>
      </c>
    </row>
    <row r="340" spans="1:2" x14ac:dyDescent="0.3">
      <c r="A340" s="9">
        <v>324</v>
      </c>
      <c r="B340">
        <v>10.039999999999999</v>
      </c>
    </row>
    <row r="341" spans="1:2" x14ac:dyDescent="0.3">
      <c r="A341" s="9">
        <v>325</v>
      </c>
      <c r="B341">
        <v>10.07</v>
      </c>
    </row>
    <row r="342" spans="1:2" x14ac:dyDescent="0.3">
      <c r="A342" s="9">
        <v>326</v>
      </c>
      <c r="B342">
        <v>10.1</v>
      </c>
    </row>
    <row r="343" spans="1:2" x14ac:dyDescent="0.3">
      <c r="A343" s="9">
        <v>327</v>
      </c>
      <c r="B343">
        <v>10.130000000000001</v>
      </c>
    </row>
    <row r="344" spans="1:2" x14ac:dyDescent="0.3">
      <c r="A344" s="9">
        <v>328</v>
      </c>
      <c r="B344">
        <v>10.15</v>
      </c>
    </row>
    <row r="345" spans="1:2" x14ac:dyDescent="0.3">
      <c r="A345" s="9">
        <v>329</v>
      </c>
      <c r="B345">
        <v>10.18</v>
      </c>
    </row>
    <row r="346" spans="1:2" x14ac:dyDescent="0.3">
      <c r="A346" s="9">
        <v>330</v>
      </c>
      <c r="B346">
        <v>10.210000000000001</v>
      </c>
    </row>
    <row r="347" spans="1:2" x14ac:dyDescent="0.3">
      <c r="A347" s="9">
        <v>331</v>
      </c>
      <c r="B347">
        <v>10.24</v>
      </c>
    </row>
    <row r="348" spans="1:2" x14ac:dyDescent="0.3">
      <c r="A348" s="9">
        <v>332</v>
      </c>
      <c r="B348">
        <v>10.26</v>
      </c>
    </row>
    <row r="349" spans="1:2" x14ac:dyDescent="0.3">
      <c r="A349" s="9">
        <v>333</v>
      </c>
      <c r="B349">
        <v>10.3</v>
      </c>
    </row>
    <row r="350" spans="1:2" x14ac:dyDescent="0.3">
      <c r="A350" s="9">
        <v>334</v>
      </c>
      <c r="B350">
        <v>10.32</v>
      </c>
    </row>
    <row r="351" spans="1:2" x14ac:dyDescent="0.3">
      <c r="A351" s="9">
        <v>335</v>
      </c>
      <c r="B351">
        <v>10.34</v>
      </c>
    </row>
    <row r="352" spans="1:2" x14ac:dyDescent="0.3">
      <c r="A352" s="9">
        <v>336</v>
      </c>
      <c r="B352">
        <v>10.38</v>
      </c>
    </row>
    <row r="353" spans="1:2" x14ac:dyDescent="0.3">
      <c r="A353" s="9">
        <v>337</v>
      </c>
      <c r="B353">
        <v>10.4</v>
      </c>
    </row>
    <row r="354" spans="1:2" x14ac:dyDescent="0.3">
      <c r="A354" s="9">
        <v>338</v>
      </c>
      <c r="B354">
        <v>10.43</v>
      </c>
    </row>
    <row r="355" spans="1:2" x14ac:dyDescent="0.3">
      <c r="A355" s="9">
        <v>339</v>
      </c>
      <c r="B355">
        <v>10.46</v>
      </c>
    </row>
    <row r="356" spans="1:2" x14ac:dyDescent="0.3">
      <c r="A356" s="9">
        <v>340</v>
      </c>
      <c r="B356">
        <v>10.49</v>
      </c>
    </row>
    <row r="357" spans="1:2" x14ac:dyDescent="0.3">
      <c r="A357" s="9">
        <v>341</v>
      </c>
      <c r="B357">
        <v>10.51</v>
      </c>
    </row>
    <row r="358" spans="1:2" x14ac:dyDescent="0.3">
      <c r="A358" s="9">
        <v>342</v>
      </c>
      <c r="B358">
        <v>10.54</v>
      </c>
    </row>
    <row r="359" spans="1:2" x14ac:dyDescent="0.3">
      <c r="A359" s="9">
        <v>343</v>
      </c>
      <c r="B359">
        <v>10.57</v>
      </c>
    </row>
    <row r="360" spans="1:2" x14ac:dyDescent="0.3">
      <c r="A360" s="9">
        <v>344</v>
      </c>
      <c r="B360">
        <v>10.6</v>
      </c>
    </row>
    <row r="361" spans="1:2" x14ac:dyDescent="0.3">
      <c r="A361" s="9">
        <v>345</v>
      </c>
      <c r="B361">
        <v>10.62</v>
      </c>
    </row>
    <row r="362" spans="1:2" x14ac:dyDescent="0.3">
      <c r="A362" s="9">
        <v>346</v>
      </c>
      <c r="B362">
        <v>10.66</v>
      </c>
    </row>
    <row r="363" spans="1:2" x14ac:dyDescent="0.3">
      <c r="A363" s="9">
        <v>347</v>
      </c>
      <c r="B363">
        <v>10.68</v>
      </c>
    </row>
    <row r="364" spans="1:2" x14ac:dyDescent="0.3">
      <c r="A364" s="9">
        <v>348</v>
      </c>
      <c r="B364">
        <v>10.7</v>
      </c>
    </row>
    <row r="365" spans="1:2" x14ac:dyDescent="0.3">
      <c r="A365" s="9">
        <v>349</v>
      </c>
      <c r="B365">
        <v>10.74</v>
      </c>
    </row>
    <row r="366" spans="1:2" x14ac:dyDescent="0.3">
      <c r="A366" s="9">
        <v>350</v>
      </c>
      <c r="B366">
        <v>10.76</v>
      </c>
    </row>
    <row r="367" spans="1:2" x14ac:dyDescent="0.3">
      <c r="A367" s="9">
        <v>351</v>
      </c>
      <c r="B367">
        <v>10.79</v>
      </c>
    </row>
    <row r="368" spans="1:2" x14ac:dyDescent="0.3">
      <c r="A368" s="9">
        <v>352</v>
      </c>
      <c r="B368">
        <v>10.81</v>
      </c>
    </row>
    <row r="369" spans="1:2" x14ac:dyDescent="0.3">
      <c r="A369" s="9">
        <v>353</v>
      </c>
      <c r="B369">
        <v>10.85</v>
      </c>
    </row>
    <row r="370" spans="1:2" x14ac:dyDescent="0.3">
      <c r="A370" s="9">
        <v>354</v>
      </c>
      <c r="B370">
        <v>10.87</v>
      </c>
    </row>
    <row r="371" spans="1:2" x14ac:dyDescent="0.3">
      <c r="A371" s="9">
        <v>355</v>
      </c>
      <c r="B371">
        <v>10.9</v>
      </c>
    </row>
    <row r="372" spans="1:2" x14ac:dyDescent="0.3">
      <c r="A372" s="9">
        <v>356</v>
      </c>
      <c r="B372">
        <v>10.93</v>
      </c>
    </row>
    <row r="373" spans="1:2" x14ac:dyDescent="0.3">
      <c r="A373" s="9">
        <v>357</v>
      </c>
      <c r="B373">
        <v>10.96</v>
      </c>
    </row>
    <row r="374" spans="1:2" x14ac:dyDescent="0.3">
      <c r="A374" s="9">
        <v>358</v>
      </c>
      <c r="B374">
        <v>10.98</v>
      </c>
    </row>
    <row r="375" spans="1:2" x14ac:dyDescent="0.3">
      <c r="A375" s="9">
        <v>359</v>
      </c>
      <c r="B375">
        <v>11</v>
      </c>
    </row>
    <row r="376" spans="1:2" x14ac:dyDescent="0.3">
      <c r="A376" s="9">
        <v>360</v>
      </c>
      <c r="B376">
        <v>11.04</v>
      </c>
    </row>
    <row r="377" spans="1:2" x14ac:dyDescent="0.3">
      <c r="A377" s="9">
        <v>361</v>
      </c>
      <c r="B377">
        <v>11.06</v>
      </c>
    </row>
    <row r="378" spans="1:2" x14ac:dyDescent="0.3">
      <c r="A378" s="9">
        <v>362</v>
      </c>
      <c r="B378">
        <v>11.09</v>
      </c>
    </row>
    <row r="379" spans="1:2" x14ac:dyDescent="0.3">
      <c r="A379" s="9">
        <v>363</v>
      </c>
      <c r="B379">
        <v>11.12</v>
      </c>
    </row>
    <row r="380" spans="1:2" x14ac:dyDescent="0.3">
      <c r="A380" s="9">
        <v>364</v>
      </c>
      <c r="B380">
        <v>11.15</v>
      </c>
    </row>
    <row r="381" spans="1:2" x14ac:dyDescent="0.3">
      <c r="A381" s="9">
        <v>365</v>
      </c>
      <c r="B381">
        <v>11.17</v>
      </c>
    </row>
    <row r="382" spans="1:2" x14ac:dyDescent="0.3">
      <c r="A382" s="9">
        <v>366</v>
      </c>
      <c r="B382">
        <v>11.2</v>
      </c>
    </row>
    <row r="383" spans="1:2" x14ac:dyDescent="0.3">
      <c r="A383" s="9">
        <v>367</v>
      </c>
      <c r="B383">
        <v>11.23</v>
      </c>
    </row>
    <row r="384" spans="1:2" x14ac:dyDescent="0.3">
      <c r="A384" s="9">
        <v>368</v>
      </c>
      <c r="B384">
        <v>11.26</v>
      </c>
    </row>
    <row r="385" spans="1:2" x14ac:dyDescent="0.3">
      <c r="A385" s="9">
        <v>369</v>
      </c>
      <c r="B385">
        <v>11.28</v>
      </c>
    </row>
    <row r="386" spans="1:2" x14ac:dyDescent="0.3">
      <c r="A386" s="9">
        <v>370</v>
      </c>
      <c r="B386">
        <v>11.32</v>
      </c>
    </row>
    <row r="387" spans="1:2" x14ac:dyDescent="0.3">
      <c r="A387" s="9">
        <v>371</v>
      </c>
      <c r="B387">
        <v>11.34</v>
      </c>
    </row>
    <row r="388" spans="1:2" x14ac:dyDescent="0.3">
      <c r="A388" s="9">
        <v>372</v>
      </c>
      <c r="B388">
        <v>11.36</v>
      </c>
    </row>
    <row r="389" spans="1:2" x14ac:dyDescent="0.3">
      <c r="A389" s="9">
        <v>373</v>
      </c>
      <c r="B389">
        <v>11.39</v>
      </c>
    </row>
    <row r="390" spans="1:2" x14ac:dyDescent="0.3">
      <c r="A390" s="9">
        <v>374</v>
      </c>
      <c r="B390">
        <v>11.42</v>
      </c>
    </row>
    <row r="391" spans="1:2" x14ac:dyDescent="0.3">
      <c r="A391" s="9">
        <v>375</v>
      </c>
      <c r="B391">
        <v>11.45</v>
      </c>
    </row>
    <row r="392" spans="1:2" x14ac:dyDescent="0.3">
      <c r="A392" s="9">
        <v>376</v>
      </c>
      <c r="B392">
        <v>11.47</v>
      </c>
    </row>
    <row r="393" spans="1:2" x14ac:dyDescent="0.3">
      <c r="A393" s="9">
        <v>377</v>
      </c>
      <c r="B393">
        <v>11.5</v>
      </c>
    </row>
    <row r="394" spans="1:2" x14ac:dyDescent="0.3">
      <c r="A394" s="9">
        <v>378</v>
      </c>
      <c r="B394">
        <v>11.53</v>
      </c>
    </row>
    <row r="395" spans="1:2" x14ac:dyDescent="0.3">
      <c r="A395" s="9">
        <v>379</v>
      </c>
      <c r="B395">
        <v>11.56</v>
      </c>
    </row>
    <row r="396" spans="1:2" x14ac:dyDescent="0.3">
      <c r="A396" s="9">
        <v>380</v>
      </c>
      <c r="B396">
        <v>11.58</v>
      </c>
    </row>
    <row r="397" spans="1:2" x14ac:dyDescent="0.3">
      <c r="A397" s="9">
        <v>381</v>
      </c>
      <c r="B397">
        <v>11.62</v>
      </c>
    </row>
    <row r="398" spans="1:2" x14ac:dyDescent="0.3">
      <c r="A398" s="9">
        <v>382</v>
      </c>
      <c r="B398">
        <v>11.64</v>
      </c>
    </row>
    <row r="399" spans="1:2" x14ac:dyDescent="0.3">
      <c r="A399" s="9">
        <v>383</v>
      </c>
      <c r="B399">
        <v>11.66</v>
      </c>
    </row>
    <row r="400" spans="1:2" x14ac:dyDescent="0.3">
      <c r="A400" s="9">
        <v>384</v>
      </c>
      <c r="B400">
        <v>11.69</v>
      </c>
    </row>
    <row r="401" spans="1:2" x14ac:dyDescent="0.3">
      <c r="A401" s="9">
        <v>385</v>
      </c>
      <c r="B401">
        <v>11.72</v>
      </c>
    </row>
    <row r="402" spans="1:2" x14ac:dyDescent="0.3">
      <c r="A402" s="9">
        <v>386</v>
      </c>
      <c r="B402">
        <v>11.75</v>
      </c>
    </row>
    <row r="403" spans="1:2" x14ac:dyDescent="0.3">
      <c r="A403" s="9">
        <v>387</v>
      </c>
      <c r="B403">
        <v>11.77</v>
      </c>
    </row>
    <row r="404" spans="1:2" x14ac:dyDescent="0.3">
      <c r="A404" s="9">
        <v>388</v>
      </c>
      <c r="B404">
        <v>11.8</v>
      </c>
    </row>
    <row r="405" spans="1:2" x14ac:dyDescent="0.3">
      <c r="A405" s="9">
        <v>389</v>
      </c>
      <c r="B405">
        <v>11.83</v>
      </c>
    </row>
    <row r="406" spans="1:2" x14ac:dyDescent="0.3">
      <c r="A406" s="9">
        <v>390</v>
      </c>
      <c r="B406">
        <v>11.86</v>
      </c>
    </row>
    <row r="407" spans="1:2" x14ac:dyDescent="0.3">
      <c r="A407" s="9">
        <v>391</v>
      </c>
      <c r="B407">
        <v>11.88</v>
      </c>
    </row>
    <row r="408" spans="1:2" x14ac:dyDescent="0.3">
      <c r="A408" s="9">
        <v>392</v>
      </c>
      <c r="B408">
        <v>11.92</v>
      </c>
    </row>
    <row r="409" spans="1:2" x14ac:dyDescent="0.3">
      <c r="A409" s="9">
        <v>393</v>
      </c>
      <c r="B409">
        <v>11.94</v>
      </c>
    </row>
    <row r="410" spans="1:2" x14ac:dyDescent="0.3">
      <c r="A410" s="9">
        <v>394</v>
      </c>
      <c r="B410">
        <v>11.96</v>
      </c>
    </row>
    <row r="411" spans="1:2" x14ac:dyDescent="0.3">
      <c r="A411" s="9">
        <v>395</v>
      </c>
      <c r="B411">
        <v>11.99</v>
      </c>
    </row>
    <row r="412" spans="1:2" x14ac:dyDescent="0.3">
      <c r="A412" s="9">
        <v>396</v>
      </c>
      <c r="B412">
        <v>12.02</v>
      </c>
    </row>
    <row r="413" spans="1:2" x14ac:dyDescent="0.3">
      <c r="A413" s="9">
        <v>397</v>
      </c>
      <c r="B413">
        <v>12.05</v>
      </c>
    </row>
    <row r="414" spans="1:2" x14ac:dyDescent="0.3">
      <c r="A414" s="9">
        <v>398</v>
      </c>
      <c r="B414">
        <v>12.07</v>
      </c>
    </row>
    <row r="415" spans="1:2" x14ac:dyDescent="0.3">
      <c r="A415" s="9">
        <v>399</v>
      </c>
      <c r="B415">
        <v>12.1</v>
      </c>
    </row>
    <row r="416" spans="1:2" x14ac:dyDescent="0.3">
      <c r="A416" s="9">
        <v>400</v>
      </c>
      <c r="B416">
        <v>12.13</v>
      </c>
    </row>
  </sheetData>
  <dataValidations disablePrompts="1" count="3">
    <dataValidation type="whole" allowBlank="1" showInputMessage="1" showErrorMessage="1" errorTitle="Valor inválido" error="fator_potencia deve estar entre 0 e 1." sqref="K2" xr:uid="{00000000-0002-0000-0000-000000000000}">
      <formula1>0</formula1>
      <formula2>1</formula2>
    </dataValidation>
    <dataValidation type="whole" operator="equal" allowBlank="1" showInputMessage="1" showErrorMessage="1" errorTitle="DIVISOR_R inválido" error="DIVISOR_R deve ser maior que zero." sqref="F33:I33 I2:I32 G2:G32" xr:uid="{00000000-0002-0000-0000-000001000000}">
      <formula1>0</formula1>
    </dataValidation>
    <dataValidation operator="equal" allowBlank="1" showInputMessage="1" showErrorMessage="1" errorTitle="DIVISOR_R inválido" error="DIVISOR_R deve ser maior que zero." sqref="H2:H32 F2:F32" xr:uid="{5005450D-F523-447A-873E-E0DA5EB4D09E}"/>
  </dataValidations>
  <pageMargins left="0.511811024" right="0.511811024" top="0.78740157499999996" bottom="0.78740157499999996" header="0.31496062000000002" footer="0.31496062000000002"/>
  <pageSetup paperSize="9" orientation="portrait"/>
  <legacy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68"/>
  <sheetViews>
    <sheetView workbookViewId="0">
      <selection activeCell="D9" sqref="D9:D10"/>
    </sheetView>
  </sheetViews>
  <sheetFormatPr defaultRowHeight="14.4" x14ac:dyDescent="0.3"/>
  <cols>
    <col min="2" max="2" width="11.33203125" bestFit="1" customWidth="1"/>
    <col min="3" max="3" width="14.109375" customWidth="1"/>
    <col min="4" max="4" width="15.44140625" customWidth="1"/>
    <col min="7" max="7" width="10.5546875" bestFit="1" customWidth="1"/>
    <col min="9" max="9" width="10.88671875" bestFit="1" customWidth="1"/>
    <col min="10" max="10" width="9.5546875" bestFit="1" customWidth="1"/>
    <col min="11" max="11" width="10.5546875" bestFit="1" customWidth="1"/>
    <col min="12" max="12" width="8" customWidth="1"/>
    <col min="16" max="16" width="16.5546875" bestFit="1" customWidth="1"/>
  </cols>
  <sheetData>
    <row r="2" spans="2:18" x14ac:dyDescent="0.3">
      <c r="B2" s="9" t="s">
        <v>13</v>
      </c>
      <c r="C2" s="9" t="s">
        <v>146</v>
      </c>
      <c r="D2" s="9" t="s">
        <v>147</v>
      </c>
      <c r="F2" t="s">
        <v>335</v>
      </c>
      <c r="G2" t="s">
        <v>297</v>
      </c>
      <c r="I2" t="s">
        <v>308</v>
      </c>
      <c r="J2" t="s">
        <v>26</v>
      </c>
      <c r="K2" t="s">
        <v>27</v>
      </c>
      <c r="L2" t="s">
        <v>300</v>
      </c>
      <c r="Q2" t="s">
        <v>26</v>
      </c>
      <c r="R2" t="s">
        <v>27</v>
      </c>
    </row>
    <row r="3" spans="2:18" x14ac:dyDescent="0.3">
      <c r="B3" s="54">
        <v>1</v>
      </c>
      <c r="C3" s="175"/>
      <c r="D3" s="175"/>
      <c r="F3" s="90" t="str">
        <f>IF(Tabela13[[#This Row],[X / LAT / E]]="","",VLOOKUP(Tabela13[[#This Row],[PONTO]],RAMAIS_ATUAL,IF(PROJ1!$J$2="SIM",25,23),0))</f>
        <v/>
      </c>
      <c r="G3" s="59">
        <f>IFERROR(SQRT((D4-Tabela13[[#This Row],[Y / LON / N]])^2+(C4-Tabela13[[#This Row],[X / LAT / E]])^2),"")</f>
        <v>0</v>
      </c>
      <c r="I3">
        <v>1</v>
      </c>
      <c r="J3" s="59"/>
      <c r="K3" s="59"/>
      <c r="M3" t="s">
        <v>337</v>
      </c>
      <c r="O3" t="s">
        <v>302</v>
      </c>
      <c r="P3">
        <v>25</v>
      </c>
      <c r="Q3">
        <f>VLOOKUP(P3,Tabela13[],2,0)</f>
        <v>0</v>
      </c>
      <c r="R3">
        <f>VLOOKUP(P3,Tabela13[],3,0)</f>
        <v>0</v>
      </c>
    </row>
    <row r="4" spans="2:18" x14ac:dyDescent="0.3">
      <c r="B4" s="54">
        <v>2</v>
      </c>
      <c r="C4" s="175"/>
      <c r="D4" s="175"/>
      <c r="F4" s="90" t="str">
        <f>IF(Tabela13[[#This Row],[X / LAT / E]]="","",VLOOKUP(Tabela13[[#This Row],[PONTO]],RAMAIS_ATUAL,IF(PROJ1!$J$2="SIM",25,23),0))</f>
        <v/>
      </c>
      <c r="G4" s="59">
        <f>SQRT((D5-Tabela13[[#This Row],[Y / LON / N]])^2+(C5-Tabela13[[#This Row],[X / LAT / E]])^2)</f>
        <v>0</v>
      </c>
      <c r="I4">
        <v>2</v>
      </c>
      <c r="J4" s="59"/>
      <c r="K4" s="59"/>
      <c r="M4" t="s">
        <v>337</v>
      </c>
      <c r="O4" t="s">
        <v>303</v>
      </c>
      <c r="P4">
        <v>24</v>
      </c>
      <c r="Q4">
        <f>VLOOKUP(P4,Tabela13[],2,0)</f>
        <v>0</v>
      </c>
      <c r="R4">
        <f>VLOOKUP(P4,Tabela13[],3,0)</f>
        <v>0</v>
      </c>
    </row>
    <row r="5" spans="2:18" x14ac:dyDescent="0.3">
      <c r="B5" s="54">
        <v>3</v>
      </c>
      <c r="C5" s="175"/>
      <c r="D5" s="175"/>
      <c r="F5" s="90" t="str">
        <f>IF(Tabela13[[#This Row],[X / LAT / E]]="","",VLOOKUP(Tabela13[[#This Row],[PONTO]],RAMAIS_ATUAL,IF(PROJ1!$J$2="SIM",25,23),0))</f>
        <v/>
      </c>
      <c r="G5" s="59">
        <f>SQRT((D6-Tabela13[[#This Row],[Y / LON / N]])^2+(C6-Tabela13[[#This Row],[X / LAT / E]])^2)</f>
        <v>0</v>
      </c>
      <c r="I5">
        <v>3</v>
      </c>
      <c r="J5" s="59"/>
      <c r="K5" s="59"/>
      <c r="M5" t="s">
        <v>337</v>
      </c>
    </row>
    <row r="6" spans="2:18" x14ac:dyDescent="0.3">
      <c r="B6" s="54">
        <v>4</v>
      </c>
      <c r="C6" s="175"/>
      <c r="D6" s="175"/>
      <c r="F6" s="90" t="str">
        <f>IF(Tabela13[[#This Row],[X / LAT / E]]="","",VLOOKUP(Tabela13[[#This Row],[PONTO]],RAMAIS_ATUAL,IF(PROJ1!$J$2="SIM",25,23),0))</f>
        <v/>
      </c>
      <c r="G6" s="59">
        <f>SQRT((D7-Tabela13[[#This Row],[Y / LON / N]])^2+(C7-Tabela13[[#This Row],[X / LAT / E]])^2)</f>
        <v>0</v>
      </c>
      <c r="I6">
        <v>4</v>
      </c>
      <c r="J6" s="59"/>
      <c r="K6" s="59"/>
    </row>
    <row r="7" spans="2:18" x14ac:dyDescent="0.3">
      <c r="B7" s="54">
        <v>5</v>
      </c>
      <c r="C7" s="175"/>
      <c r="D7" s="175"/>
      <c r="F7" s="90" t="str">
        <f>IF(Tabela13[[#This Row],[X / LAT / E]]="","",VLOOKUP(Tabela13[[#This Row],[PONTO]],RAMAIS_ATUAL,IF(PROJ1!$J$2="SIM",25,23),0))</f>
        <v/>
      </c>
      <c r="G7" s="59">
        <f>SQRT((D8-Tabela13[[#This Row],[Y / LON / N]])^2+(C8-Tabela13[[#This Row],[X / LAT / E]])^2)</f>
        <v>0</v>
      </c>
      <c r="I7">
        <v>5</v>
      </c>
      <c r="J7" s="59"/>
      <c r="K7" s="59"/>
      <c r="Q7" t="s">
        <v>304</v>
      </c>
      <c r="R7" s="59">
        <f>ROUNDDOWN(SQRT((R4-R3)^2+(Q4-Q3)^2),0)</f>
        <v>0</v>
      </c>
    </row>
    <row r="8" spans="2:18" x14ac:dyDescent="0.3">
      <c r="B8" s="54">
        <v>6</v>
      </c>
      <c r="C8" s="175"/>
      <c r="D8" s="175"/>
      <c r="F8" s="90" t="str">
        <f>IF(Tabela13[[#This Row],[X / LAT / E]]="","",VLOOKUP(Tabela13[[#This Row],[PONTO]],RAMAIS_ATUAL,IF(PROJ1!$J$2="SIM",25,23),0))</f>
        <v/>
      </c>
      <c r="G8" s="59">
        <f>SQRT((D9-Tabela13[[#This Row],[Y / LON / N]])^2+(C9-Tabela13[[#This Row],[X / LAT / E]])^2)</f>
        <v>0</v>
      </c>
      <c r="I8">
        <v>6</v>
      </c>
      <c r="J8" s="59"/>
      <c r="K8" s="59"/>
    </row>
    <row r="9" spans="2:18" x14ac:dyDescent="0.3">
      <c r="B9" s="54">
        <v>7</v>
      </c>
      <c r="C9" s="175"/>
      <c r="D9" s="175"/>
      <c r="F9" s="90" t="str">
        <f>IF(Tabela13[[#This Row],[X / LAT / E]]="","",VLOOKUP(Tabela13[[#This Row],[PONTO]],RAMAIS_ATUAL,IF(PROJ1!$J$2="SIM",25,23),0))</f>
        <v/>
      </c>
      <c r="G9" s="59">
        <f>SQRT((D10-Tabela13[[#This Row],[Y / LON / N]])^2+(C10-Tabela13[[#This Row],[X / LAT / E]])^2)</f>
        <v>0</v>
      </c>
      <c r="I9">
        <v>7</v>
      </c>
      <c r="J9" s="59"/>
      <c r="K9" s="59"/>
    </row>
    <row r="10" spans="2:18" x14ac:dyDescent="0.3">
      <c r="B10" s="54">
        <v>8</v>
      </c>
      <c r="C10" s="175"/>
      <c r="D10" s="175"/>
      <c r="F10" s="90" t="str">
        <f>IF(Tabela13[[#This Row],[X / LAT / E]]="","",VLOOKUP(Tabela13[[#This Row],[PONTO]],RAMAIS_ATUAL,IF(PROJ1!$J$2="SIM",25,23),0))</f>
        <v/>
      </c>
      <c r="G10" s="59">
        <f>SQRT((D11-Tabela13[[#This Row],[Y / LON / N]])^2+(C11-Tabela13[[#This Row],[X / LAT / E]])^2)</f>
        <v>0</v>
      </c>
      <c r="I10">
        <v>8</v>
      </c>
      <c r="J10" s="59"/>
      <c r="K10" s="59"/>
      <c r="O10" s="204" t="s">
        <v>36</v>
      </c>
      <c r="P10" s="205"/>
    </row>
    <row r="11" spans="2:18" x14ac:dyDescent="0.3">
      <c r="B11" s="54">
        <v>9</v>
      </c>
      <c r="C11" s="175"/>
      <c r="D11" s="175"/>
      <c r="F11" s="90" t="str">
        <f>IF(Tabela13[[#This Row],[X / LAT / E]]="","",VLOOKUP(Tabela13[[#This Row],[PONTO]],RAMAIS_ATUAL,IF(PROJ1!$J$2="SIM",25,23),0))</f>
        <v/>
      </c>
      <c r="G11" s="59">
        <f>SQRT((D12-Tabela13[[#This Row],[Y / LON / N]])^2+(C12-Tabela13[[#This Row],[X / LAT / E]])^2)</f>
        <v>0</v>
      </c>
      <c r="I11">
        <v>9</v>
      </c>
      <c r="J11" s="59"/>
      <c r="K11" s="59"/>
      <c r="O11" s="206"/>
      <c r="P11" s="206"/>
    </row>
    <row r="12" spans="2:18" x14ac:dyDescent="0.3">
      <c r="B12" s="54">
        <v>10</v>
      </c>
      <c r="C12" s="175"/>
      <c r="D12" s="175"/>
      <c r="F12" s="90" t="str">
        <f>IF(Tabela13[[#This Row],[X / LAT / E]]="","",VLOOKUP(Tabela13[[#This Row],[PONTO]],RAMAIS_ATUAL,IF(PROJ1!$J$2="SIM",25,23),0))</f>
        <v/>
      </c>
      <c r="G12" s="59">
        <f>SQRT((D13-Tabela13[[#This Row],[Y / LON / N]])^2+(C13-Tabela13[[#This Row],[X / LAT / E]])^2)</f>
        <v>0</v>
      </c>
      <c r="I12">
        <v>10</v>
      </c>
      <c r="J12" s="59"/>
      <c r="K12" s="59"/>
      <c r="O12" s="11" t="s">
        <v>26</v>
      </c>
      <c r="P12" s="13" t="str">
        <f>IFERROR(SUMPRODUCT($F$3:$F$63,Tabela13[X / LAT / E])/SUM(F3:F63),"INSERIR DADOS")</f>
        <v>INSERIR DADOS</v>
      </c>
    </row>
    <row r="13" spans="2:18" x14ac:dyDescent="0.3">
      <c r="B13" s="54">
        <v>11</v>
      </c>
      <c r="C13" s="175"/>
      <c r="D13" s="175"/>
      <c r="F13" s="90" t="str">
        <f>IF(Tabela13[[#This Row],[X / LAT / E]]="","",VLOOKUP(Tabela13[[#This Row],[PONTO]],RAMAIS_ATUAL,IF(PROJ1!$J$2="SIM",25,23),0))</f>
        <v/>
      </c>
      <c r="G13" s="59">
        <f>SQRT((D14-Tabela13[[#This Row],[Y / LON / N]])^2+(C14-Tabela13[[#This Row],[X / LAT / E]])^2)</f>
        <v>0</v>
      </c>
      <c r="I13">
        <v>11</v>
      </c>
      <c r="J13" s="59"/>
      <c r="K13" s="59"/>
      <c r="O13" s="12" t="s">
        <v>27</v>
      </c>
      <c r="P13" s="13" t="str">
        <f>IFERROR(SUMPRODUCT(F3:F63,Tabela13[Y / LON / N])/SUM($F$3:$F$63),"INSERIR DADOS")</f>
        <v>INSERIR DADOS</v>
      </c>
    </row>
    <row r="14" spans="2:18" x14ac:dyDescent="0.3">
      <c r="B14" s="54">
        <v>12</v>
      </c>
      <c r="C14" s="175"/>
      <c r="D14" s="175"/>
      <c r="F14" s="90" t="str">
        <f>IF(Tabela13[[#This Row],[X / LAT / E]]="","",VLOOKUP(Tabela13[[#This Row],[PONTO]],RAMAIS_ATUAL,IF(PROJ1!$J$2="SIM",25,23),0))</f>
        <v/>
      </c>
      <c r="G14" s="59">
        <f>SQRT((D15-Tabela13[[#This Row],[Y / LON / N]])^2+(C15-Tabela13[[#This Row],[X / LAT / E]])^2)</f>
        <v>0</v>
      </c>
      <c r="I14">
        <v>12</v>
      </c>
      <c r="J14" s="59"/>
      <c r="K14" s="59"/>
      <c r="O14" s="74"/>
      <c r="Q14" s="102"/>
    </row>
    <row r="15" spans="2:18" x14ac:dyDescent="0.3">
      <c r="B15" s="54">
        <v>13</v>
      </c>
      <c r="C15" s="175"/>
      <c r="D15" s="175"/>
      <c r="F15" s="90" t="str">
        <f>IF(Tabela13[[#This Row],[X / LAT / E]]="","",VLOOKUP(Tabela13[[#This Row],[PONTO]],RAMAIS_ATUAL,IF(PROJ1!$J$2="SIM",25,23),0))</f>
        <v/>
      </c>
      <c r="G15" s="59">
        <f>SQRT((D16-Tabela13[[#This Row],[Y / LON / N]])^2+(C16-Tabela13[[#This Row],[X / LAT / E]])^2)</f>
        <v>0</v>
      </c>
      <c r="I15">
        <v>13</v>
      </c>
      <c r="J15" s="59"/>
      <c r="K15" s="59"/>
      <c r="O15" s="74"/>
      <c r="Q15" s="102"/>
    </row>
    <row r="16" spans="2:18" x14ac:dyDescent="0.3">
      <c r="B16" s="54">
        <v>14</v>
      </c>
      <c r="C16" s="175"/>
      <c r="D16" s="175"/>
      <c r="F16" s="90" t="str">
        <f>IF(Tabela13[[#This Row],[X / LAT / E]]="","",VLOOKUP(Tabela13[[#This Row],[PONTO]],RAMAIS_ATUAL,IF(PROJ1!$J$2="SIM",25,23),0))</f>
        <v/>
      </c>
      <c r="G16" s="59">
        <f>SQRT((D17-Tabela13[[#This Row],[Y / LON / N]])^2+(C17-Tabela13[[#This Row],[X / LAT / E]])^2)</f>
        <v>0</v>
      </c>
      <c r="I16">
        <v>14</v>
      </c>
      <c r="J16" s="59"/>
      <c r="K16" s="59"/>
      <c r="O16" s="74"/>
      <c r="Q16" s="102"/>
    </row>
    <row r="17" spans="2:17" x14ac:dyDescent="0.3">
      <c r="B17" s="54">
        <v>15</v>
      </c>
      <c r="C17" s="175"/>
      <c r="D17" s="175"/>
      <c r="F17" s="90" t="str">
        <f>IF(Tabela13[[#This Row],[X / LAT / E]]="","",VLOOKUP(Tabela13[[#This Row],[PONTO]],RAMAIS_ATUAL,IF(PROJ1!$J$2="SIM",25,23),0))</f>
        <v/>
      </c>
      <c r="G17" s="59">
        <f>SQRT((D18-Tabela13[[#This Row],[Y / LON / N]])^2+(C18-Tabela13[[#This Row],[X / LAT / E]])^2)</f>
        <v>0</v>
      </c>
      <c r="I17">
        <v>15</v>
      </c>
      <c r="J17" s="59"/>
      <c r="K17" s="59"/>
      <c r="Q17" s="102"/>
    </row>
    <row r="18" spans="2:17" x14ac:dyDescent="0.3">
      <c r="B18" s="54">
        <v>16</v>
      </c>
      <c r="C18" s="175"/>
      <c r="D18" s="175"/>
      <c r="F18" s="90" t="str">
        <f>IF(Tabela13[[#This Row],[X / LAT / E]]="","",VLOOKUP(Tabela13[[#This Row],[PONTO]],RAMAIS_ATUAL,IF(PROJ1!$J$2="SIM",25,23),0))</f>
        <v/>
      </c>
      <c r="G18" s="59">
        <f>SQRT((D19-Tabela13[[#This Row],[Y / LON / N]])^2+(C19-Tabela13[[#This Row],[X / LAT / E]])^2)</f>
        <v>0</v>
      </c>
      <c r="I18">
        <v>15</v>
      </c>
      <c r="J18" s="59"/>
      <c r="K18" s="59"/>
      <c r="Q18" s="74"/>
    </row>
    <row r="19" spans="2:17" x14ac:dyDescent="0.3">
      <c r="B19" s="54">
        <v>17</v>
      </c>
      <c r="C19" s="175"/>
      <c r="D19" s="175"/>
      <c r="F19" s="90" t="str">
        <f>IF(Tabela13[[#This Row],[X / LAT / E]]="","",VLOOKUP(Tabela13[[#This Row],[PONTO]],RAMAIS_ATUAL,IF(PROJ1!$J$2="SIM",25,23),0))</f>
        <v/>
      </c>
      <c r="G19" s="59">
        <f>SQRT((D20-Tabela13[[#This Row],[Y / LON / N]])^2+(C20-Tabela13[[#This Row],[X / LAT / E]])^2)</f>
        <v>0</v>
      </c>
      <c r="I19">
        <v>16</v>
      </c>
      <c r="J19" s="59"/>
      <c r="K19" s="59"/>
    </row>
    <row r="20" spans="2:17" x14ac:dyDescent="0.3">
      <c r="B20" s="54">
        <v>18</v>
      </c>
      <c r="C20" s="175"/>
      <c r="D20" s="175"/>
      <c r="F20" s="90" t="str">
        <f>IF(Tabela13[[#This Row],[X / LAT / E]]="","",VLOOKUP(Tabela13[[#This Row],[PONTO]],RAMAIS_ATUAL,IF(PROJ1!$J$2="SIM",25,23),0))</f>
        <v/>
      </c>
      <c r="G20" s="59">
        <f>SQRT((D21-Tabela13[[#This Row],[Y / LON / N]])^2+(C21-Tabela13[[#This Row],[X / LAT / E]])^2)</f>
        <v>0</v>
      </c>
      <c r="I20">
        <v>17</v>
      </c>
      <c r="J20" s="59"/>
      <c r="K20" s="59"/>
    </row>
    <row r="21" spans="2:17" x14ac:dyDescent="0.3">
      <c r="B21" s="54">
        <v>19</v>
      </c>
      <c r="C21" s="175"/>
      <c r="D21" s="175"/>
      <c r="F21" s="90" t="str">
        <f>IF(Tabela13[[#This Row],[X / LAT / E]]="","",VLOOKUP(Tabela13[[#This Row],[PONTO]],RAMAIS_ATUAL,IF(PROJ1!$J$2="SIM",25,23),0))</f>
        <v/>
      </c>
      <c r="G21" s="59">
        <f>SQRT((D22-Tabela13[[#This Row],[Y / LON / N]])^2+(C22-Tabela13[[#This Row],[X / LAT / E]])^2)</f>
        <v>0</v>
      </c>
      <c r="I21">
        <v>18</v>
      </c>
      <c r="J21" s="59"/>
      <c r="K21" s="59"/>
      <c r="O21" s="74"/>
      <c r="Q21" s="102"/>
    </row>
    <row r="22" spans="2:17" x14ac:dyDescent="0.3">
      <c r="B22" s="54">
        <v>20</v>
      </c>
      <c r="C22" s="175"/>
      <c r="D22" s="175"/>
      <c r="F22" s="90" t="str">
        <f>IF(Tabela13[[#This Row],[X / LAT / E]]="","",VLOOKUP(Tabela13[[#This Row],[PONTO]],RAMAIS_ATUAL,IF(PROJ1!$J$2="SIM",25,23),0))</f>
        <v/>
      </c>
      <c r="G22" s="59">
        <f>SQRT((D23-Tabela13[[#This Row],[Y / LON / N]])^2+(C23-Tabela13[[#This Row],[X / LAT / E]])^2)</f>
        <v>0</v>
      </c>
      <c r="I22">
        <v>19</v>
      </c>
      <c r="J22" s="59"/>
      <c r="K22" s="59"/>
    </row>
    <row r="23" spans="2:17" x14ac:dyDescent="0.3">
      <c r="B23" s="54">
        <v>21</v>
      </c>
      <c r="C23" s="175"/>
      <c r="D23" s="175"/>
      <c r="F23" s="90" t="str">
        <f>IF(Tabela13[[#This Row],[X / LAT / E]]="","",VLOOKUP(Tabela13[[#This Row],[PONTO]],RAMAIS_ATUAL,IF(PROJ1!$J$2="SIM",25,23),0))</f>
        <v/>
      </c>
      <c r="G23" s="59">
        <f>SQRT((D24-Tabela13[[#This Row],[Y / LON / N]])^2+(C24-Tabela13[[#This Row],[X / LAT / E]])^2)</f>
        <v>0</v>
      </c>
      <c r="I23">
        <v>20</v>
      </c>
      <c r="J23" s="59"/>
      <c r="K23" s="59"/>
    </row>
    <row r="24" spans="2:17" x14ac:dyDescent="0.3">
      <c r="B24" s="54">
        <v>22</v>
      </c>
      <c r="C24" s="175"/>
      <c r="D24" s="175"/>
      <c r="F24" s="90" t="str">
        <f>IF(Tabela13[[#This Row],[X / LAT / E]]="","",VLOOKUP(Tabela13[[#This Row],[PONTO]],RAMAIS_ATUAL,IF(PROJ1!$J$2="SIM",25,23),0))</f>
        <v/>
      </c>
      <c r="G24" s="59">
        <f>SQRT((D25-Tabela13[[#This Row],[Y / LON / N]])^2+(C25-Tabela13[[#This Row],[X / LAT / E]])^2)</f>
        <v>0</v>
      </c>
      <c r="I24">
        <v>21</v>
      </c>
      <c r="J24" s="59"/>
      <c r="K24" s="59"/>
    </row>
    <row r="25" spans="2:17" x14ac:dyDescent="0.3">
      <c r="B25" s="54">
        <v>23</v>
      </c>
      <c r="C25" s="175"/>
      <c r="D25" s="175"/>
      <c r="F25" s="90" t="str">
        <f>IF(Tabela13[[#This Row],[X / LAT / E]]="","",VLOOKUP(Tabela13[[#This Row],[PONTO]],RAMAIS_ATUAL,IF(PROJ1!$J$2="SIM",25,23),0))</f>
        <v/>
      </c>
      <c r="G25" s="59">
        <f>SQRT((D26-Tabela13[[#This Row],[Y / LON / N]])^2+(C26-Tabela13[[#This Row],[X / LAT / E]])^2)</f>
        <v>0</v>
      </c>
      <c r="I25">
        <v>26</v>
      </c>
      <c r="J25" s="59"/>
      <c r="K25" s="59"/>
    </row>
    <row r="26" spans="2:17" x14ac:dyDescent="0.3">
      <c r="B26" s="54">
        <v>24</v>
      </c>
      <c r="C26" s="175"/>
      <c r="D26" s="175"/>
      <c r="F26" s="90" t="str">
        <f>IF(Tabela13[[#This Row],[X / LAT / E]]="","",VLOOKUP(Tabela13[[#This Row],[PONTO]],RAMAIS_ATUAL,IF(PROJ1!$J$2="SIM",25,23),0))</f>
        <v/>
      </c>
      <c r="G26" s="59">
        <f>SQRT((D27-Tabela13[[#This Row],[Y / LON / N]])^2+(C27-Tabela13[[#This Row],[X / LAT / E]])^2)</f>
        <v>0</v>
      </c>
      <c r="I26">
        <v>22</v>
      </c>
      <c r="J26" s="59"/>
      <c r="K26" s="59"/>
    </row>
    <row r="27" spans="2:17" x14ac:dyDescent="0.3">
      <c r="B27" s="54">
        <v>25</v>
      </c>
      <c r="C27" s="175"/>
      <c r="D27" s="175"/>
      <c r="F27" s="90" t="str">
        <f>IF(Tabela13[[#This Row],[X / LAT / E]]="","",VLOOKUP(Tabela13[[#This Row],[PONTO]],RAMAIS_ATUAL,IF(PROJ1!$J$2="SIM",25,23),0))</f>
        <v/>
      </c>
      <c r="G27" s="59">
        <f>SQRT((D28-Tabela13[[#This Row],[Y / LON / N]])^2+(C28-Tabela13[[#This Row],[X / LAT / E]])^2)</f>
        <v>0</v>
      </c>
      <c r="I27">
        <v>23</v>
      </c>
      <c r="J27" s="59"/>
      <c r="K27" s="59"/>
    </row>
    <row r="28" spans="2:17" x14ac:dyDescent="0.3">
      <c r="B28" s="54">
        <v>26</v>
      </c>
      <c r="C28" s="175"/>
      <c r="D28" s="175"/>
      <c r="F28" s="90" t="str">
        <f>IF(Tabela13[[#This Row],[X / LAT / E]]="","",VLOOKUP(Tabela13[[#This Row],[PONTO]],RAMAIS_ATUAL,IF(PROJ1!$J$2="SIM",25,23),0))</f>
        <v/>
      </c>
      <c r="G28" s="59">
        <f>SQRT((D29-Tabela13[[#This Row],[Y / LON / N]])^2+(C29-Tabela13[[#This Row],[X / LAT / E]])^2)</f>
        <v>0</v>
      </c>
      <c r="I28">
        <v>24</v>
      </c>
      <c r="J28" s="59"/>
      <c r="K28" s="59"/>
    </row>
    <row r="29" spans="2:17" x14ac:dyDescent="0.3">
      <c r="B29" s="54">
        <v>27</v>
      </c>
      <c r="C29" s="175"/>
      <c r="D29" s="175"/>
      <c r="F29" s="90" t="str">
        <f>IF(Tabela13[[#This Row],[X / LAT / E]]="","",VLOOKUP(Tabela13[[#This Row],[PONTO]],RAMAIS_ATUAL,IF(PROJ1!$J$2="SIM",25,23),0))</f>
        <v/>
      </c>
      <c r="G29" s="59">
        <f>SQRT((D30-Tabela13[[#This Row],[Y / LON / N]])^2+(C30-Tabela13[[#This Row],[X / LAT / E]])^2)</f>
        <v>0</v>
      </c>
      <c r="I29">
        <v>25</v>
      </c>
      <c r="J29" s="59"/>
      <c r="K29" s="59"/>
    </row>
    <row r="30" spans="2:17" x14ac:dyDescent="0.3">
      <c r="B30" s="54">
        <v>28</v>
      </c>
      <c r="C30" s="175"/>
      <c r="D30" s="175"/>
      <c r="F30" s="90" t="str">
        <f>IF(Tabela13[[#This Row],[X / LAT / E]]="","",VLOOKUP(Tabela13[[#This Row],[PONTO]],RAMAIS_ATUAL,IF(PROJ1!$J$2="SIM",25,23),0))</f>
        <v/>
      </c>
      <c r="G30" s="59">
        <f>SQRT((D31-Tabela13[[#This Row],[Y / LON / N]])^2+(C31-Tabela13[[#This Row],[X / LAT / E]])^2)</f>
        <v>0</v>
      </c>
      <c r="I30">
        <v>28</v>
      </c>
      <c r="J30" s="59"/>
      <c r="K30" s="59"/>
    </row>
    <row r="31" spans="2:17" x14ac:dyDescent="0.3">
      <c r="B31" s="54">
        <v>29</v>
      </c>
      <c r="C31" s="175"/>
      <c r="D31" s="175"/>
      <c r="F31" s="90" t="str">
        <f>IF(Tabela13[[#This Row],[X / LAT / E]]="","",VLOOKUP(Tabela13[[#This Row],[PONTO]],RAMAIS_ATUAL,IF(PROJ1!$J$2="SIM",25,23),0))</f>
        <v/>
      </c>
      <c r="G31" s="59">
        <f>SQRT((D32-Tabela13[[#This Row],[Y / LON / N]])^2+(C32-Tabela13[[#This Row],[X / LAT / E]])^2)</f>
        <v>0</v>
      </c>
      <c r="I31">
        <v>27</v>
      </c>
      <c r="J31" s="59"/>
      <c r="K31" s="59"/>
    </row>
    <row r="32" spans="2:17" x14ac:dyDescent="0.3">
      <c r="B32" s="54">
        <v>30</v>
      </c>
      <c r="C32" s="175"/>
      <c r="D32" s="175"/>
      <c r="F32" s="90" t="str">
        <f>IF(Tabela13[[#This Row],[X / LAT / E]]="","",VLOOKUP(Tabela13[[#This Row],[PONTO]],RAMAIS_ATUAL,IF(PROJ1!$J$2="SIM",25,23),0))</f>
        <v/>
      </c>
      <c r="G32" s="59">
        <f>SQRT((D33-Tabela13[[#This Row],[Y / LON / N]])^2+(C33-Tabela13[[#This Row],[X / LAT / E]])^2)</f>
        <v>0</v>
      </c>
      <c r="I32">
        <v>29</v>
      </c>
      <c r="J32" s="59"/>
      <c r="K32" s="59"/>
    </row>
    <row r="33" spans="2:11" x14ac:dyDescent="0.3">
      <c r="B33" s="54">
        <v>31</v>
      </c>
      <c r="C33" s="175"/>
      <c r="D33" s="175"/>
      <c r="F33" s="90" t="str">
        <f>IF(Tabela13[[#This Row],[X / LAT / E]]="","",VLOOKUP(Tabela13[[#This Row],[PONTO]],RAMAIS_ATUAL,IF(PROJ1!$J$2="SIM",25,23),0))</f>
        <v/>
      </c>
      <c r="G33" s="59">
        <f>SQRT((D34-Tabela13[[#This Row],[Y / LON / N]])^2+(C34-Tabela13[[#This Row],[X / LAT / E]])^2)</f>
        <v>0</v>
      </c>
      <c r="J33" s="59"/>
      <c r="K33" s="59"/>
    </row>
    <row r="34" spans="2:11" x14ac:dyDescent="0.3">
      <c r="B34" s="54">
        <v>32</v>
      </c>
      <c r="C34" s="175"/>
      <c r="D34" s="175"/>
      <c r="F34" s="90" t="str">
        <f>IF(Tabela13[[#This Row],[X / LAT / E]]="","",VLOOKUP(Tabela13[[#This Row],[PONTO]],RAMAIS_ATUAL,IF(PROJ1!$J$2="SIM",25,23),0))</f>
        <v/>
      </c>
      <c r="G34" s="59">
        <f>SQRT((D35-Tabela13[[#This Row],[Y / LON / N]])^2+(C35-Tabela13[[#This Row],[X / LAT / E]])^2)</f>
        <v>0</v>
      </c>
      <c r="J34" s="59"/>
      <c r="K34" s="59"/>
    </row>
    <row r="35" spans="2:11" x14ac:dyDescent="0.3">
      <c r="B35" s="54">
        <v>33</v>
      </c>
      <c r="C35" s="175"/>
      <c r="D35" s="175"/>
      <c r="F35" s="90" t="str">
        <f>IF(Tabela13[[#This Row],[X / LAT / E]]="","",VLOOKUP(Tabela13[[#This Row],[PONTO]],RAMAIS_ATUAL,IF(PROJ1!$J$2="SIM",25,23),0))</f>
        <v/>
      </c>
      <c r="G35" s="59">
        <f>SQRT((D36-Tabela13[[#This Row],[Y / LON / N]])^2+(C36-Tabela13[[#This Row],[X / LAT / E]])^2)</f>
        <v>0</v>
      </c>
      <c r="J35" s="59"/>
      <c r="K35" s="59"/>
    </row>
    <row r="36" spans="2:11" x14ac:dyDescent="0.3">
      <c r="B36" s="54">
        <v>34</v>
      </c>
      <c r="C36" s="175"/>
      <c r="D36" s="175"/>
      <c r="F36" s="90" t="str">
        <f>IF(Tabela13[[#This Row],[X / LAT / E]]="","",VLOOKUP(Tabela13[[#This Row],[PONTO]],RAMAIS_ATUAL,IF(PROJ1!$J$2="SIM",25,23),0))</f>
        <v/>
      </c>
      <c r="G36" s="59">
        <f>SQRT((D37-Tabela13[[#This Row],[Y / LON / N]])^2+(C37-Tabela13[[#This Row],[X / LAT / E]])^2)</f>
        <v>0</v>
      </c>
      <c r="J36" s="59"/>
      <c r="K36" s="59"/>
    </row>
    <row r="37" spans="2:11" x14ac:dyDescent="0.3">
      <c r="B37" s="54">
        <v>35</v>
      </c>
      <c r="C37" s="175"/>
      <c r="D37" s="175"/>
      <c r="F37" s="90" t="str">
        <f>IF(Tabela13[[#This Row],[X / LAT / E]]="","",VLOOKUP(Tabela13[[#This Row],[PONTO]],RAMAIS_ATUAL,IF(PROJ1!$J$2="SIM",25,23),0))</f>
        <v/>
      </c>
      <c r="G37" s="59">
        <f>SQRT((D38-Tabela13[[#This Row],[Y / LON / N]])^2+(C38-Tabela13[[#This Row],[X / LAT / E]])^2)</f>
        <v>0</v>
      </c>
      <c r="J37" s="59"/>
      <c r="K37" s="59"/>
    </row>
    <row r="38" spans="2:11" x14ac:dyDescent="0.3">
      <c r="B38" s="54">
        <v>36</v>
      </c>
      <c r="C38" s="175"/>
      <c r="D38" s="175"/>
      <c r="F38" s="90" t="str">
        <f>IF(Tabela13[[#This Row],[X / LAT / E]]="","",VLOOKUP(Tabela13[[#This Row],[PONTO]],RAMAIS_ATUAL,IF(PROJ1!$J$2="SIM",25,23),0))</f>
        <v/>
      </c>
      <c r="G38" s="59">
        <f>SQRT((D39-Tabela13[[#This Row],[Y / LON / N]])^2+(C39-Tabela13[[#This Row],[X / LAT / E]])^2)</f>
        <v>0</v>
      </c>
      <c r="J38" s="59"/>
      <c r="K38" s="59"/>
    </row>
    <row r="39" spans="2:11" x14ac:dyDescent="0.3">
      <c r="B39" s="54">
        <v>37</v>
      </c>
      <c r="C39" s="175"/>
      <c r="D39" s="175"/>
      <c r="F39" s="90" t="str">
        <f>IF(Tabela13[[#This Row],[X / LAT / E]]="","",VLOOKUP(Tabela13[[#This Row],[PONTO]],RAMAIS_ATUAL,IF(PROJ1!$J$2="SIM",25,23),0))</f>
        <v/>
      </c>
      <c r="G39" s="59">
        <f>SQRT((D40-Tabela13[[#This Row],[Y / LON / N]])^2+(C40-Tabela13[[#This Row],[X / LAT / E]])^2)</f>
        <v>0</v>
      </c>
      <c r="J39" s="59"/>
      <c r="K39" s="59"/>
    </row>
    <row r="40" spans="2:11" x14ac:dyDescent="0.3">
      <c r="B40" s="54">
        <v>38</v>
      </c>
      <c r="C40" s="175"/>
      <c r="D40" s="175"/>
      <c r="F40" s="90" t="str">
        <f>IF(Tabela13[[#This Row],[X / LAT / E]]="","",VLOOKUP(Tabela13[[#This Row],[PONTO]],RAMAIS_ATUAL,IF(PROJ1!$J$2="SIM",25,23),0))</f>
        <v/>
      </c>
      <c r="G40" s="59">
        <f>SQRT((D41-Tabela13[[#This Row],[Y / LON / N]])^2+(C41-Tabela13[[#This Row],[X / LAT / E]])^2)</f>
        <v>0</v>
      </c>
      <c r="J40" s="59"/>
      <c r="K40" s="59"/>
    </row>
    <row r="41" spans="2:11" x14ac:dyDescent="0.3">
      <c r="B41" s="54">
        <v>38</v>
      </c>
      <c r="C41" s="175"/>
      <c r="D41" s="175"/>
      <c r="F41" s="90" t="str">
        <f>IF(Tabela13[[#This Row],[X / LAT / E]]="","",VLOOKUP(Tabela13[[#This Row],[PONTO]],RAMAIS_ATUAL,IF(PROJ1!$J$2="SIM",25,23),0))</f>
        <v/>
      </c>
      <c r="G41" s="59">
        <f>SQRT((D42-Tabela13[[#This Row],[Y / LON / N]])^2+(C42-Tabela13[[#This Row],[X / LAT / E]])^2)</f>
        <v>0</v>
      </c>
      <c r="J41" s="59"/>
      <c r="K41" s="59"/>
    </row>
    <row r="42" spans="2:11" x14ac:dyDescent="0.3">
      <c r="B42" s="54">
        <v>39</v>
      </c>
      <c r="C42" s="175"/>
      <c r="D42" s="175"/>
      <c r="F42" s="90" t="str">
        <f>IF(Tabela13[[#This Row],[X / LAT / E]]="","",VLOOKUP(Tabela13[[#This Row],[PONTO]],RAMAIS_ATUAL,IF(PROJ1!$J$2="SIM",25,23),0))</f>
        <v/>
      </c>
      <c r="G42" s="59">
        <f>SQRT((D43-Tabela13[[#This Row],[Y / LON / N]])^2+(C43-Tabela13[[#This Row],[X / LAT / E]])^2)</f>
        <v>0</v>
      </c>
      <c r="J42" s="59"/>
      <c r="K42" s="59"/>
    </row>
    <row r="43" spans="2:11" x14ac:dyDescent="0.3">
      <c r="B43" s="54">
        <v>40</v>
      </c>
      <c r="C43" s="175"/>
      <c r="D43" s="175"/>
      <c r="F43" s="90" t="str">
        <f>IF(Tabela13[[#This Row],[X / LAT / E]]="","",VLOOKUP(Tabela13[[#This Row],[PONTO]],RAMAIS_ATUAL,IF(PROJ1!$J$2="SIM",25,23),0))</f>
        <v/>
      </c>
      <c r="G43" s="59">
        <f>SQRT((D44-Tabela13[[#This Row],[Y / LON / N]])^2+(C44-Tabela13[[#This Row],[X / LAT / E]])^2)</f>
        <v>0</v>
      </c>
      <c r="J43" s="59"/>
      <c r="K43" s="59"/>
    </row>
    <row r="44" spans="2:11" x14ac:dyDescent="0.3">
      <c r="B44" s="54">
        <v>41</v>
      </c>
      <c r="C44" s="175"/>
      <c r="D44" s="175"/>
      <c r="F44" s="90" t="str">
        <f>IF(Tabela13[[#This Row],[X / LAT / E]]="","",VLOOKUP(Tabela13[[#This Row],[PONTO]],RAMAIS_ATUAL,IF(PROJ1!$J$2="SIM",25,23),0))</f>
        <v/>
      </c>
      <c r="G44" s="59">
        <f>SQRT((D45-Tabela13[[#This Row],[Y / LON / N]])^2+(C45-Tabela13[[#This Row],[X / LAT / E]])^2)</f>
        <v>0</v>
      </c>
      <c r="J44" s="59"/>
      <c r="K44" s="59"/>
    </row>
    <row r="45" spans="2:11" x14ac:dyDescent="0.3">
      <c r="B45" s="54">
        <v>42</v>
      </c>
      <c r="C45" s="175"/>
      <c r="D45" s="175"/>
      <c r="F45" s="90" t="str">
        <f>IF(Tabela13[[#This Row],[X / LAT / E]]="","",VLOOKUP(Tabela13[[#This Row],[PONTO]],RAMAIS_ATUAL,IF(PROJ1!$J$2="SIM",25,23),0))</f>
        <v/>
      </c>
      <c r="G45" s="59">
        <f>SQRT((D46-Tabela13[[#This Row],[Y / LON / N]])^2+(C46-Tabela13[[#This Row],[X / LAT / E]])^2)</f>
        <v>0</v>
      </c>
      <c r="J45" s="59"/>
      <c r="K45" s="59"/>
    </row>
    <row r="46" spans="2:11" x14ac:dyDescent="0.3">
      <c r="B46" s="54">
        <v>43</v>
      </c>
      <c r="C46" s="175"/>
      <c r="D46" s="175"/>
      <c r="F46" s="90" t="str">
        <f>IF(Tabela13[[#This Row],[X / LAT / E]]="","",VLOOKUP(Tabela13[[#This Row],[PONTO]],RAMAIS_ATUAL,IF(PROJ1!$J$2="SIM",25,23),0))</f>
        <v/>
      </c>
      <c r="G46" s="59">
        <f>SQRT((D47-Tabela13[[#This Row],[Y / LON / N]])^2+(C47-Tabela13[[#This Row],[X / LAT / E]])^2)</f>
        <v>0</v>
      </c>
      <c r="J46" s="59"/>
      <c r="K46" s="59"/>
    </row>
    <row r="47" spans="2:11" x14ac:dyDescent="0.3">
      <c r="B47" s="54">
        <v>44</v>
      </c>
      <c r="C47" s="175"/>
      <c r="D47" s="175"/>
      <c r="F47" s="90" t="str">
        <f>IF(Tabela13[[#This Row],[X / LAT / E]]="","",VLOOKUP(Tabela13[[#This Row],[PONTO]],RAMAIS_ATUAL,IF(PROJ1!$J$2="SIM",25,23),0))</f>
        <v/>
      </c>
      <c r="G47" s="59">
        <f>SQRT((D48-Tabela13[[#This Row],[Y / LON / N]])^2+(C48-Tabela13[[#This Row],[X / LAT / E]])^2)</f>
        <v>0</v>
      </c>
      <c r="J47" s="59"/>
      <c r="K47" s="59"/>
    </row>
    <row r="48" spans="2:11" x14ac:dyDescent="0.3">
      <c r="B48" s="54">
        <v>45</v>
      </c>
      <c r="C48" s="175"/>
      <c r="D48" s="175"/>
      <c r="F48" s="90" t="str">
        <f>IF(Tabela13[[#This Row],[X / LAT / E]]="","",VLOOKUP(Tabela13[[#This Row],[PONTO]],RAMAIS_ATUAL,IF(PROJ1!$J$2="SIM",25,23),0))</f>
        <v/>
      </c>
      <c r="G48" s="59">
        <f>SQRT((D49-Tabela13[[#This Row],[Y / LON / N]])^2+(C49-Tabela13[[#This Row],[X / LAT / E]])^2)</f>
        <v>0</v>
      </c>
      <c r="J48" s="59"/>
      <c r="K48" s="59"/>
    </row>
    <row r="49" spans="2:7" x14ac:dyDescent="0.3">
      <c r="B49" s="54">
        <v>46</v>
      </c>
      <c r="C49" s="175"/>
      <c r="D49" s="175"/>
      <c r="F49" s="90" t="str">
        <f>IF(Tabela13[[#This Row],[X / LAT / E]]="","",VLOOKUP(Tabela13[[#This Row],[PONTO]],RAMAIS_ATUAL,IF(PROJ1!$J$2="SIM",25,23),0))</f>
        <v/>
      </c>
      <c r="G49" s="59">
        <f>SQRT((D50-Tabela13[[#This Row],[Y / LON / N]])^2+(C50-Tabela13[[#This Row],[X / LAT / E]])^2)</f>
        <v>0</v>
      </c>
    </row>
    <row r="50" spans="2:7" x14ac:dyDescent="0.3">
      <c r="B50" s="54">
        <v>47</v>
      </c>
      <c r="C50" s="175"/>
      <c r="D50" s="175"/>
      <c r="F50" s="90" t="str">
        <f>IF(Tabela13[[#This Row],[X / LAT / E]]="","",VLOOKUP(Tabela13[[#This Row],[PONTO]],RAMAIS_ATUAL,IF(PROJ1!$J$2="SIM",25,23),0))</f>
        <v/>
      </c>
      <c r="G50" s="59">
        <f>SQRT((D51-Tabela13[[#This Row],[Y / LON / N]])^2+(C51-Tabela13[[#This Row],[X / LAT / E]])^2)</f>
        <v>0</v>
      </c>
    </row>
    <row r="51" spans="2:7" x14ac:dyDescent="0.3">
      <c r="B51" s="54">
        <v>48</v>
      </c>
      <c r="C51" s="175"/>
      <c r="D51" s="175"/>
      <c r="F51" s="90" t="str">
        <f>IF(Tabela13[[#This Row],[X / LAT / E]]="","",VLOOKUP(Tabela13[[#This Row],[PONTO]],RAMAIS_ATUAL,IF(PROJ1!$J$2="SIM",25,23),0))</f>
        <v/>
      </c>
      <c r="G51" s="59">
        <f>SQRT((D52-Tabela13[[#This Row],[Y / LON / N]])^2+(C52-Tabela13[[#This Row],[X / LAT / E]])^2)</f>
        <v>0</v>
      </c>
    </row>
    <row r="52" spans="2:7" x14ac:dyDescent="0.3">
      <c r="B52" s="54">
        <v>49</v>
      </c>
      <c r="C52" s="175"/>
      <c r="D52" s="175"/>
      <c r="F52" s="90" t="str">
        <f>IF(Tabela13[[#This Row],[X / LAT / E]]="","",VLOOKUP(Tabela13[[#This Row],[PONTO]],RAMAIS_ATUAL,IF(PROJ1!$J$2="SIM",25,23),0))</f>
        <v/>
      </c>
      <c r="G52" s="59">
        <f>SQRT((D53-Tabela13[[#This Row],[Y / LON / N]])^2+(C53-Tabela13[[#This Row],[X / LAT / E]])^2)</f>
        <v>0</v>
      </c>
    </row>
    <row r="53" spans="2:7" x14ac:dyDescent="0.3">
      <c r="B53" s="54">
        <v>50</v>
      </c>
      <c r="C53" s="175"/>
      <c r="D53" s="175"/>
      <c r="F53" s="90" t="str">
        <f>IF(Tabela13[[#This Row],[X / LAT / E]]="","",VLOOKUP(Tabela13[[#This Row],[PONTO]],RAMAIS_ATUAL,IF(PROJ1!$J$2="SIM",25,23),0))</f>
        <v/>
      </c>
      <c r="G53" s="59">
        <f>SQRT((D54-Tabela13[[#This Row],[Y / LON / N]])^2+(C54-Tabela13[[#This Row],[X / LAT / E]])^2)</f>
        <v>0</v>
      </c>
    </row>
    <row r="54" spans="2:7" x14ac:dyDescent="0.3">
      <c r="B54" s="54">
        <v>51</v>
      </c>
      <c r="C54" s="175"/>
      <c r="D54" s="175"/>
      <c r="F54" s="90" t="str">
        <f>IF(Tabela13[[#This Row],[X / LAT / E]]="","",VLOOKUP(Tabela13[[#This Row],[PONTO]],RAMAIS_ATUAL,IF(PROJ1!$J$2="SIM",25,23),0))</f>
        <v/>
      </c>
      <c r="G54" s="59">
        <f>SQRT((D55-Tabela13[[#This Row],[Y / LON / N]])^2+(C55-Tabela13[[#This Row],[X / LAT / E]])^2)</f>
        <v>0</v>
      </c>
    </row>
    <row r="55" spans="2:7" x14ac:dyDescent="0.3">
      <c r="B55" s="54">
        <v>52</v>
      </c>
      <c r="C55" s="175"/>
      <c r="D55" s="175"/>
      <c r="F55" s="90" t="str">
        <f>IF(Tabela13[[#This Row],[X / LAT / E]]="","",VLOOKUP(Tabela13[[#This Row],[PONTO]],RAMAIS_ATUAL,IF(PROJ1!$J$2="SIM",25,23),0))</f>
        <v/>
      </c>
      <c r="G55" s="59">
        <f>SQRT((D56-Tabela13[[#This Row],[Y / LON / N]])^2+(C56-Tabela13[[#This Row],[X / LAT / E]])^2)</f>
        <v>0</v>
      </c>
    </row>
    <row r="56" spans="2:7" x14ac:dyDescent="0.3">
      <c r="B56" s="54">
        <v>53</v>
      </c>
      <c r="C56" s="175"/>
      <c r="D56" s="175"/>
      <c r="F56" s="90" t="str">
        <f>IF(Tabela13[[#This Row],[X / LAT / E]]="","",VLOOKUP(Tabela13[[#This Row],[PONTO]],RAMAIS_ATUAL,IF(PROJ1!$J$2="SIM",25,23),0))</f>
        <v/>
      </c>
      <c r="G56" s="59">
        <f>SQRT((D57-Tabela13[[#This Row],[Y / LON / N]])^2+(C57-Tabela13[[#This Row],[X / LAT / E]])^2)</f>
        <v>0</v>
      </c>
    </row>
    <row r="57" spans="2:7" x14ac:dyDescent="0.3">
      <c r="B57" s="54">
        <v>54</v>
      </c>
      <c r="C57" s="128"/>
      <c r="D57" s="128"/>
      <c r="F57" s="90" t="str">
        <f>IF(Tabela13[[#This Row],[X / LAT / E]]="","",VLOOKUP(Tabela13[[#This Row],[PONTO]],RAMAIS_ATUAL,IF(PROJ1!$J$2="SIM",25,23),0))</f>
        <v/>
      </c>
      <c r="G57" s="59">
        <f>SQRT((D58-Tabela13[[#This Row],[Y / LON / N]])^2+(C58-Tabela13[[#This Row],[X / LAT / E]])^2)</f>
        <v>0</v>
      </c>
    </row>
    <row r="58" spans="2:7" x14ac:dyDescent="0.3">
      <c r="B58" s="54">
        <v>55</v>
      </c>
      <c r="C58" s="128"/>
      <c r="D58" s="128"/>
      <c r="F58" s="90" t="str">
        <f>IF(Tabela13[[#This Row],[X / LAT / E]]="","",VLOOKUP(Tabela13[[#This Row],[PONTO]],RAMAIS_ATUAL,IF(PROJ1!$J$2="SIM",25,23),0))</f>
        <v/>
      </c>
      <c r="G58" s="59">
        <f>SQRT((D59-Tabela13[[#This Row],[Y / LON / N]])^2+(C59-Tabela13[[#This Row],[X / LAT / E]])^2)</f>
        <v>0</v>
      </c>
    </row>
    <row r="59" spans="2:7" x14ac:dyDescent="0.3">
      <c r="B59" s="54">
        <v>56</v>
      </c>
      <c r="C59" s="128"/>
      <c r="D59" s="128"/>
      <c r="F59" s="90" t="str">
        <f>IF(Tabela13[[#This Row],[X / LAT / E]]="","",VLOOKUP(Tabela13[[#This Row],[PONTO]],RAMAIS_ATUAL,IF(PROJ1!$J$2="SIM",25,23),0))</f>
        <v/>
      </c>
      <c r="G59" s="59">
        <f>SQRT((D60-Tabela13[[#This Row],[Y / LON / N]])^2+(C60-Tabela13[[#This Row],[X / LAT / E]])^2)</f>
        <v>0</v>
      </c>
    </row>
    <row r="60" spans="2:7" x14ac:dyDescent="0.3">
      <c r="B60" s="54">
        <v>57</v>
      </c>
      <c r="C60" s="128"/>
      <c r="D60" s="128"/>
      <c r="F60" s="90" t="str">
        <f>IF(Tabela13[[#This Row],[X / LAT / E]]="","",VLOOKUP(Tabela13[[#This Row],[PONTO]],RAMAIS_ATUAL,IF(PROJ1!$J$2="SIM",25,23),0))</f>
        <v/>
      </c>
      <c r="G60" s="59">
        <f>SQRT((D61-Tabela13[[#This Row],[Y / LON / N]])^2+(C61-Tabela13[[#This Row],[X / LAT / E]])^2)</f>
        <v>0</v>
      </c>
    </row>
    <row r="61" spans="2:7" x14ac:dyDescent="0.3">
      <c r="B61" s="54">
        <v>58</v>
      </c>
      <c r="C61" s="128"/>
      <c r="D61" s="128"/>
      <c r="F61" s="90" t="str">
        <f>IF(Tabela13[[#This Row],[X / LAT / E]]="","",VLOOKUP(Tabela13[[#This Row],[PONTO]],RAMAIS_ATUAL,IF(PROJ1!$J$2="SIM",25,23),0))</f>
        <v/>
      </c>
      <c r="G61" s="59">
        <f>SQRT((D62-Tabela13[[#This Row],[Y / LON / N]])^2+(C62-Tabela13[[#This Row],[X / LAT / E]])^2)</f>
        <v>0</v>
      </c>
    </row>
    <row r="62" spans="2:7" x14ac:dyDescent="0.3">
      <c r="B62" s="54">
        <v>59</v>
      </c>
      <c r="C62" s="128"/>
      <c r="D62" s="128"/>
      <c r="F62" s="90" t="str">
        <f>IF(Tabela13[[#This Row],[X / LAT / E]]="","",VLOOKUP(Tabela13[[#This Row],[PONTO]],RAMAIS_ATUAL,IF(PROJ1!$J$2="SIM",25,23),0))</f>
        <v/>
      </c>
      <c r="G62" s="59">
        <f>SQRT((D63-Tabela13[[#This Row],[Y / LON / N]])^2+(C63-Tabela13[[#This Row],[X / LAT / E]])^2)</f>
        <v>0</v>
      </c>
    </row>
    <row r="63" spans="2:7" x14ac:dyDescent="0.3">
      <c r="B63" s="54">
        <v>60</v>
      </c>
      <c r="C63" s="128"/>
      <c r="D63" s="128"/>
      <c r="F63" s="90" t="str">
        <f>IF(Tabela13[[#This Row],[X / LAT / E]]="","",VLOOKUP(Tabela13[[#This Row],[PONTO]],RAMAIS_ATUAL,IF(PROJ1!$J$2="SIM",25,23),0))</f>
        <v/>
      </c>
      <c r="G63" s="59">
        <f>SQRT((D64-Tabela13[[#This Row],[Y / LON / N]])^2+(C64-Tabela13[[#This Row],[X / LAT / E]])^2)</f>
        <v>0</v>
      </c>
    </row>
    <row r="64" spans="2:7" x14ac:dyDescent="0.3">
      <c r="B64" s="54">
        <v>61</v>
      </c>
      <c r="C64" s="198"/>
      <c r="D64" s="198"/>
    </row>
    <row r="65" spans="2:4" x14ac:dyDescent="0.3">
      <c r="B65" s="54">
        <v>62</v>
      </c>
      <c r="C65" s="198"/>
      <c r="D65" s="198"/>
    </row>
    <row r="66" spans="2:4" x14ac:dyDescent="0.3">
      <c r="B66" s="54">
        <v>63</v>
      </c>
      <c r="C66" s="198"/>
      <c r="D66" s="198"/>
    </row>
    <row r="67" spans="2:4" x14ac:dyDescent="0.3">
      <c r="B67" s="54">
        <v>64</v>
      </c>
      <c r="C67" s="198"/>
      <c r="D67" s="198"/>
    </row>
    <row r="68" spans="2:4" x14ac:dyDescent="0.3">
      <c r="B68" s="197">
        <v>65</v>
      </c>
      <c r="C68" s="198"/>
      <c r="D68" s="198"/>
    </row>
  </sheetData>
  <mergeCells count="1">
    <mergeCell ref="O10:P11"/>
  </mergeCells>
  <phoneticPr fontId="34" type="noConversion"/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20"/>
  <sheetViews>
    <sheetView zoomScale="85" zoomScaleNormal="85" workbookViewId="0">
      <pane ySplit="9" topLeftCell="A10" activePane="bottomLeft" state="frozen"/>
      <selection pane="bottomLeft" activeCell="E23" sqref="E23"/>
    </sheetView>
  </sheetViews>
  <sheetFormatPr defaultRowHeight="14.4" x14ac:dyDescent="0.3"/>
  <cols>
    <col min="1" max="1" width="45.77734375" bestFit="1" customWidth="1"/>
    <col min="2" max="3" width="12" customWidth="1"/>
    <col min="4" max="4" width="14.109375" customWidth="1"/>
    <col min="5" max="5" width="15.33203125" customWidth="1"/>
    <col min="6" max="7" width="12" customWidth="1"/>
    <col min="8" max="8" width="10" customWidth="1"/>
    <col min="9" max="9" width="12" customWidth="1"/>
    <col min="10" max="10" width="10" customWidth="1"/>
    <col min="11" max="11" width="21.88671875" bestFit="1" customWidth="1"/>
    <col min="13" max="22" width="13" hidden="1" customWidth="1"/>
    <col min="23" max="23" width="8.88671875" hidden="1" customWidth="1"/>
    <col min="24" max="24" width="2.109375" hidden="1" customWidth="1"/>
    <col min="25" max="33" width="13" hidden="1" customWidth="1"/>
    <col min="34" max="34" width="8.88671875" hidden="1" customWidth="1"/>
  </cols>
  <sheetData>
    <row r="1" spans="1:34" x14ac:dyDescent="0.3">
      <c r="A1" s="98" t="s">
        <v>148</v>
      </c>
      <c r="K1" s="105" t="s">
        <v>149</v>
      </c>
    </row>
    <row r="2" spans="1:34" x14ac:dyDescent="0.3">
      <c r="K2" s="106" t="s">
        <v>150</v>
      </c>
      <c r="L2" s="59">
        <v>0.3</v>
      </c>
      <c r="M2">
        <v>1</v>
      </c>
      <c r="N2">
        <f>IFERROR(IF(INDEX(GERAL[PONTO],M2)="","",INDEX(GERAL[PONTO],M2)),"")</f>
        <v>1</v>
      </c>
      <c r="O2">
        <f>IF(N2="","",IFERROR(INDEX(GERAL[ACUMULADA],1),0))</f>
        <v>127.70729411764684</v>
      </c>
      <c r="P2">
        <f t="shared" ref="P2:P33" si="0">IF(O2="","",$B$11-O2)</f>
        <v>-87.061694117646837</v>
      </c>
      <c r="Q2">
        <f t="shared" ref="Q2:Q33" si="1">IF(O2="","",IF(O2*1.15&lt;=30,30,IF(O2*1.15&lt;=45,45,IF(O2*1.15&lt;=75,75,IF(O2*1.15&lt;=112.5,112.5,IF(O2*1.15&lt;=150,150,IF(O2*1.15&lt;=225,225,300)))))))</f>
        <v>150</v>
      </c>
      <c r="R2">
        <f t="shared" ref="R2:R33" si="2">IF(Q2="","",IFERROR(O2/Q2,0))</f>
        <v>0.85138196078431227</v>
      </c>
      <c r="S2">
        <f>IF(N2="","",IFERROR(INDEX(Tabela7[QT %],MATCH(N2,Tabela7[PONTO],0)),0))</f>
        <v>4.951052674934725E-2</v>
      </c>
      <c r="T2">
        <f t="shared" ref="T2:T33" si="3">IF(O2="","",IFERROR(1-ABS(O2-P2)/$B$11,0))</f>
        <v>-4.2839418838765742</v>
      </c>
      <c r="U2">
        <f ca="1">IF(N2="","",IF($B$9&gt;$B$8,IFERROR((INDEX(GERAL[SNAP],1)-$B$8)/($B$9-$B$8),0),0))</f>
        <v>0</v>
      </c>
      <c r="V2" t="str">
        <f t="shared" ref="V2:V44" si="4">IF(OR(N2="",W2&lt;&gt;"LADO 1"),"",$L$2*IFERROR(O2/$B$11,0)+$L$3*IF($D$11&gt;0,IFERROR(S2/$D$11,0),0)+$L$4*IFERROR(T2,0)-$L$5*IFERROR(U2,0)-$L$6*MAX(0,IFERROR(R2,0)-$L$7)+ROW()/1000000)</f>
        <v/>
      </c>
      <c r="W2" t="str">
        <f>IFERROR(INDEX(GERAL[LADO],1),"")</f>
        <v>TRAFO</v>
      </c>
      <c r="Y2">
        <f>IFERROR(IF(INDEX(GERAL[PONTO],M2)="","",INDEX(GERAL[PONTO],M2)),"")</f>
        <v>1</v>
      </c>
      <c r="Z2">
        <f>IF(Y2="","",IFERROR(INDEX(GERAL[ACUMULADA],1),0))</f>
        <v>127.70729411764684</v>
      </c>
      <c r="AA2">
        <f t="shared" ref="AA2:AA33" si="5">IF(Z2="","",$B$31-Z2)</f>
        <v>-21.675294117646857</v>
      </c>
      <c r="AB2">
        <f t="shared" ref="AB2:AB33" si="6">IF(Z2="","",IF(Z2*1.15&lt;=30,30,IF(Z2*1.15&lt;=45,45,IF(Z2*1.15&lt;=75,75,IF(Z2*1.15&lt;=112.5,112.5,IF(Z2*1.15&lt;=150,150,IF(Z2*1.15&lt;=225,225,300)))))))</f>
        <v>150</v>
      </c>
      <c r="AC2">
        <f t="shared" ref="AC2:AC33" si="7">IF(AB2="","",IFERROR(Z2/AB2,0))</f>
        <v>0.85138196078431227</v>
      </c>
      <c r="AD2">
        <f>IF(Y2="","",IFERROR(INDEX(DIR_ATUAL[QT %],MATCH(Y2,DIR_ATUAL[PONTO],0)),0))</f>
        <v>4.951052674934725E-2</v>
      </c>
      <c r="AE2">
        <f t="shared" ref="AE2:AE33" si="8">IF(Z2="","",IFERROR(1-ABS(Z2-AA2)/$B$31,0))</f>
        <v>-0.40884438881935381</v>
      </c>
      <c r="AF2">
        <f ca="1">IF(Y2="","",IF($E$9&gt;$E$8,IFERROR((INDEX(GERAL[SNAP],1)-$E$8)/($E$9-$E$8),0),0))</f>
        <v>0</v>
      </c>
      <c r="AG2" t="str">
        <f t="shared" ref="AG2:AG44" si="9">IF(OR(Y2="",AH2&lt;&gt;"LADO 2"),"",$L$2*IFERROR(Z2/$B$31,0)+$L$3*IF($D$31&gt;0,IFERROR(AD2/$D$31,0),0)+$L$4*IFERROR(AE2,0)-$L$5*IFERROR(AF2,0)-$L$6*MAX(0,IFERROR(AC2,0)-$L$7)+ROW()/1000000)</f>
        <v/>
      </c>
      <c r="AH2" t="str">
        <f>IFERROR(INDEX(GERAL[LADO],1),"")</f>
        <v>TRAFO</v>
      </c>
    </row>
    <row r="3" spans="1:34" x14ac:dyDescent="0.3">
      <c r="A3" s="99" t="s">
        <v>151</v>
      </c>
      <c r="D3" s="99" t="s">
        <v>152</v>
      </c>
      <c r="K3" s="106" t="s">
        <v>153</v>
      </c>
      <c r="L3" s="59">
        <v>0.69</v>
      </c>
      <c r="M3">
        <v>2</v>
      </c>
      <c r="N3" t="str">
        <f>IFERROR(IF(INDEX(GERAL[PONTO],M3)="","",INDEX(GERAL[PONTO],M3)),"")</f>
        <v/>
      </c>
      <c r="O3" t="str">
        <f>IF(N3="","",IFERROR(INDEX(GERAL[ACUMULADA],2),0))</f>
        <v/>
      </c>
      <c r="P3" t="str">
        <f t="shared" si="0"/>
        <v/>
      </c>
      <c r="Q3" t="str">
        <f t="shared" si="1"/>
        <v/>
      </c>
      <c r="R3" t="str">
        <f t="shared" si="2"/>
        <v/>
      </c>
      <c r="S3" t="str">
        <f>IF(N3="","",IFERROR(INDEX(Tabela7[QT %],MATCH(N3,Tabela7[PONTO],0)),0))</f>
        <v/>
      </c>
      <c r="T3" t="str">
        <f t="shared" si="3"/>
        <v/>
      </c>
      <c r="U3" t="str">
        <f>IF(N3="","",IF($B$9&gt;$B$8,IFERROR((INDEX(GERAL[SNAP],2)-$B$8)/($B$9-$B$8),0),0))</f>
        <v/>
      </c>
      <c r="V3" t="str">
        <f t="shared" si="4"/>
        <v/>
      </c>
      <c r="W3">
        <f>IFERROR(INDEX(GERAL[LADO],2),"")</f>
        <v>0</v>
      </c>
      <c r="Y3" t="str">
        <f>IFERROR(IF(INDEX(GERAL[PONTO],M3)="","",INDEX(GERAL[PONTO],M3)),"")</f>
        <v/>
      </c>
      <c r="Z3" t="str">
        <f>IF(Y3="","",IFERROR(INDEX(GERAL[ACUMULADA],2),0))</f>
        <v/>
      </c>
      <c r="AA3" t="str">
        <f t="shared" si="5"/>
        <v/>
      </c>
      <c r="AB3" t="str">
        <f t="shared" si="6"/>
        <v/>
      </c>
      <c r="AC3" t="str">
        <f t="shared" si="7"/>
        <v/>
      </c>
      <c r="AD3" t="str">
        <f>IF(Y3="","",IFERROR(INDEX(DIR_ATUAL[QT %],MATCH(Y3,DIR_ATUAL[PONTO],0)),0))</f>
        <v/>
      </c>
      <c r="AE3" t="str">
        <f t="shared" si="8"/>
        <v/>
      </c>
      <c r="AF3" t="str">
        <f>IF(Y3="","",IF($E$9&gt;$E$8,IFERROR((INDEX(GERAL[SNAP],2)-$E$8)/($E$9-$E$8),0),0))</f>
        <v/>
      </c>
      <c r="AG3" t="str">
        <f t="shared" si="9"/>
        <v/>
      </c>
      <c r="AH3">
        <f>IFERROR(INDEX(GERAL[LADO],2),"")</f>
        <v>0</v>
      </c>
    </row>
    <row r="4" spans="1:34" x14ac:dyDescent="0.3">
      <c r="A4" s="99" t="s">
        <v>154</v>
      </c>
      <c r="D4" s="99" t="s">
        <v>283</v>
      </c>
      <c r="E4" s="101">
        <f>SUMIFS(GERAL[TOTAL DO TRECHO],GERAL[LADO],"LADO 1")</f>
        <v>40.645600000000002</v>
      </c>
      <c r="F4">
        <f>IF(E4*1.15&lt;=30,30,IF(E4*1.15&lt;=45,45,IF(E4*1.15&lt;=75,75,IF(E4*1.15&lt;=112.5,112.5,IF(E4*1.15&lt;=150,150,IF(E4*1.15&lt;=225,225,300))))))</f>
        <v>75</v>
      </c>
      <c r="G4" s="102">
        <f>IFERROR(E4/F4,0)</f>
        <v>0.54194133333333339</v>
      </c>
      <c r="K4" s="106" t="s">
        <v>155</v>
      </c>
      <c r="L4" s="59">
        <v>0.01</v>
      </c>
      <c r="M4">
        <v>3</v>
      </c>
      <c r="N4">
        <f>IFERROR(IF(INDEX(GERAL[PONTO],M4)="","",INDEX(GERAL[PONTO],M4)),"")</f>
        <v>2</v>
      </c>
      <c r="O4">
        <f>IF(N4="","",IFERROR(INDEX(GERAL[ACUMULADA],3),0))</f>
        <v>36.227599999999995</v>
      </c>
      <c r="P4">
        <f t="shared" si="0"/>
        <v>4.4180000000000064</v>
      </c>
      <c r="Q4">
        <f t="shared" si="1"/>
        <v>45</v>
      </c>
      <c r="R4">
        <f t="shared" si="2"/>
        <v>0.80505777777777765</v>
      </c>
      <c r="S4">
        <f>IF(N4="","",IFERROR(INDEX(Tabela7[QT %],MATCH(N4,Tabela7[PONTO],0)),0))</f>
        <v>6.7310027528721825E-2</v>
      </c>
      <c r="T4">
        <f t="shared" si="3"/>
        <v>0.21739130434782639</v>
      </c>
      <c r="U4">
        <f ca="1">IF(N4="","",IF($B$9&gt;$B$8,IFERROR((INDEX(GERAL[SNAP],3)-$B$8)/($B$9-$B$8),0),0))</f>
        <v>0</v>
      </c>
      <c r="V4">
        <f t="shared" ca="1" si="4"/>
        <v>0.8267336533642955</v>
      </c>
      <c r="W4" t="str">
        <f>IFERROR(INDEX(GERAL[LADO],3),"")</f>
        <v>LADO 1</v>
      </c>
      <c r="Y4">
        <f>IFERROR(IF(INDEX(GERAL[PONTO],M4)="","",INDEX(GERAL[PONTO],M4)),"")</f>
        <v>2</v>
      </c>
      <c r="Z4">
        <f>IF(Y4="","",IFERROR(INDEX(GERAL[ACUMULADA],3),0))</f>
        <v>36.227599999999995</v>
      </c>
      <c r="AA4">
        <f t="shared" si="5"/>
        <v>69.804399999999987</v>
      </c>
      <c r="AB4">
        <f t="shared" si="6"/>
        <v>45</v>
      </c>
      <c r="AC4">
        <f t="shared" si="7"/>
        <v>0.80505777777777765</v>
      </c>
      <c r="AD4">
        <f>IF(Y4="","",IFERROR(INDEX(DIR_ATUAL[QT %],MATCH(Y4,DIR_ATUAL[PONTO],0)),0))</f>
        <v>0</v>
      </c>
      <c r="AE4">
        <f t="shared" si="8"/>
        <v>0.68333333333333335</v>
      </c>
      <c r="AF4">
        <f ca="1">IF(Y4="","",IF($E$9&gt;$E$8,IFERROR((INDEX(GERAL[SNAP],3)-$E$8)/($E$9-$E$8),0),0))</f>
        <v>0</v>
      </c>
      <c r="AG4" t="str">
        <f t="shared" si="9"/>
        <v/>
      </c>
      <c r="AH4" t="str">
        <f>IFERROR(INDEX(GERAL[LADO],3),"")</f>
        <v>LADO 1</v>
      </c>
    </row>
    <row r="5" spans="1:34" x14ac:dyDescent="0.3">
      <c r="A5" s="99" t="s">
        <v>156</v>
      </c>
      <c r="B5" s="59">
        <f>DB!K7/0.85</f>
        <v>150.2438754325257</v>
      </c>
      <c r="D5" s="99" t="s">
        <v>305</v>
      </c>
      <c r="E5" s="101">
        <f>SUMIFS(GERAL[TOTAL DO TRECHO],GERAL[LADO],"LADO 2")</f>
        <v>106.03199999999998</v>
      </c>
      <c r="F5">
        <f>IF(E5*1.15&lt;=30,30,IF(E5*1.15&lt;=45,45,IF(E5*1.15&lt;=75,75,IF(E5*1.15&lt;=112.5,112.5,IF(E5*1.15&lt;=150,150,IF(E5*1.15&lt;=225,225,300))))))</f>
        <v>150</v>
      </c>
      <c r="G5" s="102">
        <f>IFERROR(E5/F5,0)</f>
        <v>0.70687999999999984</v>
      </c>
      <c r="K5" s="106" t="s">
        <v>157</v>
      </c>
      <c r="L5" s="59">
        <v>0.05</v>
      </c>
      <c r="M5">
        <v>4</v>
      </c>
      <c r="N5">
        <f>IFERROR(IF(INDEX(GERAL[PONTO],M5)="","",INDEX(GERAL[PONTO],M5)),"")</f>
        <v>3</v>
      </c>
      <c r="O5">
        <f>IF(N5="","",IFERROR(INDEX(GERAL[ACUMULADA],4),0))</f>
        <v>36.227599999999995</v>
      </c>
      <c r="P5">
        <f t="shared" si="0"/>
        <v>4.4180000000000064</v>
      </c>
      <c r="Q5">
        <f t="shared" si="1"/>
        <v>45</v>
      </c>
      <c r="R5">
        <f t="shared" si="2"/>
        <v>0.80505777777777765</v>
      </c>
      <c r="S5">
        <f>IF(N5="","",IFERROR(INDEX(Tabela7[QT %],MATCH(N5,Tabela7[PONTO],0)),0))</f>
        <v>7.5741370003162403E-2</v>
      </c>
      <c r="T5">
        <f t="shared" si="3"/>
        <v>0.21739130434782639</v>
      </c>
      <c r="U5">
        <f ca="1">IF(N5="","",IF($B$9&gt;$B$8,IFERROR((INDEX(GERAL[SNAP],4)-$B$8)/($B$9-$B$8),0),0))</f>
        <v>0</v>
      </c>
      <c r="V5">
        <f t="shared" ca="1" si="4"/>
        <v>0.89652580256955006</v>
      </c>
      <c r="W5" t="str">
        <f>IFERROR(INDEX(GERAL[LADO],4),"")</f>
        <v>LADO 1</v>
      </c>
      <c r="Y5">
        <f>IFERROR(IF(INDEX(GERAL[PONTO],M5)="","",INDEX(GERAL[PONTO],M5)),"")</f>
        <v>3</v>
      </c>
      <c r="Z5">
        <f>IF(Y5="","",IFERROR(INDEX(GERAL[ACUMULADA],4),0))</f>
        <v>36.227599999999995</v>
      </c>
      <c r="AA5">
        <f t="shared" si="5"/>
        <v>69.804399999999987</v>
      </c>
      <c r="AB5">
        <f t="shared" si="6"/>
        <v>45</v>
      </c>
      <c r="AC5">
        <f t="shared" si="7"/>
        <v>0.80505777777777765</v>
      </c>
      <c r="AD5">
        <f>IF(Y5="","",IFERROR(INDEX(DIR_ATUAL[QT %],MATCH(Y5,DIR_ATUAL[PONTO],0)),0))</f>
        <v>0</v>
      </c>
      <c r="AE5">
        <f t="shared" si="8"/>
        <v>0.68333333333333335</v>
      </c>
      <c r="AF5">
        <f ca="1">IF(Y5="","",IF($E$9&gt;$E$8,IFERROR((INDEX(GERAL[SNAP],4)-$E$8)/($E$9-$E$8),0),0))</f>
        <v>0</v>
      </c>
      <c r="AG5" t="str">
        <f t="shared" si="9"/>
        <v/>
      </c>
      <c r="AH5" t="str">
        <f>IFERROR(INDEX(GERAL[LADO],4),"")</f>
        <v>LADO 1</v>
      </c>
    </row>
    <row r="6" spans="1:34" x14ac:dyDescent="0.3">
      <c r="A6" s="99" t="s">
        <v>158</v>
      </c>
      <c r="B6">
        <f>DB!K6</f>
        <v>150</v>
      </c>
      <c r="D6" s="99" t="s">
        <v>159</v>
      </c>
      <c r="E6" t="str">
        <f>IF(AND(G4&lt;=0.85,G5&lt;=0.85),"OK","SPLIT_MAIOR_LADO")</f>
        <v>OK</v>
      </c>
      <c r="K6" s="106" t="s">
        <v>160</v>
      </c>
      <c r="L6" s="59">
        <v>0.2</v>
      </c>
      <c r="M6">
        <v>5</v>
      </c>
      <c r="N6">
        <f>IFERROR(IF(INDEX(GERAL[PONTO],M6)="","",INDEX(GERAL[PONTO],M6)),"")</f>
        <v>4</v>
      </c>
      <c r="O6">
        <f>IF(N6="","",IFERROR(INDEX(GERAL[ACUMULADA],5),0))</f>
        <v>22.522400000000001</v>
      </c>
      <c r="P6">
        <f t="shared" si="0"/>
        <v>18.123200000000001</v>
      </c>
      <c r="Q6">
        <f t="shared" si="1"/>
        <v>30</v>
      </c>
      <c r="R6">
        <f t="shared" si="2"/>
        <v>0.75074666666666667</v>
      </c>
      <c r="S6">
        <f>IF(N6="","",IFERROR(INDEX(Tabela7[QT %],MATCH(N6,Tabela7[PONTO],0)),0))</f>
        <v>8.0756951519476677E-2</v>
      </c>
      <c r="T6">
        <f t="shared" si="3"/>
        <v>0.89176688251618874</v>
      </c>
      <c r="U6">
        <f ca="1">IF(N6="","",IF($B$9&gt;$B$8,IFERROR((INDEX(GERAL[SNAP],5)-$B$8)/($B$9-$B$8),0),0))</f>
        <v>0</v>
      </c>
      <c r="V6">
        <f t="shared" ca="1" si="4"/>
        <v>0.84363112110163851</v>
      </c>
      <c r="W6" t="str">
        <f>IFERROR(INDEX(GERAL[LADO],5),"")</f>
        <v>LADO 1</v>
      </c>
      <c r="Y6">
        <f>IFERROR(IF(INDEX(GERAL[PONTO],M6)="","",INDEX(GERAL[PONTO],M6)),"")</f>
        <v>4</v>
      </c>
      <c r="Z6">
        <f>IF(Y6="","",IFERROR(INDEX(GERAL[ACUMULADA],5),0))</f>
        <v>22.522400000000001</v>
      </c>
      <c r="AA6">
        <f t="shared" si="5"/>
        <v>83.509599999999978</v>
      </c>
      <c r="AB6">
        <f t="shared" si="6"/>
        <v>30</v>
      </c>
      <c r="AC6">
        <f t="shared" si="7"/>
        <v>0.75074666666666667</v>
      </c>
      <c r="AD6">
        <f>IF(Y6="","",IFERROR(INDEX(DIR_ATUAL[QT %],MATCH(Y6,DIR_ATUAL[PONTO],0)),0))</f>
        <v>0</v>
      </c>
      <c r="AE6">
        <f t="shared" si="8"/>
        <v>0.42482269503546111</v>
      </c>
      <c r="AF6">
        <f ca="1">IF(Y6="","",IF($E$9&gt;$E$8,IFERROR((INDEX(GERAL[SNAP],5)-$E$8)/($E$9-$E$8),0),0))</f>
        <v>0</v>
      </c>
      <c r="AG6" t="str">
        <f t="shared" si="9"/>
        <v/>
      </c>
      <c r="AH6" t="str">
        <f>IFERROR(INDEX(GERAL[LADO],5),"")</f>
        <v>LADO 1</v>
      </c>
    </row>
    <row r="7" spans="1:34" x14ac:dyDescent="0.3">
      <c r="A7" s="99" t="s">
        <v>161</v>
      </c>
      <c r="B7" s="102">
        <f>IFERROR(B5/B6,0)</f>
        <v>1.001625836216838</v>
      </c>
      <c r="K7" s="106" t="s">
        <v>162</v>
      </c>
      <c r="L7" s="59">
        <v>0.85</v>
      </c>
      <c r="M7">
        <v>6</v>
      </c>
      <c r="N7" t="str">
        <f>IFERROR(IF(INDEX(GERAL[PONTO],M7)="","",INDEX(GERAL[PONTO],M7)),"")</f>
        <v/>
      </c>
      <c r="O7" t="str">
        <f>IF(N7="","",IFERROR(INDEX(GERAL[ACUMULADA],6),0))</f>
        <v/>
      </c>
      <c r="P7" t="str">
        <f t="shared" si="0"/>
        <v/>
      </c>
      <c r="Q7" t="str">
        <f t="shared" si="1"/>
        <v/>
      </c>
      <c r="R7" t="str">
        <f t="shared" si="2"/>
        <v/>
      </c>
      <c r="S7" t="str">
        <f>IF(N7="","",IFERROR(INDEX(Tabela7[QT %],MATCH(N7,Tabela7[PONTO],0)),0))</f>
        <v/>
      </c>
      <c r="T7" t="str">
        <f t="shared" si="3"/>
        <v/>
      </c>
      <c r="U7" t="str">
        <f>IF(N7="","",IF($B$9&gt;$B$8,IFERROR((INDEX(GERAL[SNAP],6)-$B$8)/($B$9-$B$8),0),0))</f>
        <v/>
      </c>
      <c r="V7" t="str">
        <f t="shared" si="4"/>
        <v/>
      </c>
      <c r="W7">
        <f>IFERROR(INDEX(GERAL[LADO],6),"")</f>
        <v>0</v>
      </c>
      <c r="Y7" t="str">
        <f>IFERROR(IF(INDEX(GERAL[PONTO],M7)="","",INDEX(GERAL[PONTO],M7)),"")</f>
        <v/>
      </c>
      <c r="Z7" t="str">
        <f>IF(Y7="","",IFERROR(INDEX(GERAL[ACUMULADA],6),0))</f>
        <v/>
      </c>
      <c r="AA7" t="str">
        <f t="shared" si="5"/>
        <v/>
      </c>
      <c r="AB7" t="str">
        <f t="shared" si="6"/>
        <v/>
      </c>
      <c r="AC7" t="str">
        <f t="shared" si="7"/>
        <v/>
      </c>
      <c r="AD7" t="str">
        <f>IF(Y7="","",IFERROR(INDEX(DIR_ATUAL[QT %],MATCH(Y7,DIR_ATUAL[PONTO],0)),0))</f>
        <v/>
      </c>
      <c r="AE7" t="str">
        <f t="shared" si="8"/>
        <v/>
      </c>
      <c r="AF7" t="str">
        <f>IF(Y7="","",IF($E$9&gt;$E$8,IFERROR((INDEX(GERAL[SNAP],6)-$E$8)/($E$9-$E$8),0),0))</f>
        <v/>
      </c>
      <c r="AG7" t="str">
        <f t="shared" si="9"/>
        <v/>
      </c>
      <c r="AH7">
        <f>IFERROR(INDEX(GERAL[LADO],6),"")</f>
        <v>0</v>
      </c>
    </row>
    <row r="8" spans="1:34" x14ac:dyDescent="0.3">
      <c r="B8">
        <f ca="1">IFERROR(MINIFS(GERAL[SNAP],GERAL[LADO],"ESQUERDO"),0)</f>
        <v>0</v>
      </c>
      <c r="E8">
        <f ca="1">IFERROR(MINIFS(GERAL[SNAP],GERAL[LADO],"DIREITO"),0)</f>
        <v>0</v>
      </c>
      <c r="K8" s="106" t="s">
        <v>163</v>
      </c>
      <c r="L8" s="59">
        <f>L2+L3+L4</f>
        <v>1</v>
      </c>
      <c r="M8">
        <v>7</v>
      </c>
      <c r="N8">
        <f>IFERROR(IF(INDEX(GERAL[PONTO],M8)="","",INDEX(GERAL[PONTO],M8)),"")</f>
        <v>5</v>
      </c>
      <c r="O8">
        <f>IF(N8="","",IFERROR(INDEX(GERAL[ACUMULADA],7),0))</f>
        <v>80.125599999999991</v>
      </c>
      <c r="P8">
        <f t="shared" si="0"/>
        <v>-39.47999999999999</v>
      </c>
      <c r="Q8">
        <f t="shared" si="1"/>
        <v>112.5</v>
      </c>
      <c r="R8">
        <f t="shared" si="2"/>
        <v>0.7122275555555555</v>
      </c>
      <c r="S8">
        <f>IF(N8="","",IFERROR(INDEX(Tabela7[QT %],MATCH(N8,Tabela7[PONTO],0)),0))</f>
        <v>0</v>
      </c>
      <c r="T8">
        <f t="shared" si="3"/>
        <v>-1.9426456984273814</v>
      </c>
      <c r="U8">
        <f ca="1">IF(N8="","",IF($B$9&gt;$B$8,IFERROR((INDEX(GERAL[SNAP],7)-$B$8)/($B$9-$B$8),0),0))</f>
        <v>0</v>
      </c>
      <c r="V8" t="str">
        <f t="shared" si="4"/>
        <v/>
      </c>
      <c r="W8" t="str">
        <f>IFERROR(INDEX(GERAL[LADO],7),"")</f>
        <v>LADO 2</v>
      </c>
      <c r="Y8">
        <f>IFERROR(IF(INDEX(GERAL[PONTO],M8)="","",INDEX(GERAL[PONTO],M8)),"")</f>
        <v>5</v>
      </c>
      <c r="Z8">
        <f>IF(Y8="","",IFERROR(INDEX(GERAL[ACUMULADA],7),0))</f>
        <v>80.125599999999991</v>
      </c>
      <c r="AA8">
        <f t="shared" si="5"/>
        <v>25.906399999999991</v>
      </c>
      <c r="AB8">
        <f t="shared" si="6"/>
        <v>112.5</v>
      </c>
      <c r="AC8">
        <f t="shared" si="7"/>
        <v>0.7122275555555555</v>
      </c>
      <c r="AD8">
        <f>IF(Y8="","",IFERROR(INDEX(DIR_ATUAL[QT %],MATCH(Y8,DIR_ATUAL[PONTO],0)),0))</f>
        <v>6.8385446787215143E-2</v>
      </c>
      <c r="AE8">
        <f t="shared" si="8"/>
        <v>0.48865248226950342</v>
      </c>
      <c r="AF8">
        <f ca="1">IF(Y8="","",IF($E$9&gt;$E$8,IFERROR((INDEX(GERAL[SNAP],7)-$E$8)/($E$9-$E$8),0),0))</f>
        <v>0</v>
      </c>
      <c r="AG8">
        <f t="shared" ca="1" si="9"/>
        <v>0.63510716319529614</v>
      </c>
      <c r="AH8" t="str">
        <f>IFERROR(INDEX(GERAL[LADO],7),"")</f>
        <v>LADO 2</v>
      </c>
    </row>
    <row r="9" spans="1:34" x14ac:dyDescent="0.3">
      <c r="B9">
        <f ca="1">IFERROR(MAXIFS(GERAL[SNAP],GERAL[LADO],"ESQUERDO"),1)</f>
        <v>1</v>
      </c>
      <c r="E9">
        <f ca="1">IFERROR(MAXIFS(GERAL[SNAP],GERAL[LADO],"DIREITO"),1)</f>
        <v>1</v>
      </c>
      <c r="M9">
        <v>8</v>
      </c>
      <c r="N9">
        <f>IFERROR(IF(INDEX(GERAL[PONTO],M9)="","",INDEX(GERAL[PONTO],M9)),"")</f>
        <v>6</v>
      </c>
      <c r="O9">
        <f>IF(N9="","",IFERROR(INDEX(GERAL[ACUMULADA],8),0))</f>
        <v>61.175199999999997</v>
      </c>
      <c r="P9">
        <f t="shared" si="0"/>
        <v>-20.529599999999995</v>
      </c>
      <c r="Q9">
        <f t="shared" si="1"/>
        <v>75</v>
      </c>
      <c r="R9">
        <f t="shared" si="2"/>
        <v>0.81566933333333325</v>
      </c>
      <c r="S9">
        <f>IF(N9="","",IFERROR(INDEX(Tabela7[QT %],MATCH(N9,Tabela7[PONTO],0)),0))</f>
        <v>0</v>
      </c>
      <c r="T9">
        <f t="shared" si="3"/>
        <v>-1.0101757631822386</v>
      </c>
      <c r="U9">
        <f ca="1">IF(N9="","",IF($B$9&gt;$B$8,IFERROR((INDEX(GERAL[SNAP],8)-$B$8)/($B$9-$B$8),0),0))</f>
        <v>0</v>
      </c>
      <c r="V9" t="str">
        <f t="shared" si="4"/>
        <v/>
      </c>
      <c r="W9" t="str">
        <f>IFERROR(INDEX(GERAL[LADO],8),"")</f>
        <v>LADO 2</v>
      </c>
      <c r="Y9">
        <f>IFERROR(IF(INDEX(GERAL[PONTO],M9)="","",INDEX(GERAL[PONTO],M9)),"")</f>
        <v>6</v>
      </c>
      <c r="Z9">
        <f>IF(Y9="","",IFERROR(INDEX(GERAL[ACUMULADA],8),0))</f>
        <v>61.175199999999997</v>
      </c>
      <c r="AA9">
        <f t="shared" si="5"/>
        <v>44.856799999999986</v>
      </c>
      <c r="AB9">
        <f t="shared" si="6"/>
        <v>75</v>
      </c>
      <c r="AC9">
        <f t="shared" si="7"/>
        <v>0.81566933333333325</v>
      </c>
      <c r="AD9">
        <f>IF(Y9="","",IFERROR(INDEX(DIR_ATUAL[QT %],MATCH(Y9,DIR_ATUAL[PONTO],0)),0))</f>
        <v>7.0945191589578474E-2</v>
      </c>
      <c r="AE9">
        <f t="shared" si="8"/>
        <v>0.84609929078014168</v>
      </c>
      <c r="AF9">
        <f ca="1">IF(Y9="","",IF($E$9&gt;$E$8,IFERROR((INDEX(GERAL[SNAP],8)-$E$8)/($E$9-$E$8),0),0))</f>
        <v>0</v>
      </c>
      <c r="AG9">
        <f t="shared" ca="1" si="9"/>
        <v>0.60016946588282905</v>
      </c>
      <c r="AH9" t="str">
        <f>IFERROR(INDEX(GERAL[LADO],8),"")</f>
        <v>LADO 2</v>
      </c>
    </row>
    <row r="10" spans="1:34" x14ac:dyDescent="0.3">
      <c r="A10" s="98" t="s">
        <v>307</v>
      </c>
      <c r="M10">
        <v>9</v>
      </c>
      <c r="N10">
        <f>IFERROR(IF(INDEX(GERAL[PONTO],M10)="","",INDEX(GERAL[PONTO],M10)),"")</f>
        <v>7</v>
      </c>
      <c r="O10">
        <f>IF(N10="","",IFERROR(INDEX(GERAL[ACUMULADA],9),0))</f>
        <v>61.175199999999997</v>
      </c>
      <c r="P10">
        <f t="shared" si="0"/>
        <v>-20.529599999999995</v>
      </c>
      <c r="Q10">
        <f t="shared" si="1"/>
        <v>75</v>
      </c>
      <c r="R10">
        <f t="shared" si="2"/>
        <v>0.81566933333333325</v>
      </c>
      <c r="S10">
        <f>IF(N10="","",IFERROR(INDEX(Tabela7[QT %],MATCH(N10,Tabela7[PONTO],0)),0))</f>
        <v>0</v>
      </c>
      <c r="T10">
        <f t="shared" si="3"/>
        <v>-1.0101757631822386</v>
      </c>
      <c r="U10">
        <f ca="1">IF(N10="","",IF($B$9&gt;$B$8,IFERROR((INDEX(GERAL[SNAP],9)-$B$8)/($B$9-$B$8),0),0))</f>
        <v>0</v>
      </c>
      <c r="V10" t="str">
        <f t="shared" si="4"/>
        <v/>
      </c>
      <c r="W10" t="str">
        <f>IFERROR(INDEX(GERAL[LADO],9),"")</f>
        <v>LADO 2</v>
      </c>
      <c r="Y10">
        <f>IFERROR(IF(INDEX(GERAL[PONTO],M10)="","",INDEX(GERAL[PONTO],M10)),"")</f>
        <v>7</v>
      </c>
      <c r="Z10">
        <f>IF(Y10="","",IFERROR(INDEX(GERAL[ACUMULADA],9),0))</f>
        <v>61.175199999999997</v>
      </c>
      <c r="AA10">
        <f t="shared" si="5"/>
        <v>44.856799999999986</v>
      </c>
      <c r="AB10">
        <f t="shared" si="6"/>
        <v>75</v>
      </c>
      <c r="AC10">
        <f t="shared" si="7"/>
        <v>0.81566933333333325</v>
      </c>
      <c r="AD10">
        <f>IF(Y10="","",IFERROR(INDEX(DIR_ATUAL[QT %],MATCH(Y10,DIR_ATUAL[PONTO],0)),0))</f>
        <v>0.10219776485485001</v>
      </c>
      <c r="AE10">
        <f t="shared" si="8"/>
        <v>0.84609929078014168</v>
      </c>
      <c r="AF10">
        <f ca="1">IF(Y10="","",IF($E$9&gt;$E$8,IFERROR((INDEX(GERAL[SNAP],9)-$E$8)/($E$9-$E$8),0),0))</f>
        <v>0</v>
      </c>
      <c r="AG10">
        <f t="shared" ca="1" si="9"/>
        <v>0.78457727159698887</v>
      </c>
      <c r="AH10" t="str">
        <f>IFERROR(INDEX(GERAL[LADO],9),"")</f>
        <v>LADO 2</v>
      </c>
    </row>
    <row r="11" spans="1:34" x14ac:dyDescent="0.3">
      <c r="A11" t="s">
        <v>164</v>
      </c>
      <c r="B11" s="59">
        <f>E4</f>
        <v>40.645600000000002</v>
      </c>
      <c r="C11" t="s">
        <v>165</v>
      </c>
      <c r="D11">
        <f>IFERROR(MAX(Tabela7[QT %]),0)</f>
        <v>8.3357651702431063E-2</v>
      </c>
      <c r="M11">
        <v>10</v>
      </c>
      <c r="N11">
        <f>IFERROR(IF(INDEX(GERAL[PONTO],M11)="","",INDEX(GERAL[PONTO],M11)),"")</f>
        <v>8</v>
      </c>
      <c r="O11">
        <f>IF(N11="","",IFERROR(INDEX(GERAL[ACUMULADA],10),0))</f>
        <v>28.387999999999998</v>
      </c>
      <c r="P11">
        <f t="shared" si="0"/>
        <v>12.257600000000004</v>
      </c>
      <c r="Q11">
        <f t="shared" si="1"/>
        <v>45</v>
      </c>
      <c r="R11">
        <f t="shared" si="2"/>
        <v>0.63084444444444443</v>
      </c>
      <c r="S11">
        <f>IF(N11="","",IFERROR(INDEX(Tabela7[QT %],MATCH(N11,Tabela7[PONTO],0)),0))</f>
        <v>0</v>
      </c>
      <c r="T11">
        <f t="shared" si="3"/>
        <v>0.60314523589269209</v>
      </c>
      <c r="U11">
        <f ca="1">IF(N11="","",IF($B$9&gt;$B$8,IFERROR((INDEX(GERAL[SNAP],10)-$B$8)/($B$9-$B$8),0),0))</f>
        <v>0</v>
      </c>
      <c r="V11" t="str">
        <f t="shared" si="4"/>
        <v/>
      </c>
      <c r="W11" t="str">
        <f>IFERROR(INDEX(GERAL[LADO],10),"")</f>
        <v>LADO 2</v>
      </c>
      <c r="Y11">
        <f>IFERROR(IF(INDEX(GERAL[PONTO],M11)="","",INDEX(GERAL[PONTO],M11)),"")</f>
        <v>8</v>
      </c>
      <c r="Z11">
        <f>IF(Y11="","",IFERROR(INDEX(GERAL[ACUMULADA],10),0))</f>
        <v>28.387999999999998</v>
      </c>
      <c r="AA11">
        <f t="shared" si="5"/>
        <v>77.643999999999977</v>
      </c>
      <c r="AB11">
        <f t="shared" si="6"/>
        <v>45</v>
      </c>
      <c r="AC11">
        <f t="shared" si="7"/>
        <v>0.63084444444444443</v>
      </c>
      <c r="AD11">
        <f>IF(Y11="","",IFERROR(INDEX(DIR_ATUAL[QT %],MATCH(Y11,DIR_ATUAL[PONTO],0)),0))</f>
        <v>0.114337909916193</v>
      </c>
      <c r="AE11">
        <f t="shared" si="8"/>
        <v>0.53546099290780158</v>
      </c>
      <c r="AF11">
        <f ca="1">IF(Y11="","",IF($E$9&gt;$E$8,IFERROR((INDEX(GERAL[SNAP],10)-$E$8)/($E$9-$E$8),0),0))</f>
        <v>0</v>
      </c>
      <c r="AG11">
        <f t="shared" ca="1" si="9"/>
        <v>0.76033924445630274</v>
      </c>
      <c r="AH11" t="str">
        <f>IFERROR(INDEX(GERAL[LADO],10),"")</f>
        <v>LADO 2</v>
      </c>
    </row>
    <row r="12" spans="1:34" x14ac:dyDescent="0.3">
      <c r="M12">
        <v>11</v>
      </c>
      <c r="N12">
        <f>IFERROR(IF(INDEX(GERAL[PONTO],M12)="","",INDEX(GERAL[PONTO],M12)),"")</f>
        <v>9</v>
      </c>
      <c r="O12">
        <f>IF(N12="","",IFERROR(INDEX(GERAL[ACUMULADA],11),0))</f>
        <v>7.2943999999999996</v>
      </c>
      <c r="P12">
        <f t="shared" si="0"/>
        <v>33.351200000000006</v>
      </c>
      <c r="Q12">
        <f t="shared" si="1"/>
        <v>30</v>
      </c>
      <c r="R12">
        <f t="shared" si="2"/>
        <v>0.24314666666666665</v>
      </c>
      <c r="S12">
        <f>IF(N12="","",IFERROR(INDEX(Tabela7[QT %],MATCH(N12,Tabela7[PONTO],0)),0))</f>
        <v>0</v>
      </c>
      <c r="T12">
        <f t="shared" si="3"/>
        <v>0.35892691951896383</v>
      </c>
      <c r="U12">
        <f ca="1">IF(N12="","",IF($B$9&gt;$B$8,IFERROR((INDEX(GERAL[SNAP],11)-$B$8)/($B$9-$B$8),0),0))</f>
        <v>0</v>
      </c>
      <c r="V12" t="str">
        <f t="shared" si="4"/>
        <v/>
      </c>
      <c r="W12" t="str">
        <f>IFERROR(INDEX(GERAL[LADO],11),"")</f>
        <v>LADO 2</v>
      </c>
      <c r="Y12">
        <f>IFERROR(IF(INDEX(GERAL[PONTO],M12)="","",INDEX(GERAL[PONTO],M12)),"")</f>
        <v>9</v>
      </c>
      <c r="Z12">
        <f>IF(Y12="","",IFERROR(INDEX(GERAL[ACUMULADA],11),0))</f>
        <v>7.2943999999999996</v>
      </c>
      <c r="AA12">
        <f t="shared" si="5"/>
        <v>98.737599999999986</v>
      </c>
      <c r="AB12">
        <f t="shared" si="6"/>
        <v>30</v>
      </c>
      <c r="AC12">
        <f t="shared" si="7"/>
        <v>0.24314666666666665</v>
      </c>
      <c r="AD12">
        <f>IF(Y12="","",IFERROR(INDEX(DIR_ATUAL[QT %],MATCH(Y12,DIR_ATUAL[PONTO],0)),0))</f>
        <v>6.8728388706174939E-2</v>
      </c>
      <c r="AE12">
        <f t="shared" si="8"/>
        <v>0.13758865248226948</v>
      </c>
      <c r="AF12">
        <f ca="1">IF(Y12="","",IF($E$9&gt;$E$8,IFERROR((INDEX(GERAL[SNAP],11)-$E$8)/($E$9-$E$8),0),0))</f>
        <v>0</v>
      </c>
      <c r="AG12">
        <f t="shared" ca="1" si="9"/>
        <v>0.42756023484511246</v>
      </c>
      <c r="AH12" t="str">
        <f>IFERROR(INDEX(GERAL[LADO],11),"")</f>
        <v>LADO 2</v>
      </c>
    </row>
    <row r="13" spans="1:34" x14ac:dyDescent="0.3">
      <c r="A13" s="100" t="s">
        <v>166</v>
      </c>
      <c r="B13" s="100" t="s">
        <v>13</v>
      </c>
      <c r="C13" s="100" t="s">
        <v>167</v>
      </c>
      <c r="D13" s="100" t="s">
        <v>168</v>
      </c>
      <c r="E13" s="100" t="s">
        <v>169</v>
      </c>
      <c r="F13" s="100" t="s">
        <v>170</v>
      </c>
      <c r="G13" s="100" t="s">
        <v>171</v>
      </c>
      <c r="H13" s="100" t="s">
        <v>172</v>
      </c>
      <c r="I13" s="100" t="s">
        <v>173</v>
      </c>
      <c r="J13" s="100" t="s">
        <v>174</v>
      </c>
      <c r="M13">
        <v>12</v>
      </c>
      <c r="N13" t="str">
        <f>IFERROR(IF(INDEX(GERAL[PONTO],M13)="","",INDEX(GERAL[PONTO],M13)),"")</f>
        <v/>
      </c>
      <c r="O13" t="str">
        <f>IF(N13="","",IFERROR(INDEX(GERAL[ACUMULADA],12),0))</f>
        <v/>
      </c>
      <c r="P13" t="str">
        <f t="shared" si="0"/>
        <v/>
      </c>
      <c r="Q13" t="str">
        <f t="shared" si="1"/>
        <v/>
      </c>
      <c r="R13" t="str">
        <f t="shared" si="2"/>
        <v/>
      </c>
      <c r="S13" t="str">
        <f>IF(N13="","",IFERROR(INDEX(Tabela7[QT %],MATCH(N13,Tabela7[PONTO],0)),0))</f>
        <v/>
      </c>
      <c r="T13" t="str">
        <f t="shared" si="3"/>
        <v/>
      </c>
      <c r="U13" t="str">
        <f>IF(N13="","",IF($B$9&gt;$B$8,IFERROR((INDEX(GERAL[SNAP],12)-$B$8)/($B$9-$B$8),0),0))</f>
        <v/>
      </c>
      <c r="V13" t="str">
        <f t="shared" si="4"/>
        <v/>
      </c>
      <c r="W13">
        <f>IFERROR(INDEX(GERAL[LADO],12),"")</f>
        <v>0</v>
      </c>
      <c r="Y13" t="str">
        <f>IFERROR(IF(INDEX(GERAL[PONTO],M13)="","",INDEX(GERAL[PONTO],M13)),"")</f>
        <v/>
      </c>
      <c r="Z13" t="str">
        <f>IF(Y13="","",IFERROR(INDEX(GERAL[ACUMULADA],12),0))</f>
        <v/>
      </c>
      <c r="AA13" t="str">
        <f t="shared" si="5"/>
        <v/>
      </c>
      <c r="AB13" t="str">
        <f t="shared" si="6"/>
        <v/>
      </c>
      <c r="AC13" t="str">
        <f t="shared" si="7"/>
        <v/>
      </c>
      <c r="AD13" t="str">
        <f>IF(Y13="","",IFERROR(INDEX(DIR_ATUAL[QT %],MATCH(Y13,DIR_ATUAL[PONTO],0)),0))</f>
        <v/>
      </c>
      <c r="AE13" t="str">
        <f t="shared" si="8"/>
        <v/>
      </c>
      <c r="AF13" t="str">
        <f>IF(Y13="","",IF($E$9&gt;$E$8,IFERROR((INDEX(GERAL[SNAP],12)-$E$8)/($E$9-$E$8),0),0))</f>
        <v/>
      </c>
      <c r="AG13" t="str">
        <f t="shared" si="9"/>
        <v/>
      </c>
      <c r="AH13">
        <f>IFERROR(INDEX(GERAL[LADO],12),"")</f>
        <v>0</v>
      </c>
    </row>
    <row r="14" spans="1:34" x14ac:dyDescent="0.3">
      <c r="A14" s="9">
        <v>1</v>
      </c>
      <c r="B14" s="9">
        <f ca="1">IF($J14="","",INDEX($M$2:$M$188,MATCH($J14,$U$2:$U$188,0)))</f>
        <v>1</v>
      </c>
      <c r="C14" s="90">
        <f ca="1">IF($J14="","",INDEX($N$2:$N$188,MATCH($J14,$U$2:$U$188,0)))</f>
        <v>1</v>
      </c>
      <c r="D14" s="103">
        <f ca="1">IF($J14="","",INDEX($O$2:$O$188,MATCH($J14,$U$2:$U$188,0)))</f>
        <v>127.70729411764684</v>
      </c>
      <c r="E14" s="90">
        <f ca="1">IF($J14="","",INDEX($P$2:$P$188,MATCH($J14,$U$2:$U$188,0)))</f>
        <v>-87.061694117646837</v>
      </c>
      <c r="F14" s="90">
        <f ca="1">IF($J14="","",INDEX($Q$2:$Q$188,MATCH($J14,$U$2:$U$188,0)))</f>
        <v>150</v>
      </c>
      <c r="G14" s="59">
        <f ca="1">IF($J14="","",INDEX($R$2:$R$188,MATCH($J14,$U$2:$U$188,0)))</f>
        <v>0.85138196078431227</v>
      </c>
      <c r="H14" s="59">
        <f ca="1">IF($J14="","",INDEX($S$2:$S$188,MATCH($J14,$U$2:$U$188,0)))</f>
        <v>4.951052674934725E-2</v>
      </c>
      <c r="I14" s="59">
        <f ca="1">IF($J14="","",INDEX($T$2:$T$188,MATCH($J14,$U$2:$U$188,0)))</f>
        <v>-4.2839418838765742</v>
      </c>
      <c r="J14" s="107">
        <f ca="1">IFERROR(LARGE($U$2:$U$188,A14),"")</f>
        <v>0</v>
      </c>
      <c r="M14">
        <v>13</v>
      </c>
      <c r="N14" t="str">
        <f>IFERROR(IF(INDEX(GERAL[PONTO],M14)="","",INDEX(GERAL[PONTO],M14)),"")</f>
        <v/>
      </c>
      <c r="O14" t="str">
        <f>IF(N14="","",IFERROR(INDEX(GERAL[ACUMULADA],13),0))</f>
        <v/>
      </c>
      <c r="P14" t="str">
        <f t="shared" si="0"/>
        <v/>
      </c>
      <c r="Q14" t="str">
        <f t="shared" si="1"/>
        <v/>
      </c>
      <c r="R14" t="str">
        <f t="shared" si="2"/>
        <v/>
      </c>
      <c r="S14" t="str">
        <f>IF(N14="","",IFERROR(INDEX(Tabela7[QT %],MATCH(N14,Tabela7[PONTO],0)),0))</f>
        <v/>
      </c>
      <c r="T14" t="str">
        <f t="shared" si="3"/>
        <v/>
      </c>
      <c r="U14" t="str">
        <f>IF(N14="","",IF($B$9&gt;$B$8,IFERROR((INDEX(GERAL[SNAP],13)-$B$8)/($B$9-$B$8),0),0))</f>
        <v/>
      </c>
      <c r="V14" t="str">
        <f t="shared" si="4"/>
        <v/>
      </c>
      <c r="W14">
        <f>IFERROR(INDEX(GERAL[LADO],13),"")</f>
        <v>0</v>
      </c>
      <c r="Y14" t="str">
        <f>IFERROR(IF(INDEX(GERAL[PONTO],M14)="","",INDEX(GERAL[PONTO],M14)),"")</f>
        <v/>
      </c>
      <c r="Z14" t="str">
        <f>IF(Y14="","",IFERROR(INDEX(GERAL[ACUMULADA],13),0))</f>
        <v/>
      </c>
      <c r="AA14" t="str">
        <f t="shared" si="5"/>
        <v/>
      </c>
      <c r="AB14" t="str">
        <f t="shared" si="6"/>
        <v/>
      </c>
      <c r="AC14" t="str">
        <f t="shared" si="7"/>
        <v/>
      </c>
      <c r="AD14" t="str">
        <f>IF(Y14="","",IFERROR(INDEX(DIR_ATUAL[QT %],MATCH(Y14,DIR_ATUAL[PONTO],0)),0))</f>
        <v/>
      </c>
      <c r="AE14" t="str">
        <f t="shared" si="8"/>
        <v/>
      </c>
      <c r="AF14" t="str">
        <f>IF(Y14="","",IF($E$9&gt;$E$8,IFERROR((INDEX(GERAL[SNAP],13)-$E$8)/($E$9-$E$8),0),0))</f>
        <v/>
      </c>
      <c r="AG14" t="str">
        <f t="shared" si="9"/>
        <v/>
      </c>
      <c r="AH14">
        <f>IFERROR(INDEX(GERAL[LADO],13),"")</f>
        <v>0</v>
      </c>
    </row>
    <row r="15" spans="1:34" x14ac:dyDescent="0.3">
      <c r="A15" s="9">
        <v>2</v>
      </c>
      <c r="B15" s="9">
        <f t="shared" ref="B15:B23" ca="1" si="10">IF($J15="","",INDEX($M$2:$M$188,MATCH($J15,$U$2:$U$188,0)))</f>
        <v>1</v>
      </c>
      <c r="C15" s="90">
        <f t="shared" ref="C15:C23" ca="1" si="11">IF($J15="","",INDEX($N$2:$N$188,MATCH($J15,$U$2:$U$188,0)))</f>
        <v>1</v>
      </c>
      <c r="D15" s="103">
        <f t="shared" ref="D15:D23" ca="1" si="12">IF($J15="","",INDEX($O$2:$O$188,MATCH($J15,$U$2:$U$188,0)))</f>
        <v>127.70729411764684</v>
      </c>
      <c r="E15" s="90">
        <f t="shared" ref="E15:E23" ca="1" si="13">IF($J15="","",INDEX($P$2:$P$188,MATCH($J15,$U$2:$U$188,0)))</f>
        <v>-87.061694117646837</v>
      </c>
      <c r="F15" s="90">
        <f t="shared" ref="F15:F23" ca="1" si="14">IF($J15="","",INDEX($Q$2:$Q$188,MATCH($J15,$U$2:$U$188,0)))</f>
        <v>150</v>
      </c>
      <c r="G15" s="59">
        <f t="shared" ref="G15:G23" ca="1" si="15">IF($J15="","",INDEX($R$2:$R$188,MATCH($J15,$U$2:$U$188,0)))</f>
        <v>0.85138196078431227</v>
      </c>
      <c r="H15" s="59">
        <f t="shared" ref="H15:H23" ca="1" si="16">IF($J15="","",INDEX($S$2:$S$188,MATCH($J15,$U$2:$U$188,0)))</f>
        <v>4.951052674934725E-2</v>
      </c>
      <c r="I15" s="59">
        <f t="shared" ref="I15:I23" ca="1" si="17">IF($J15="","",INDEX($T$2:$T$188,MATCH($J15,$U$2:$U$188,0)))</f>
        <v>-4.2839418838765742</v>
      </c>
      <c r="J15" s="107">
        <f t="shared" ref="J15:J23" ca="1" si="18">IFERROR(LARGE($U$2:$U$188,A15),"")</f>
        <v>0</v>
      </c>
      <c r="M15">
        <v>14</v>
      </c>
      <c r="N15" t="str">
        <f>IFERROR(IF(INDEX(GERAL[PONTO],M15)="","",INDEX(GERAL[PONTO],M15)),"")</f>
        <v/>
      </c>
      <c r="O15" t="str">
        <f>IF(N15="","",IFERROR(INDEX(GERAL[ACUMULADA],14),0))</f>
        <v/>
      </c>
      <c r="P15" t="str">
        <f t="shared" si="0"/>
        <v/>
      </c>
      <c r="Q15" t="str">
        <f t="shared" si="1"/>
        <v/>
      </c>
      <c r="R15" t="str">
        <f t="shared" si="2"/>
        <v/>
      </c>
      <c r="S15" t="str">
        <f>IF(N15="","",IFERROR(INDEX(Tabela7[QT %],MATCH(N15,Tabela7[PONTO],0)),0))</f>
        <v/>
      </c>
      <c r="T15" t="str">
        <f t="shared" si="3"/>
        <v/>
      </c>
      <c r="U15" t="str">
        <f>IF(N15="","",IF($B$9&gt;$B$8,IFERROR((INDEX(GERAL[SNAP],14)-$B$8)/($B$9-$B$8),0),0))</f>
        <v/>
      </c>
      <c r="V15" t="str">
        <f t="shared" si="4"/>
        <v/>
      </c>
      <c r="W15">
        <f>IFERROR(INDEX(GERAL[LADO],14),"")</f>
        <v>0</v>
      </c>
      <c r="Y15" t="str">
        <f>IFERROR(IF(INDEX(GERAL[PONTO],M15)="","",INDEX(GERAL[PONTO],M15)),"")</f>
        <v/>
      </c>
      <c r="Z15" t="str">
        <f>IF(Y15="","",IFERROR(INDEX(GERAL[ACUMULADA],14),0))</f>
        <v/>
      </c>
      <c r="AA15" t="str">
        <f t="shared" si="5"/>
        <v/>
      </c>
      <c r="AB15" t="str">
        <f t="shared" si="6"/>
        <v/>
      </c>
      <c r="AC15" t="str">
        <f t="shared" si="7"/>
        <v/>
      </c>
      <c r="AD15" t="str">
        <f>IF(Y15="","",IFERROR(INDEX(DIR_ATUAL[QT %],MATCH(Y15,DIR_ATUAL[PONTO],0)),0))</f>
        <v/>
      </c>
      <c r="AE15" t="str">
        <f t="shared" si="8"/>
        <v/>
      </c>
      <c r="AF15" t="str">
        <f>IF(Y15="","",IF($E$9&gt;$E$8,IFERROR((INDEX(GERAL[SNAP],14)-$E$8)/($E$9-$E$8),0),0))</f>
        <v/>
      </c>
      <c r="AG15" t="str">
        <f t="shared" si="9"/>
        <v/>
      </c>
      <c r="AH15">
        <f>IFERROR(INDEX(GERAL[LADO],14),"")</f>
        <v>0</v>
      </c>
    </row>
    <row r="16" spans="1:34" x14ac:dyDescent="0.3">
      <c r="A16" s="9">
        <v>3</v>
      </c>
      <c r="B16" s="9">
        <f t="shared" ca="1" si="10"/>
        <v>1</v>
      </c>
      <c r="C16" s="90">
        <f t="shared" ca="1" si="11"/>
        <v>1</v>
      </c>
      <c r="D16" s="103">
        <f t="shared" ca="1" si="12"/>
        <v>127.70729411764684</v>
      </c>
      <c r="E16" s="90">
        <f t="shared" ca="1" si="13"/>
        <v>-87.061694117646837</v>
      </c>
      <c r="F16" s="90">
        <f t="shared" ca="1" si="14"/>
        <v>150</v>
      </c>
      <c r="G16" s="59">
        <f t="shared" ca="1" si="15"/>
        <v>0.85138196078431227</v>
      </c>
      <c r="H16" s="59">
        <f t="shared" ca="1" si="16"/>
        <v>4.951052674934725E-2</v>
      </c>
      <c r="I16" s="59">
        <f t="shared" ca="1" si="17"/>
        <v>-4.2839418838765742</v>
      </c>
      <c r="J16" s="107">
        <f t="shared" ca="1" si="18"/>
        <v>0</v>
      </c>
      <c r="M16">
        <v>15</v>
      </c>
      <c r="N16" t="str">
        <f>IFERROR(IF(INDEX(GERAL[PONTO],M16)="","",INDEX(GERAL[PONTO],M16)),"")</f>
        <v/>
      </c>
      <c r="O16" t="str">
        <f>IF(N16="","",IFERROR(INDEX(GERAL[ACUMULADA],15),0))</f>
        <v/>
      </c>
      <c r="P16" t="str">
        <f t="shared" si="0"/>
        <v/>
      </c>
      <c r="Q16" t="str">
        <f t="shared" si="1"/>
        <v/>
      </c>
      <c r="R16" t="str">
        <f t="shared" si="2"/>
        <v/>
      </c>
      <c r="S16" t="str">
        <f>IF(N16="","",IFERROR(INDEX(Tabela7[QT %],MATCH(N16,Tabela7[PONTO],0)),0))</f>
        <v/>
      </c>
      <c r="T16" t="str">
        <f t="shared" si="3"/>
        <v/>
      </c>
      <c r="U16" t="str">
        <f>IF(N16="","",IF($B$9&gt;$B$8,IFERROR((INDEX(GERAL[SNAP],15)-$B$8)/($B$9-$B$8),0),0))</f>
        <v/>
      </c>
      <c r="V16" t="str">
        <f t="shared" si="4"/>
        <v/>
      </c>
      <c r="W16">
        <f>IFERROR(INDEX(GERAL[LADO],15),"")</f>
        <v>0</v>
      </c>
      <c r="Y16" t="str">
        <f>IFERROR(IF(INDEX(GERAL[PONTO],M16)="","",INDEX(GERAL[PONTO],M16)),"")</f>
        <v/>
      </c>
      <c r="Z16" t="str">
        <f>IF(Y16="","",IFERROR(INDEX(GERAL[ACUMULADA],15),0))</f>
        <v/>
      </c>
      <c r="AA16" t="str">
        <f t="shared" si="5"/>
        <v/>
      </c>
      <c r="AB16" t="str">
        <f t="shared" si="6"/>
        <v/>
      </c>
      <c r="AC16" t="str">
        <f t="shared" si="7"/>
        <v/>
      </c>
      <c r="AD16" t="str">
        <f>IF(Y16="","",IFERROR(INDEX(DIR_ATUAL[QT %],MATCH(Y16,DIR_ATUAL[PONTO],0)),0))</f>
        <v/>
      </c>
      <c r="AE16" t="str">
        <f t="shared" si="8"/>
        <v/>
      </c>
      <c r="AF16" t="str">
        <f>IF(Y16="","",IF($E$9&gt;$E$8,IFERROR((INDEX(GERAL[SNAP],15)-$E$8)/($E$9-$E$8),0),0))</f>
        <v/>
      </c>
      <c r="AG16" t="str">
        <f t="shared" si="9"/>
        <v/>
      </c>
      <c r="AH16">
        <f>IFERROR(INDEX(GERAL[LADO],15),"")</f>
        <v>0</v>
      </c>
    </row>
    <row r="17" spans="1:34" x14ac:dyDescent="0.3">
      <c r="A17" s="9">
        <v>4</v>
      </c>
      <c r="B17" s="9">
        <f t="shared" ca="1" si="10"/>
        <v>1</v>
      </c>
      <c r="C17" s="90">
        <f t="shared" ca="1" si="11"/>
        <v>1</v>
      </c>
      <c r="D17" s="103">
        <f t="shared" ca="1" si="12"/>
        <v>127.70729411764684</v>
      </c>
      <c r="E17" s="90">
        <f t="shared" ca="1" si="13"/>
        <v>-87.061694117646837</v>
      </c>
      <c r="F17" s="90">
        <f t="shared" ca="1" si="14"/>
        <v>150</v>
      </c>
      <c r="G17" s="59">
        <f t="shared" ca="1" si="15"/>
        <v>0.85138196078431227</v>
      </c>
      <c r="H17" s="59">
        <f t="shared" ca="1" si="16"/>
        <v>4.951052674934725E-2</v>
      </c>
      <c r="I17" s="59">
        <f t="shared" ca="1" si="17"/>
        <v>-4.2839418838765742</v>
      </c>
      <c r="J17" s="107">
        <f t="shared" ca="1" si="18"/>
        <v>0</v>
      </c>
      <c r="M17">
        <v>16</v>
      </c>
      <c r="N17" t="str">
        <f>IFERROR(IF(INDEX(GERAL[PONTO],M17)="","",INDEX(GERAL[PONTO],M17)),"")</f>
        <v/>
      </c>
      <c r="O17" t="str">
        <f>IF(N17="","",IFERROR(INDEX(GERAL[ACUMULADA],16),0))</f>
        <v/>
      </c>
      <c r="P17" t="str">
        <f t="shared" si="0"/>
        <v/>
      </c>
      <c r="Q17" t="str">
        <f t="shared" si="1"/>
        <v/>
      </c>
      <c r="R17" t="str">
        <f t="shared" si="2"/>
        <v/>
      </c>
      <c r="S17" t="str">
        <f>IF(N17="","",IFERROR(INDEX(Tabela7[QT %],MATCH(N17,Tabela7[PONTO],0)),0))</f>
        <v/>
      </c>
      <c r="T17" t="str">
        <f t="shared" si="3"/>
        <v/>
      </c>
      <c r="U17" t="str">
        <f>IF(N17="","",IF($B$9&gt;$B$8,IFERROR((INDEX(GERAL[SNAP],16)-$B$8)/($B$9-$B$8),0),0))</f>
        <v/>
      </c>
      <c r="V17" t="str">
        <f t="shared" si="4"/>
        <v/>
      </c>
      <c r="W17">
        <f>IFERROR(INDEX(GERAL[LADO],16),"")</f>
        <v>0</v>
      </c>
      <c r="Y17" t="str">
        <f>IFERROR(IF(INDEX(GERAL[PONTO],M17)="","",INDEX(GERAL[PONTO],M17)),"")</f>
        <v/>
      </c>
      <c r="Z17" t="str">
        <f>IF(Y17="","",IFERROR(INDEX(GERAL[ACUMULADA],16),0))</f>
        <v/>
      </c>
      <c r="AA17" t="str">
        <f t="shared" si="5"/>
        <v/>
      </c>
      <c r="AB17" t="str">
        <f t="shared" si="6"/>
        <v/>
      </c>
      <c r="AC17" t="str">
        <f t="shared" si="7"/>
        <v/>
      </c>
      <c r="AD17" t="str">
        <f>IF(Y17="","",IFERROR(INDEX(DIR_ATUAL[QT %],MATCH(Y17,DIR_ATUAL[PONTO],0)),0))</f>
        <v/>
      </c>
      <c r="AE17" t="str">
        <f t="shared" si="8"/>
        <v/>
      </c>
      <c r="AF17" t="str">
        <f>IF(Y17="","",IF($E$9&gt;$E$8,IFERROR((INDEX(GERAL[SNAP],16)-$E$8)/($E$9-$E$8),0),0))</f>
        <v/>
      </c>
      <c r="AG17" t="str">
        <f t="shared" si="9"/>
        <v/>
      </c>
      <c r="AH17">
        <f>IFERROR(INDEX(GERAL[LADO],16),"")</f>
        <v>0</v>
      </c>
    </row>
    <row r="18" spans="1:34" x14ac:dyDescent="0.3">
      <c r="A18" s="9">
        <v>5</v>
      </c>
      <c r="B18" s="9">
        <f t="shared" ca="1" si="10"/>
        <v>1</v>
      </c>
      <c r="C18" s="90">
        <f t="shared" ca="1" si="11"/>
        <v>1</v>
      </c>
      <c r="D18" s="103">
        <f t="shared" ca="1" si="12"/>
        <v>127.70729411764684</v>
      </c>
      <c r="E18" s="90">
        <f t="shared" ca="1" si="13"/>
        <v>-87.061694117646837</v>
      </c>
      <c r="F18" s="90">
        <f t="shared" ca="1" si="14"/>
        <v>150</v>
      </c>
      <c r="G18" s="59">
        <f t="shared" ca="1" si="15"/>
        <v>0.85138196078431227</v>
      </c>
      <c r="H18" s="59">
        <f t="shared" ca="1" si="16"/>
        <v>4.951052674934725E-2</v>
      </c>
      <c r="I18" s="59">
        <f t="shared" ca="1" si="17"/>
        <v>-4.2839418838765742</v>
      </c>
      <c r="J18" s="107">
        <f t="shared" ca="1" si="18"/>
        <v>0</v>
      </c>
      <c r="M18">
        <v>17</v>
      </c>
      <c r="N18" t="str">
        <f>IFERROR(IF(INDEX(GERAL[PONTO],M18)="","",INDEX(GERAL[PONTO],M18)),"")</f>
        <v/>
      </c>
      <c r="O18" t="str">
        <f>IF(N18="","",IFERROR(INDEX(GERAL[ACUMULADA],17),0))</f>
        <v/>
      </c>
      <c r="P18" t="str">
        <f t="shared" si="0"/>
        <v/>
      </c>
      <c r="Q18" t="str">
        <f t="shared" si="1"/>
        <v/>
      </c>
      <c r="R18" t="str">
        <f t="shared" si="2"/>
        <v/>
      </c>
      <c r="S18" t="str">
        <f>IF(N18="","",IFERROR(INDEX(Tabela7[QT %],MATCH(N18,Tabela7[PONTO],0)),0))</f>
        <v/>
      </c>
      <c r="T18" t="str">
        <f t="shared" si="3"/>
        <v/>
      </c>
      <c r="U18" t="str">
        <f>IF(N18="","",IF($B$9&gt;$B$8,IFERROR((INDEX(GERAL[SNAP],17)-$B$8)/($B$9-$B$8),0),0))</f>
        <v/>
      </c>
      <c r="V18" t="str">
        <f t="shared" si="4"/>
        <v/>
      </c>
      <c r="W18">
        <f>IFERROR(INDEX(GERAL[LADO],17),"")</f>
        <v>0</v>
      </c>
      <c r="Y18" t="str">
        <f>IFERROR(IF(INDEX(GERAL[PONTO],M18)="","",INDEX(GERAL[PONTO],M18)),"")</f>
        <v/>
      </c>
      <c r="Z18" t="str">
        <f>IF(Y18="","",IFERROR(INDEX(GERAL[ACUMULADA],17),0))</f>
        <v/>
      </c>
      <c r="AA18" t="str">
        <f t="shared" si="5"/>
        <v/>
      </c>
      <c r="AB18" t="str">
        <f t="shared" si="6"/>
        <v/>
      </c>
      <c r="AC18" t="str">
        <f t="shared" si="7"/>
        <v/>
      </c>
      <c r="AD18" t="str">
        <f>IF(Y18="","",IFERROR(INDEX(DIR_ATUAL[QT %],MATCH(Y18,DIR_ATUAL[PONTO],0)),0))</f>
        <v/>
      </c>
      <c r="AE18" t="str">
        <f t="shared" si="8"/>
        <v/>
      </c>
      <c r="AF18" t="str">
        <f>IF(Y18="","",IF($E$9&gt;$E$8,IFERROR((INDEX(GERAL[SNAP],17)-$E$8)/($E$9-$E$8),0),0))</f>
        <v/>
      </c>
      <c r="AG18" t="str">
        <f t="shared" si="9"/>
        <v/>
      </c>
      <c r="AH18">
        <f>IFERROR(INDEX(GERAL[LADO],17),"")</f>
        <v>0</v>
      </c>
    </row>
    <row r="19" spans="1:34" x14ac:dyDescent="0.3">
      <c r="A19" s="9">
        <v>6</v>
      </c>
      <c r="B19" s="9">
        <f t="shared" ca="1" si="10"/>
        <v>1</v>
      </c>
      <c r="C19" s="90">
        <f t="shared" ca="1" si="11"/>
        <v>1</v>
      </c>
      <c r="D19" s="103">
        <f t="shared" ca="1" si="12"/>
        <v>127.70729411764684</v>
      </c>
      <c r="E19" s="90">
        <f t="shared" ca="1" si="13"/>
        <v>-87.061694117646837</v>
      </c>
      <c r="F19" s="90">
        <f t="shared" ca="1" si="14"/>
        <v>150</v>
      </c>
      <c r="G19" s="59">
        <f t="shared" ca="1" si="15"/>
        <v>0.85138196078431227</v>
      </c>
      <c r="H19" s="59">
        <f t="shared" ca="1" si="16"/>
        <v>4.951052674934725E-2</v>
      </c>
      <c r="I19" s="59">
        <f t="shared" ca="1" si="17"/>
        <v>-4.2839418838765742</v>
      </c>
      <c r="J19" s="107">
        <f t="shared" ca="1" si="18"/>
        <v>0</v>
      </c>
      <c r="M19">
        <v>18</v>
      </c>
      <c r="N19" t="str">
        <f>IFERROR(IF(INDEX(GERAL[PONTO],M19)="","",INDEX(GERAL[PONTO],M19)),"")</f>
        <v/>
      </c>
      <c r="O19" t="str">
        <f>IF(N19="","",IFERROR(INDEX(GERAL[ACUMULADA],18),0))</f>
        <v/>
      </c>
      <c r="P19" t="str">
        <f t="shared" si="0"/>
        <v/>
      </c>
      <c r="Q19" t="str">
        <f t="shared" si="1"/>
        <v/>
      </c>
      <c r="R19" t="str">
        <f t="shared" si="2"/>
        <v/>
      </c>
      <c r="S19" t="str">
        <f>IF(N19="","",IFERROR(INDEX(Tabela7[QT %],MATCH(N19,Tabela7[PONTO],0)),0))</f>
        <v/>
      </c>
      <c r="T19" t="str">
        <f t="shared" si="3"/>
        <v/>
      </c>
      <c r="U19" t="str">
        <f>IF(N19="","",IF($B$9&gt;$B$8,IFERROR((INDEX(GERAL[SNAP],18)-$B$8)/($B$9-$B$8),0),0))</f>
        <v/>
      </c>
      <c r="V19" t="str">
        <f t="shared" si="4"/>
        <v/>
      </c>
      <c r="W19">
        <f>IFERROR(INDEX(GERAL[LADO],18),"")</f>
        <v>0</v>
      </c>
      <c r="Y19" t="str">
        <f>IFERROR(IF(INDEX(GERAL[PONTO],M19)="","",INDEX(GERAL[PONTO],M19)),"")</f>
        <v/>
      </c>
      <c r="Z19" t="str">
        <f>IF(Y19="","",IFERROR(INDEX(GERAL[ACUMULADA],18),0))</f>
        <v/>
      </c>
      <c r="AA19" t="str">
        <f t="shared" si="5"/>
        <v/>
      </c>
      <c r="AB19" t="str">
        <f t="shared" si="6"/>
        <v/>
      </c>
      <c r="AC19" t="str">
        <f t="shared" si="7"/>
        <v/>
      </c>
      <c r="AD19" t="str">
        <f>IF(Y19="","",IFERROR(INDEX(DIR_ATUAL[QT %],MATCH(Y19,DIR_ATUAL[PONTO],0)),0))</f>
        <v/>
      </c>
      <c r="AE19" t="str">
        <f t="shared" si="8"/>
        <v/>
      </c>
      <c r="AF19" t="str">
        <f>IF(Y19="","",IF($E$9&gt;$E$8,IFERROR((INDEX(GERAL[SNAP],18)-$E$8)/($E$9-$E$8),0),0))</f>
        <v/>
      </c>
      <c r="AG19" t="str">
        <f t="shared" si="9"/>
        <v/>
      </c>
      <c r="AH19">
        <f>IFERROR(INDEX(GERAL[LADO],18),"")</f>
        <v>0</v>
      </c>
    </row>
    <row r="20" spans="1:34" x14ac:dyDescent="0.3">
      <c r="A20" s="9">
        <v>7</v>
      </c>
      <c r="B20" s="9">
        <f t="shared" ca="1" si="10"/>
        <v>1</v>
      </c>
      <c r="C20" s="90">
        <f t="shared" ca="1" si="11"/>
        <v>1</v>
      </c>
      <c r="D20" s="103">
        <f t="shared" ca="1" si="12"/>
        <v>127.70729411764684</v>
      </c>
      <c r="E20" s="90">
        <f t="shared" ca="1" si="13"/>
        <v>-87.061694117646837</v>
      </c>
      <c r="F20" s="90">
        <f t="shared" ca="1" si="14"/>
        <v>150</v>
      </c>
      <c r="G20" s="59">
        <f t="shared" ca="1" si="15"/>
        <v>0.85138196078431227</v>
      </c>
      <c r="H20" s="59">
        <f t="shared" ca="1" si="16"/>
        <v>4.951052674934725E-2</v>
      </c>
      <c r="I20" s="59">
        <f t="shared" ca="1" si="17"/>
        <v>-4.2839418838765742</v>
      </c>
      <c r="J20" s="107">
        <f t="shared" ca="1" si="18"/>
        <v>0</v>
      </c>
      <c r="M20">
        <v>19</v>
      </c>
      <c r="N20" t="str">
        <f>IFERROR(IF(INDEX(GERAL[PONTO],M20)="","",INDEX(GERAL[PONTO],M20)),"")</f>
        <v/>
      </c>
      <c r="O20" t="str">
        <f>IF(N20="","",IFERROR(INDEX(GERAL[ACUMULADA],19),0))</f>
        <v/>
      </c>
      <c r="P20" t="str">
        <f t="shared" si="0"/>
        <v/>
      </c>
      <c r="Q20" t="str">
        <f t="shared" si="1"/>
        <v/>
      </c>
      <c r="R20" t="str">
        <f t="shared" si="2"/>
        <v/>
      </c>
      <c r="S20" t="str">
        <f>IF(N20="","",IFERROR(INDEX(Tabela7[QT %],MATCH(N20,Tabela7[PONTO],0)),0))</f>
        <v/>
      </c>
      <c r="T20" t="str">
        <f t="shared" si="3"/>
        <v/>
      </c>
      <c r="U20" t="str">
        <f>IF(N20="","",IF($B$9&gt;$B$8,IFERROR((INDEX(GERAL[SNAP],19)-$B$8)/($B$9-$B$8),0),0))</f>
        <v/>
      </c>
      <c r="V20" t="str">
        <f t="shared" si="4"/>
        <v/>
      </c>
      <c r="W20">
        <f>IFERROR(INDEX(GERAL[LADO],19),"")</f>
        <v>0</v>
      </c>
      <c r="Y20" t="str">
        <f>IFERROR(IF(INDEX(GERAL[PONTO],M20)="","",INDEX(GERAL[PONTO],M20)),"")</f>
        <v/>
      </c>
      <c r="Z20" t="str">
        <f>IF(Y20="","",IFERROR(INDEX(GERAL[ACUMULADA],19),0))</f>
        <v/>
      </c>
      <c r="AA20" t="str">
        <f t="shared" si="5"/>
        <v/>
      </c>
      <c r="AB20" t="str">
        <f t="shared" si="6"/>
        <v/>
      </c>
      <c r="AC20" t="str">
        <f t="shared" si="7"/>
        <v/>
      </c>
      <c r="AD20" t="str">
        <f>IF(Y20="","",IFERROR(INDEX(DIR_ATUAL[QT %],MATCH(Y20,DIR_ATUAL[PONTO],0)),0))</f>
        <v/>
      </c>
      <c r="AE20" t="str">
        <f t="shared" si="8"/>
        <v/>
      </c>
      <c r="AF20" t="str">
        <f>IF(Y20="","",IF($E$9&gt;$E$8,IFERROR((INDEX(GERAL[SNAP],19)-$E$8)/($E$9-$E$8),0),0))</f>
        <v/>
      </c>
      <c r="AG20" t="str">
        <f t="shared" si="9"/>
        <v/>
      </c>
      <c r="AH20">
        <f>IFERROR(INDEX(GERAL[LADO],19),"")</f>
        <v>0</v>
      </c>
    </row>
    <row r="21" spans="1:34" x14ac:dyDescent="0.3">
      <c r="A21" s="9">
        <v>8</v>
      </c>
      <c r="B21" s="9">
        <f t="shared" ca="1" si="10"/>
        <v>1</v>
      </c>
      <c r="C21" s="90">
        <f t="shared" ca="1" si="11"/>
        <v>1</v>
      </c>
      <c r="D21" s="103">
        <f t="shared" ca="1" si="12"/>
        <v>127.70729411764684</v>
      </c>
      <c r="E21" s="90">
        <f t="shared" ca="1" si="13"/>
        <v>-87.061694117646837</v>
      </c>
      <c r="F21" s="90">
        <f t="shared" ca="1" si="14"/>
        <v>150</v>
      </c>
      <c r="G21" s="59">
        <f t="shared" ca="1" si="15"/>
        <v>0.85138196078431227</v>
      </c>
      <c r="H21" s="59">
        <f t="shared" ca="1" si="16"/>
        <v>4.951052674934725E-2</v>
      </c>
      <c r="I21" s="59">
        <f t="shared" ca="1" si="17"/>
        <v>-4.2839418838765742</v>
      </c>
      <c r="J21" s="107">
        <f t="shared" ca="1" si="18"/>
        <v>0</v>
      </c>
      <c r="M21">
        <v>20</v>
      </c>
      <c r="N21" t="str">
        <f>IFERROR(IF(INDEX(GERAL[PONTO],M21)="","",INDEX(GERAL[PONTO],M21)),"")</f>
        <v/>
      </c>
      <c r="O21" t="str">
        <f>IF(N21="","",IFERROR(INDEX(GERAL[ACUMULADA],20),0))</f>
        <v/>
      </c>
      <c r="P21" t="str">
        <f t="shared" si="0"/>
        <v/>
      </c>
      <c r="Q21" t="str">
        <f t="shared" si="1"/>
        <v/>
      </c>
      <c r="R21" t="str">
        <f t="shared" si="2"/>
        <v/>
      </c>
      <c r="S21" t="str">
        <f>IF(N21="","",IFERROR(INDEX(Tabela7[QT %],MATCH(N21,Tabela7[PONTO],0)),0))</f>
        <v/>
      </c>
      <c r="T21" t="str">
        <f t="shared" si="3"/>
        <v/>
      </c>
      <c r="U21" t="str">
        <f>IF(N21="","",IF($B$9&gt;$B$8,IFERROR((INDEX(GERAL[SNAP],20)-$B$8)/($B$9-$B$8),0),0))</f>
        <v/>
      </c>
      <c r="V21" t="str">
        <f t="shared" si="4"/>
        <v/>
      </c>
      <c r="W21">
        <f>IFERROR(INDEX(GERAL[LADO],20),"")</f>
        <v>0</v>
      </c>
      <c r="Y21" t="str">
        <f>IFERROR(IF(INDEX(GERAL[PONTO],M21)="","",INDEX(GERAL[PONTO],M21)),"")</f>
        <v/>
      </c>
      <c r="Z21" t="str">
        <f>IF(Y21="","",IFERROR(INDEX(GERAL[ACUMULADA],20),0))</f>
        <v/>
      </c>
      <c r="AA21" t="str">
        <f t="shared" si="5"/>
        <v/>
      </c>
      <c r="AB21" t="str">
        <f t="shared" si="6"/>
        <v/>
      </c>
      <c r="AC21" t="str">
        <f t="shared" si="7"/>
        <v/>
      </c>
      <c r="AD21" t="str">
        <f>IF(Y21="","",IFERROR(INDEX(DIR_ATUAL[QT %],MATCH(Y21,DIR_ATUAL[PONTO],0)),0))</f>
        <v/>
      </c>
      <c r="AE21" t="str">
        <f t="shared" si="8"/>
        <v/>
      </c>
      <c r="AF21" t="str">
        <f>IF(Y21="","",IF($E$9&gt;$E$8,IFERROR((INDEX(GERAL[SNAP],20)-$E$8)/($E$9-$E$8),0),0))</f>
        <v/>
      </c>
      <c r="AG21" t="str">
        <f t="shared" si="9"/>
        <v/>
      </c>
      <c r="AH21">
        <f>IFERROR(INDEX(GERAL[LADO],20),"")</f>
        <v>0</v>
      </c>
    </row>
    <row r="22" spans="1:34" x14ac:dyDescent="0.3">
      <c r="A22" s="9">
        <v>9</v>
      </c>
      <c r="B22" s="9">
        <f t="shared" ca="1" si="10"/>
        <v>1</v>
      </c>
      <c r="C22" s="90">
        <f t="shared" ca="1" si="11"/>
        <v>1</v>
      </c>
      <c r="D22" s="103">
        <f t="shared" ca="1" si="12"/>
        <v>127.70729411764684</v>
      </c>
      <c r="E22" s="90">
        <f t="shared" ca="1" si="13"/>
        <v>-87.061694117646837</v>
      </c>
      <c r="F22" s="90">
        <f t="shared" ca="1" si="14"/>
        <v>150</v>
      </c>
      <c r="G22" s="59">
        <f t="shared" ca="1" si="15"/>
        <v>0.85138196078431227</v>
      </c>
      <c r="H22" s="59">
        <f t="shared" ca="1" si="16"/>
        <v>4.951052674934725E-2</v>
      </c>
      <c r="I22" s="59">
        <f t="shared" ca="1" si="17"/>
        <v>-4.2839418838765742</v>
      </c>
      <c r="J22" s="107">
        <f t="shared" ca="1" si="18"/>
        <v>0</v>
      </c>
      <c r="M22">
        <v>21</v>
      </c>
      <c r="N22" t="str">
        <f>IFERROR(IF(INDEX(GERAL[PONTO],M22)="","",INDEX(GERAL[PONTO],M22)),"")</f>
        <v/>
      </c>
      <c r="O22" t="str">
        <f>IF(N22="","",IFERROR(INDEX(GERAL[ACUMULADA],21),0))</f>
        <v/>
      </c>
      <c r="P22" t="str">
        <f t="shared" si="0"/>
        <v/>
      </c>
      <c r="Q22" t="str">
        <f t="shared" si="1"/>
        <v/>
      </c>
      <c r="R22" t="str">
        <f t="shared" si="2"/>
        <v/>
      </c>
      <c r="S22" t="str">
        <f>IF(N22="","",IFERROR(INDEX(Tabela7[QT %],MATCH(N22,Tabela7[PONTO],0)),0))</f>
        <v/>
      </c>
      <c r="T22" t="str">
        <f t="shared" si="3"/>
        <v/>
      </c>
      <c r="U22" t="str">
        <f>IF(N22="","",IF($B$9&gt;$B$8,IFERROR((INDEX(GERAL[SNAP],21)-$B$8)/($B$9-$B$8),0),0))</f>
        <v/>
      </c>
      <c r="V22" t="str">
        <f t="shared" si="4"/>
        <v/>
      </c>
      <c r="W22">
        <f>IFERROR(INDEX(GERAL[LADO],21),"")</f>
        <v>0</v>
      </c>
      <c r="Y22" t="str">
        <f>IFERROR(IF(INDEX(GERAL[PONTO],M22)="","",INDEX(GERAL[PONTO],M22)),"")</f>
        <v/>
      </c>
      <c r="Z22" t="str">
        <f>IF(Y22="","",IFERROR(INDEX(GERAL[ACUMULADA],21),0))</f>
        <v/>
      </c>
      <c r="AA22" t="str">
        <f t="shared" si="5"/>
        <v/>
      </c>
      <c r="AB22" t="str">
        <f t="shared" si="6"/>
        <v/>
      </c>
      <c r="AC22" t="str">
        <f t="shared" si="7"/>
        <v/>
      </c>
      <c r="AD22" t="str">
        <f>IF(Y22="","",IFERROR(INDEX(DIR_ATUAL[QT %],MATCH(Y22,DIR_ATUAL[PONTO],0)),0))</f>
        <v/>
      </c>
      <c r="AE22" t="str">
        <f t="shared" si="8"/>
        <v/>
      </c>
      <c r="AF22" t="str">
        <f>IF(Y22="","",IF($E$9&gt;$E$8,IFERROR((INDEX(GERAL[SNAP],21)-$E$8)/($E$9-$E$8),0),0))</f>
        <v/>
      </c>
      <c r="AG22" t="str">
        <f t="shared" si="9"/>
        <v/>
      </c>
      <c r="AH22">
        <f>IFERROR(INDEX(GERAL[LADO],21),"")</f>
        <v>0</v>
      </c>
    </row>
    <row r="23" spans="1:34" x14ac:dyDescent="0.3">
      <c r="A23" s="9">
        <v>10</v>
      </c>
      <c r="B23" s="9" t="str">
        <f t="shared" ca="1" si="10"/>
        <v/>
      </c>
      <c r="C23" s="90" t="str">
        <f t="shared" ca="1" si="11"/>
        <v/>
      </c>
      <c r="D23" s="103" t="str">
        <f t="shared" ca="1" si="12"/>
        <v/>
      </c>
      <c r="E23" s="90" t="str">
        <f t="shared" ca="1" si="13"/>
        <v/>
      </c>
      <c r="F23" s="90" t="str">
        <f t="shared" ca="1" si="14"/>
        <v/>
      </c>
      <c r="G23" s="59" t="str">
        <f t="shared" ca="1" si="15"/>
        <v/>
      </c>
      <c r="H23" s="59" t="str">
        <f t="shared" ca="1" si="16"/>
        <v/>
      </c>
      <c r="I23" s="59" t="str">
        <f t="shared" ca="1" si="17"/>
        <v/>
      </c>
      <c r="J23" s="107" t="str">
        <f t="shared" ca="1" si="18"/>
        <v/>
      </c>
      <c r="M23">
        <v>22</v>
      </c>
      <c r="N23" t="str">
        <f>IFERROR(IF(INDEX(GERAL[PONTO],M23)="","",INDEX(GERAL[PONTO],M23)),"")</f>
        <v/>
      </c>
      <c r="O23" t="str">
        <f>IF(N23="","",IFERROR(INDEX(GERAL[ACUMULADA],22),0))</f>
        <v/>
      </c>
      <c r="P23" t="str">
        <f t="shared" si="0"/>
        <v/>
      </c>
      <c r="Q23" t="str">
        <f t="shared" si="1"/>
        <v/>
      </c>
      <c r="R23" t="str">
        <f t="shared" si="2"/>
        <v/>
      </c>
      <c r="S23" t="str">
        <f>IF(N23="","",IFERROR(INDEX(Tabela7[QT %],MATCH(N23,Tabela7[PONTO],0)),0))</f>
        <v/>
      </c>
      <c r="T23" t="str">
        <f t="shared" si="3"/>
        <v/>
      </c>
      <c r="U23" t="str">
        <f>IF(N23="","",IF($B$9&gt;$B$8,IFERROR((INDEX(GERAL[SNAP],22)-$B$8)/($B$9-$B$8),0),0))</f>
        <v/>
      </c>
      <c r="V23" t="str">
        <f t="shared" si="4"/>
        <v/>
      </c>
      <c r="W23">
        <f>IFERROR(INDEX(GERAL[LADO],22),"")</f>
        <v>0</v>
      </c>
      <c r="Y23" t="str">
        <f>IFERROR(IF(INDEX(GERAL[PONTO],M23)="","",INDEX(GERAL[PONTO],M23)),"")</f>
        <v/>
      </c>
      <c r="Z23" t="str">
        <f>IF(Y23="","",IFERROR(INDEX(GERAL[ACUMULADA],22),0))</f>
        <v/>
      </c>
      <c r="AA23" t="str">
        <f t="shared" si="5"/>
        <v/>
      </c>
      <c r="AB23" t="str">
        <f t="shared" si="6"/>
        <v/>
      </c>
      <c r="AC23" t="str">
        <f t="shared" si="7"/>
        <v/>
      </c>
      <c r="AD23" t="str">
        <f>IF(Y23="","",IFERROR(INDEX(DIR_ATUAL[QT %],MATCH(Y23,DIR_ATUAL[PONTO],0)),0))</f>
        <v/>
      </c>
      <c r="AE23" t="str">
        <f t="shared" si="8"/>
        <v/>
      </c>
      <c r="AF23" t="str">
        <f>IF(Y23="","",IF($E$9&gt;$E$8,IFERROR((INDEX(GERAL[SNAP],22)-$E$8)/($E$9-$E$8),0),0))</f>
        <v/>
      </c>
      <c r="AG23" t="str">
        <f t="shared" si="9"/>
        <v/>
      </c>
      <c r="AH23">
        <f>IFERROR(INDEX(GERAL[LADO],22),"")</f>
        <v>0</v>
      </c>
    </row>
    <row r="24" spans="1:34" x14ac:dyDescent="0.3">
      <c r="A24" s="9"/>
      <c r="B24" s="9"/>
      <c r="C24" s="90"/>
      <c r="D24" s="103"/>
      <c r="E24" s="90"/>
      <c r="F24" s="90"/>
      <c r="G24" s="59"/>
      <c r="H24" s="59"/>
      <c r="I24" s="59"/>
      <c r="J24" s="107"/>
      <c r="M24">
        <v>23</v>
      </c>
      <c r="N24" t="str">
        <f>IFERROR(IF(INDEX(GERAL[PONTO],M24)="","",INDEX(GERAL[PONTO],M24)),"")</f>
        <v/>
      </c>
      <c r="O24" t="str">
        <f>IF(N24="","",IFERROR(INDEX(GERAL[ACUMULADA],23),0))</f>
        <v/>
      </c>
      <c r="P24" t="str">
        <f t="shared" si="0"/>
        <v/>
      </c>
      <c r="Q24" t="str">
        <f t="shared" si="1"/>
        <v/>
      </c>
      <c r="R24" t="str">
        <f t="shared" si="2"/>
        <v/>
      </c>
      <c r="S24" t="str">
        <f>IF(N24="","",IFERROR(INDEX(Tabela7[QT %],MATCH(N24,Tabela7[PONTO],0)),0))</f>
        <v/>
      </c>
      <c r="T24" t="str">
        <f t="shared" si="3"/>
        <v/>
      </c>
      <c r="U24" t="str">
        <f>IF(N24="","",IF($B$9&gt;$B$8,IFERROR((INDEX(GERAL[SNAP],23)-$B$8)/($B$9-$B$8),0),0))</f>
        <v/>
      </c>
      <c r="V24" t="str">
        <f t="shared" si="4"/>
        <v/>
      </c>
      <c r="W24">
        <f>IFERROR(INDEX(GERAL[LADO],23),"")</f>
        <v>0</v>
      </c>
      <c r="Y24" t="str">
        <f>IFERROR(IF(INDEX(GERAL[PONTO],M24)="","",INDEX(GERAL[PONTO],M24)),"")</f>
        <v/>
      </c>
      <c r="Z24" t="str">
        <f>IF(Y24="","",IFERROR(INDEX(GERAL[ACUMULADA],23),0))</f>
        <v/>
      </c>
      <c r="AA24" t="str">
        <f t="shared" si="5"/>
        <v/>
      </c>
      <c r="AB24" t="str">
        <f t="shared" si="6"/>
        <v/>
      </c>
      <c r="AC24" t="str">
        <f t="shared" si="7"/>
        <v/>
      </c>
      <c r="AD24" t="str">
        <f>IF(Y24="","",IFERROR(INDEX(DIR_ATUAL[QT %],MATCH(Y24,DIR_ATUAL[PONTO],0)),0))</f>
        <v/>
      </c>
      <c r="AE24" t="str">
        <f t="shared" si="8"/>
        <v/>
      </c>
      <c r="AF24" t="str">
        <f>IF(Y24="","",IF($E$9&gt;$E$8,IFERROR((INDEX(GERAL[SNAP],23)-$E$8)/($E$9-$E$8),0),0))</f>
        <v/>
      </c>
      <c r="AG24" t="str">
        <f t="shared" si="9"/>
        <v/>
      </c>
      <c r="AH24">
        <f>IFERROR(INDEX(GERAL[LADO],23),"")</f>
        <v>0</v>
      </c>
    </row>
    <row r="25" spans="1:34" x14ac:dyDescent="0.3">
      <c r="A25" s="9"/>
      <c r="B25" s="9"/>
      <c r="C25" s="90"/>
      <c r="D25" s="103"/>
      <c r="E25" s="90"/>
      <c r="F25" s="90"/>
      <c r="G25" s="59"/>
      <c r="H25" s="59"/>
      <c r="I25" s="59"/>
      <c r="J25" s="107"/>
      <c r="M25">
        <v>24</v>
      </c>
      <c r="N25" t="str">
        <f>IFERROR(IF(INDEX(GERAL[PONTO],M25)="","",INDEX(GERAL[PONTO],M25)),"")</f>
        <v/>
      </c>
      <c r="O25" t="str">
        <f>IF(N25="","",IFERROR(INDEX(GERAL[ACUMULADA],24),0))</f>
        <v/>
      </c>
      <c r="P25" t="str">
        <f t="shared" si="0"/>
        <v/>
      </c>
      <c r="Q25" t="str">
        <f t="shared" si="1"/>
        <v/>
      </c>
      <c r="R25" t="str">
        <f t="shared" si="2"/>
        <v/>
      </c>
      <c r="S25" t="str">
        <f>IF(N25="","",IFERROR(INDEX(Tabela7[QT %],MATCH(N25,Tabela7[PONTO],0)),0))</f>
        <v/>
      </c>
      <c r="T25" t="str">
        <f t="shared" si="3"/>
        <v/>
      </c>
      <c r="U25" t="str">
        <f>IF(N25="","",IF($B$9&gt;$B$8,IFERROR((INDEX(GERAL[SNAP],24)-$B$8)/($B$9-$B$8),0),0))</f>
        <v/>
      </c>
      <c r="V25" t="str">
        <f t="shared" si="4"/>
        <v/>
      </c>
      <c r="W25">
        <f>IFERROR(INDEX(GERAL[LADO],24),"")</f>
        <v>0</v>
      </c>
      <c r="Y25" t="str">
        <f>IFERROR(IF(INDEX(GERAL[PONTO],M25)="","",INDEX(GERAL[PONTO],M25)),"")</f>
        <v/>
      </c>
      <c r="Z25" t="str">
        <f>IF(Y25="","",IFERROR(INDEX(GERAL[ACUMULADA],24),0))</f>
        <v/>
      </c>
      <c r="AA25" t="str">
        <f t="shared" si="5"/>
        <v/>
      </c>
      <c r="AB25" t="str">
        <f t="shared" si="6"/>
        <v/>
      </c>
      <c r="AC25" t="str">
        <f t="shared" si="7"/>
        <v/>
      </c>
      <c r="AD25" t="str">
        <f>IF(Y25="","",IFERROR(INDEX(DIR_ATUAL[QT %],MATCH(Y25,DIR_ATUAL[PONTO],0)),0))</f>
        <v/>
      </c>
      <c r="AE25" t="str">
        <f t="shared" si="8"/>
        <v/>
      </c>
      <c r="AF25" t="str">
        <f>IF(Y25="","",IF($E$9&gt;$E$8,IFERROR((INDEX(GERAL[SNAP],24)-$E$8)/($E$9-$E$8),0),0))</f>
        <v/>
      </c>
      <c r="AG25" t="str">
        <f t="shared" si="9"/>
        <v/>
      </c>
      <c r="AH25">
        <f>IFERROR(INDEX(GERAL[LADO],24),"")</f>
        <v>0</v>
      </c>
    </row>
    <row r="26" spans="1:34" x14ac:dyDescent="0.3">
      <c r="M26">
        <v>25</v>
      </c>
      <c r="N26" t="str">
        <f>IFERROR(IF(INDEX(GERAL[PONTO],M26)="","",INDEX(GERAL[PONTO],M26)),"")</f>
        <v/>
      </c>
      <c r="O26" t="str">
        <f>IF(N26="","",IFERROR(INDEX(GERAL[ACUMULADA],25),0))</f>
        <v/>
      </c>
      <c r="P26" t="str">
        <f t="shared" si="0"/>
        <v/>
      </c>
      <c r="Q26" t="str">
        <f t="shared" si="1"/>
        <v/>
      </c>
      <c r="R26" t="str">
        <f t="shared" si="2"/>
        <v/>
      </c>
      <c r="S26" t="str">
        <f>IF(N26="","",IFERROR(INDEX(Tabela7[QT %],MATCH(N26,Tabela7[PONTO],0)),0))</f>
        <v/>
      </c>
      <c r="T26" t="str">
        <f t="shared" si="3"/>
        <v/>
      </c>
      <c r="U26" t="str">
        <f>IF(N26="","",IF($B$9&gt;$B$8,IFERROR((INDEX(GERAL[SNAP],25)-$B$8)/($B$9-$B$8),0),0))</f>
        <v/>
      </c>
      <c r="V26" t="str">
        <f t="shared" si="4"/>
        <v/>
      </c>
      <c r="W26">
        <f>IFERROR(INDEX(GERAL[LADO],25),"")</f>
        <v>0</v>
      </c>
      <c r="Y26" t="str">
        <f>IFERROR(IF(INDEX(GERAL[PONTO],M26)="","",INDEX(GERAL[PONTO],M26)),"")</f>
        <v/>
      </c>
      <c r="Z26" t="str">
        <f>IF(Y26="","",IFERROR(INDEX(GERAL[ACUMULADA],25),0))</f>
        <v/>
      </c>
      <c r="AA26" t="str">
        <f t="shared" si="5"/>
        <v/>
      </c>
      <c r="AB26" t="str">
        <f t="shared" si="6"/>
        <v/>
      </c>
      <c r="AC26" t="str">
        <f t="shared" si="7"/>
        <v/>
      </c>
      <c r="AD26" t="str">
        <f>IF(Y26="","",IFERROR(INDEX(DIR_ATUAL[QT %],MATCH(Y26,DIR_ATUAL[PONTO],0)),0))</f>
        <v/>
      </c>
      <c r="AE26" t="str">
        <f t="shared" si="8"/>
        <v/>
      </c>
      <c r="AF26" t="str">
        <f>IF(Y26="","",IF($E$9&gt;$E$8,IFERROR((INDEX(GERAL[SNAP],25)-$E$8)/($E$9-$E$8),0),0))</f>
        <v/>
      </c>
      <c r="AG26" t="str">
        <f t="shared" si="9"/>
        <v/>
      </c>
      <c r="AH26">
        <f>IFERROR(INDEX(GERAL[LADO],25),"")</f>
        <v>0</v>
      </c>
    </row>
    <row r="27" spans="1:34" x14ac:dyDescent="0.3">
      <c r="M27">
        <v>26</v>
      </c>
      <c r="N27" t="str">
        <f>IFERROR(IF(INDEX(GERAL[PONTO],M27)="","",INDEX(GERAL[PONTO],M27)),"")</f>
        <v/>
      </c>
      <c r="O27" t="str">
        <f>IF(N27="","",IFERROR(INDEX(GERAL[ACUMULADA],26),0))</f>
        <v/>
      </c>
      <c r="P27" t="str">
        <f t="shared" si="0"/>
        <v/>
      </c>
      <c r="Q27" t="str">
        <f t="shared" si="1"/>
        <v/>
      </c>
      <c r="R27" t="str">
        <f t="shared" si="2"/>
        <v/>
      </c>
      <c r="S27" t="str">
        <f>IF(N27="","",IFERROR(INDEX(Tabela7[QT %],MATCH(N27,Tabela7[PONTO],0)),0))</f>
        <v/>
      </c>
      <c r="T27" t="str">
        <f t="shared" si="3"/>
        <v/>
      </c>
      <c r="U27" t="str">
        <f>IF(N27="","",IF($B$9&gt;$B$8,IFERROR((INDEX(GERAL[SNAP],26)-$B$8)/($B$9-$B$8),0),0))</f>
        <v/>
      </c>
      <c r="V27" t="str">
        <f t="shared" si="4"/>
        <v/>
      </c>
      <c r="W27">
        <f>IFERROR(INDEX(GERAL[LADO],26),"")</f>
        <v>0</v>
      </c>
      <c r="Y27" t="str">
        <f>IFERROR(IF(INDEX(GERAL[PONTO],M27)="","",INDEX(GERAL[PONTO],M27)),"")</f>
        <v/>
      </c>
      <c r="Z27" t="str">
        <f>IF(Y27="","",IFERROR(INDEX(GERAL[ACUMULADA],26),0))</f>
        <v/>
      </c>
      <c r="AA27" t="str">
        <f t="shared" si="5"/>
        <v/>
      </c>
      <c r="AB27" t="str">
        <f t="shared" si="6"/>
        <v/>
      </c>
      <c r="AC27" t="str">
        <f t="shared" si="7"/>
        <v/>
      </c>
      <c r="AD27" t="str">
        <f>IF(Y27="","",IFERROR(INDEX(DIR_ATUAL[QT %],MATCH(Y27,DIR_ATUAL[PONTO],0)),0))</f>
        <v/>
      </c>
      <c r="AE27" t="str">
        <f t="shared" si="8"/>
        <v/>
      </c>
      <c r="AF27" t="str">
        <f>IF(Y27="","",IF($E$9&gt;$E$8,IFERROR((INDEX(GERAL[SNAP],26)-$E$8)/($E$9-$E$8),0),0))</f>
        <v/>
      </c>
      <c r="AG27" t="str">
        <f t="shared" si="9"/>
        <v/>
      </c>
      <c r="AH27">
        <f>IFERROR(INDEX(GERAL[LADO],26),"")</f>
        <v>0</v>
      </c>
    </row>
    <row r="28" spans="1:34" x14ac:dyDescent="0.3">
      <c r="M28">
        <v>27</v>
      </c>
      <c r="N28" t="str">
        <f>IFERROR(IF(INDEX(GERAL[PONTO],M28)="","",INDEX(GERAL[PONTO],M28)),"")</f>
        <v/>
      </c>
      <c r="O28" t="str">
        <f>IF(N28="","",IFERROR(INDEX(GERAL[ACUMULADA],27),0))</f>
        <v/>
      </c>
      <c r="P28" t="str">
        <f t="shared" si="0"/>
        <v/>
      </c>
      <c r="Q28" t="str">
        <f t="shared" si="1"/>
        <v/>
      </c>
      <c r="R28" t="str">
        <f t="shared" si="2"/>
        <v/>
      </c>
      <c r="S28" t="str">
        <f>IF(N28="","",IFERROR(INDEX(Tabela7[QT %],MATCH(N28,Tabela7[PONTO],0)),0))</f>
        <v/>
      </c>
      <c r="T28" t="str">
        <f t="shared" si="3"/>
        <v/>
      </c>
      <c r="U28" t="str">
        <f>IF(N28="","",IF($B$9&gt;$B$8,IFERROR((INDEX(GERAL[SNAP],27)-$B$8)/($B$9-$B$8),0),0))</f>
        <v/>
      </c>
      <c r="V28" t="str">
        <f t="shared" si="4"/>
        <v/>
      </c>
      <c r="W28">
        <f>IFERROR(INDEX(GERAL[LADO],27),"")</f>
        <v>0</v>
      </c>
      <c r="Y28" t="str">
        <f>IFERROR(IF(INDEX(GERAL[PONTO],M28)="","",INDEX(GERAL[PONTO],M28)),"")</f>
        <v/>
      </c>
      <c r="Z28" t="str">
        <f>IF(Y28="","",IFERROR(INDEX(GERAL[ACUMULADA],27),0))</f>
        <v/>
      </c>
      <c r="AA28" t="str">
        <f t="shared" si="5"/>
        <v/>
      </c>
      <c r="AB28" t="str">
        <f t="shared" si="6"/>
        <v/>
      </c>
      <c r="AC28" t="str">
        <f t="shared" si="7"/>
        <v/>
      </c>
      <c r="AD28" t="str">
        <f>IF(Y28="","",IFERROR(INDEX(DIR_ATUAL[QT %],MATCH(Y28,DIR_ATUAL[PONTO],0)),0))</f>
        <v/>
      </c>
      <c r="AE28" t="str">
        <f t="shared" si="8"/>
        <v/>
      </c>
      <c r="AF28" t="str">
        <f>IF(Y28="","",IF($E$9&gt;$E$8,IFERROR((INDEX(GERAL[SNAP],27)-$E$8)/($E$9-$E$8),0),0))</f>
        <v/>
      </c>
      <c r="AG28" t="str">
        <f t="shared" si="9"/>
        <v/>
      </c>
      <c r="AH28">
        <f>IFERROR(INDEX(GERAL[LADO],27),"")</f>
        <v>0</v>
      </c>
    </row>
    <row r="29" spans="1:34" x14ac:dyDescent="0.3">
      <c r="M29">
        <v>28</v>
      </c>
      <c r="N29" t="str">
        <f>IFERROR(IF(INDEX(GERAL[PONTO],M29)="","",INDEX(GERAL[PONTO],M29)),"")</f>
        <v/>
      </c>
      <c r="O29" t="str">
        <f>IF(N29="","",IFERROR(INDEX(GERAL[ACUMULADA],28),0))</f>
        <v/>
      </c>
      <c r="P29" t="str">
        <f t="shared" si="0"/>
        <v/>
      </c>
      <c r="Q29" t="str">
        <f t="shared" si="1"/>
        <v/>
      </c>
      <c r="R29" t="str">
        <f t="shared" si="2"/>
        <v/>
      </c>
      <c r="S29" t="str">
        <f>IF(N29="","",IFERROR(INDEX(Tabela7[QT %],MATCH(N29,Tabela7[PONTO],0)),0))</f>
        <v/>
      </c>
      <c r="T29" t="str">
        <f t="shared" si="3"/>
        <v/>
      </c>
      <c r="U29" t="str">
        <f>IF(N29="","",IF($B$9&gt;$B$8,IFERROR((INDEX(GERAL[SNAP],28)-$B$8)/($B$9-$B$8),0),0))</f>
        <v/>
      </c>
      <c r="V29" t="str">
        <f t="shared" si="4"/>
        <v/>
      </c>
      <c r="W29">
        <f>IFERROR(INDEX(GERAL[LADO],28),"")</f>
        <v>0</v>
      </c>
      <c r="Y29" t="str">
        <f>IFERROR(IF(INDEX(GERAL[PONTO],M29)="","",INDEX(GERAL[PONTO],M29)),"")</f>
        <v/>
      </c>
      <c r="Z29" t="str">
        <f>IF(Y29="","",IFERROR(INDEX(GERAL[ACUMULADA],28),0))</f>
        <v/>
      </c>
      <c r="AA29" t="str">
        <f t="shared" si="5"/>
        <v/>
      </c>
      <c r="AB29" t="str">
        <f t="shared" si="6"/>
        <v/>
      </c>
      <c r="AC29" t="str">
        <f t="shared" si="7"/>
        <v/>
      </c>
      <c r="AD29" t="str">
        <f>IF(Y29="","",IFERROR(INDEX(DIR_ATUAL[QT %],MATCH(Y29,DIR_ATUAL[PONTO],0)),0))</f>
        <v/>
      </c>
      <c r="AE29" t="str">
        <f t="shared" si="8"/>
        <v/>
      </c>
      <c r="AF29" t="str">
        <f>IF(Y29="","",IF($E$9&gt;$E$8,IFERROR((INDEX(GERAL[SNAP],28)-$E$8)/($E$9-$E$8),0),0))</f>
        <v/>
      </c>
      <c r="AG29" t="str">
        <f t="shared" si="9"/>
        <v/>
      </c>
      <c r="AH29">
        <f>IFERROR(INDEX(GERAL[LADO],28),"")</f>
        <v>0</v>
      </c>
    </row>
    <row r="30" spans="1:34" x14ac:dyDescent="0.3">
      <c r="A30" s="98" t="s">
        <v>306</v>
      </c>
      <c r="M30">
        <v>29</v>
      </c>
      <c r="N30" t="str">
        <f>IFERROR(IF(INDEX(GERAL[PONTO],M30)="","",INDEX(GERAL[PONTO],M30)),"")</f>
        <v/>
      </c>
      <c r="O30" t="str">
        <f>IF(N30="","",IFERROR(INDEX(GERAL[ACUMULADA],29),0))</f>
        <v/>
      </c>
      <c r="P30" t="str">
        <f t="shared" si="0"/>
        <v/>
      </c>
      <c r="Q30" t="str">
        <f t="shared" si="1"/>
        <v/>
      </c>
      <c r="R30" t="str">
        <f t="shared" si="2"/>
        <v/>
      </c>
      <c r="S30" t="str">
        <f>IF(N30="","",IFERROR(INDEX(Tabela7[QT %],MATCH(N30,Tabela7[PONTO],0)),0))</f>
        <v/>
      </c>
      <c r="T30" t="str">
        <f t="shared" si="3"/>
        <v/>
      </c>
      <c r="U30" t="str">
        <f>IF(N30="","",IF($B$9&gt;$B$8,IFERROR((INDEX(GERAL[SNAP],29)-$B$8)/($B$9-$B$8),0),0))</f>
        <v/>
      </c>
      <c r="V30" t="str">
        <f t="shared" si="4"/>
        <v/>
      </c>
      <c r="W30">
        <f>IFERROR(INDEX(GERAL[LADO],29),"")</f>
        <v>0</v>
      </c>
      <c r="Y30" t="str">
        <f>IFERROR(IF(INDEX(GERAL[PONTO],M30)="","",INDEX(GERAL[PONTO],M30)),"")</f>
        <v/>
      </c>
      <c r="Z30" t="str">
        <f>IF(Y30="","",IFERROR(INDEX(GERAL[ACUMULADA],29),0))</f>
        <v/>
      </c>
      <c r="AA30" t="str">
        <f t="shared" si="5"/>
        <v/>
      </c>
      <c r="AB30" t="str">
        <f t="shared" si="6"/>
        <v/>
      </c>
      <c r="AC30" t="str">
        <f t="shared" si="7"/>
        <v/>
      </c>
      <c r="AD30" t="str">
        <f>IF(Y30="","",IFERROR(INDEX(DIR_ATUAL[QT %],MATCH(Y30,DIR_ATUAL[PONTO],0)),0))</f>
        <v/>
      </c>
      <c r="AE30" t="str">
        <f t="shared" si="8"/>
        <v/>
      </c>
      <c r="AF30" t="str">
        <f>IF(Y30="","",IF($E$9&gt;$E$8,IFERROR((INDEX(GERAL[SNAP],29)-$E$8)/($E$9-$E$8),0),0))</f>
        <v/>
      </c>
      <c r="AG30" t="str">
        <f t="shared" si="9"/>
        <v/>
      </c>
      <c r="AH30">
        <f>IFERROR(INDEX(GERAL[LADO],29),"")</f>
        <v>0</v>
      </c>
    </row>
    <row r="31" spans="1:34" x14ac:dyDescent="0.3">
      <c r="A31" t="s">
        <v>164</v>
      </c>
      <c r="B31" s="59">
        <f>E5</f>
        <v>106.03199999999998</v>
      </c>
      <c r="C31" t="s">
        <v>165</v>
      </c>
      <c r="D31" s="102">
        <f>IFERROR(MAX(DIR_ATUAL[QT %]),0)</f>
        <v>0.11693861009914737</v>
      </c>
      <c r="M31">
        <v>30</v>
      </c>
      <c r="N31" t="str">
        <f>IFERROR(IF(INDEX(GERAL[PONTO],M31)="","",INDEX(GERAL[PONTO],M31)),"")</f>
        <v/>
      </c>
      <c r="O31" t="str">
        <f>IF(N31="","",IFERROR(INDEX(GERAL[ACUMULADA],30),0))</f>
        <v/>
      </c>
      <c r="P31" t="str">
        <f t="shared" si="0"/>
        <v/>
      </c>
      <c r="Q31" t="str">
        <f t="shared" si="1"/>
        <v/>
      </c>
      <c r="R31" t="str">
        <f t="shared" si="2"/>
        <v/>
      </c>
      <c r="S31" t="str">
        <f>IF(N31="","",IFERROR(INDEX(Tabela7[QT %],MATCH(N31,Tabela7[PONTO],0)),0))</f>
        <v/>
      </c>
      <c r="T31" t="str">
        <f t="shared" si="3"/>
        <v/>
      </c>
      <c r="U31" t="str">
        <f>IF(N31="","",IF($B$9&gt;$B$8,IFERROR((INDEX(GERAL[SNAP],30)-$B$8)/($B$9-$B$8),0),0))</f>
        <v/>
      </c>
      <c r="V31" t="str">
        <f t="shared" si="4"/>
        <v/>
      </c>
      <c r="W31">
        <f>IFERROR(INDEX(GERAL[LADO],30),"")</f>
        <v>0</v>
      </c>
      <c r="Y31" t="str">
        <f>IFERROR(IF(INDEX(GERAL[PONTO],M31)="","",INDEX(GERAL[PONTO],M31)),"")</f>
        <v/>
      </c>
      <c r="Z31" t="str">
        <f>IF(Y31="","",IFERROR(INDEX(GERAL[ACUMULADA],30),0))</f>
        <v/>
      </c>
      <c r="AA31" t="str">
        <f t="shared" si="5"/>
        <v/>
      </c>
      <c r="AB31" t="str">
        <f t="shared" si="6"/>
        <v/>
      </c>
      <c r="AC31" t="str">
        <f t="shared" si="7"/>
        <v/>
      </c>
      <c r="AD31" t="str">
        <f>IF(Y31="","",IFERROR(INDEX(DIR_ATUAL[QT %],MATCH(Y31,DIR_ATUAL[PONTO],0)),0))</f>
        <v/>
      </c>
      <c r="AE31" t="str">
        <f t="shared" si="8"/>
        <v/>
      </c>
      <c r="AF31" t="str">
        <f>IF(Y31="","",IF($E$9&gt;$E$8,IFERROR((INDEX(GERAL[SNAP],30)-$E$8)/($E$9-$E$8),0),0))</f>
        <v/>
      </c>
      <c r="AG31" t="str">
        <f t="shared" si="9"/>
        <v/>
      </c>
      <c r="AH31">
        <f>IFERROR(INDEX(GERAL[LADO],30),"")</f>
        <v>0</v>
      </c>
    </row>
    <row r="32" spans="1:34" x14ac:dyDescent="0.3">
      <c r="M32">
        <v>31</v>
      </c>
      <c r="N32" t="str">
        <f>IFERROR(IF(INDEX(GERAL[PONTO],M32)="","",INDEX(GERAL[PONTO],M32)),"")</f>
        <v/>
      </c>
      <c r="O32" t="str">
        <f>IF(N32="","",IFERROR(INDEX(GERAL[ACUMULADA],31),0))</f>
        <v/>
      </c>
      <c r="P32" t="str">
        <f t="shared" si="0"/>
        <v/>
      </c>
      <c r="Q32" t="str">
        <f t="shared" si="1"/>
        <v/>
      </c>
      <c r="R32" t="str">
        <f t="shared" si="2"/>
        <v/>
      </c>
      <c r="S32" t="str">
        <f>IF(N32="","",IFERROR(INDEX(Tabela7[QT %],MATCH(N32,Tabela7[PONTO],0)),0))</f>
        <v/>
      </c>
      <c r="T32" t="str">
        <f t="shared" si="3"/>
        <v/>
      </c>
      <c r="U32" t="str">
        <f>IF(N32="","",IF($B$9&gt;$B$8,IFERROR((INDEX(GERAL[SNAP],31)-$B$8)/($B$9-$B$8),0),0))</f>
        <v/>
      </c>
      <c r="V32" t="str">
        <f t="shared" si="4"/>
        <v/>
      </c>
      <c r="W32">
        <f>IFERROR(INDEX(GERAL[LADO],31),"")</f>
        <v>0</v>
      </c>
      <c r="Y32" t="str">
        <f>IFERROR(IF(INDEX(GERAL[PONTO],M32)="","",INDEX(GERAL[PONTO],M32)),"")</f>
        <v/>
      </c>
      <c r="Z32" t="str">
        <f>IF(Y32="","",IFERROR(INDEX(GERAL[ACUMULADA],31),0))</f>
        <v/>
      </c>
      <c r="AA32" t="str">
        <f t="shared" si="5"/>
        <v/>
      </c>
      <c r="AB32" t="str">
        <f t="shared" si="6"/>
        <v/>
      </c>
      <c r="AC32" t="str">
        <f t="shared" si="7"/>
        <v/>
      </c>
      <c r="AD32" t="str">
        <f>IF(Y32="","",IFERROR(INDEX(DIR_ATUAL[QT %],MATCH(Y32,DIR_ATUAL[PONTO],0)),0))</f>
        <v/>
      </c>
      <c r="AE32" t="str">
        <f t="shared" si="8"/>
        <v/>
      </c>
      <c r="AF32" t="str">
        <f>IF(Y32="","",IF($E$9&gt;$E$8,IFERROR((INDEX(GERAL[SNAP],31)-$E$8)/($E$9-$E$8),0),0))</f>
        <v/>
      </c>
      <c r="AG32" t="str">
        <f t="shared" si="9"/>
        <v/>
      </c>
      <c r="AH32">
        <f>IFERROR(INDEX(GERAL[LADO],31),"")</f>
        <v>0</v>
      </c>
    </row>
    <row r="33" spans="1:34" x14ac:dyDescent="0.3">
      <c r="A33" s="100" t="s">
        <v>166</v>
      </c>
      <c r="B33" s="100" t="s">
        <v>13</v>
      </c>
      <c r="C33" s="100" t="s">
        <v>167</v>
      </c>
      <c r="D33" s="100" t="s">
        <v>168</v>
      </c>
      <c r="E33" s="100" t="s">
        <v>169</v>
      </c>
      <c r="F33" s="100" t="s">
        <v>170</v>
      </c>
      <c r="G33" s="100" t="s">
        <v>171</v>
      </c>
      <c r="H33" s="100" t="s">
        <v>172</v>
      </c>
      <c r="I33" s="100" t="s">
        <v>173</v>
      </c>
      <c r="J33" s="100" t="s">
        <v>174</v>
      </c>
      <c r="M33">
        <v>32</v>
      </c>
      <c r="N33" t="str">
        <f>IFERROR(IF(INDEX(GERAL[PONTO],M33)="","",INDEX(GERAL[PONTO],M33)),"")</f>
        <v/>
      </c>
      <c r="O33" t="str">
        <f>IF(N33="","",IFERROR(INDEX(GERAL[ACUMULADA],32),0))</f>
        <v/>
      </c>
      <c r="P33" t="str">
        <f t="shared" si="0"/>
        <v/>
      </c>
      <c r="Q33" t="str">
        <f t="shared" si="1"/>
        <v/>
      </c>
      <c r="R33" t="str">
        <f t="shared" si="2"/>
        <v/>
      </c>
      <c r="S33" t="str">
        <f>IF(N33="","",IFERROR(INDEX(Tabela7[QT %],MATCH(N33,Tabela7[PONTO],0)),0))</f>
        <v/>
      </c>
      <c r="T33" t="str">
        <f t="shared" si="3"/>
        <v/>
      </c>
      <c r="U33" t="str">
        <f>IF(N33="","",IF($B$9&gt;$B$8,IFERROR((INDEX(GERAL[SNAP],32)-$B$8)/($B$9-$B$8),0),0))</f>
        <v/>
      </c>
      <c r="V33" t="str">
        <f t="shared" si="4"/>
        <v/>
      </c>
      <c r="W33">
        <f>IFERROR(INDEX(GERAL[LADO],32),"")</f>
        <v>0</v>
      </c>
      <c r="Y33" t="str">
        <f>IFERROR(IF(INDEX(GERAL[PONTO],M33)="","",INDEX(GERAL[PONTO],M33)),"")</f>
        <v/>
      </c>
      <c r="Z33" t="str">
        <f>IF(Y33="","",IFERROR(INDEX(GERAL[ACUMULADA],32),0))</f>
        <v/>
      </c>
      <c r="AA33" t="str">
        <f t="shared" si="5"/>
        <v/>
      </c>
      <c r="AB33" t="str">
        <f t="shared" si="6"/>
        <v/>
      </c>
      <c r="AC33" t="str">
        <f t="shared" si="7"/>
        <v/>
      </c>
      <c r="AD33" t="str">
        <f>IF(Y33="","",IFERROR(INDEX(DIR_ATUAL[QT %],MATCH(Y33,DIR_ATUAL[PONTO],0)),0))</f>
        <v/>
      </c>
      <c r="AE33" t="str">
        <f t="shared" si="8"/>
        <v/>
      </c>
      <c r="AF33" t="str">
        <f>IF(Y33="","",IF($E$9&gt;$E$8,IFERROR((INDEX(GERAL[SNAP],32)-$E$8)/($E$9-$E$8),0),0))</f>
        <v/>
      </c>
      <c r="AG33" t="str">
        <f t="shared" si="9"/>
        <v/>
      </c>
      <c r="AH33">
        <f>IFERROR(INDEX(GERAL[LADO],32),"")</f>
        <v>0</v>
      </c>
    </row>
    <row r="34" spans="1:34" x14ac:dyDescent="0.3">
      <c r="A34" s="9">
        <v>1</v>
      </c>
      <c r="B34">
        <f ca="1">IF($J34="","",INDEX($Y$2:$Y$188,MATCH($J34,$AF$2:$AF$187,0)))</f>
        <v>1</v>
      </c>
      <c r="C34" s="90">
        <f ca="1">IF($J34="","",INDEX($Y$2:$Y$187,MATCH($J34,$AF$2:$AF$187,0)))</f>
        <v>1</v>
      </c>
      <c r="D34" s="90">
        <f ca="1">IF($J34="","",INDEX($Z$2:$Z$187,MATCH($J34,$AF$2:$AF$187,0)))</f>
        <v>127.70729411764684</v>
      </c>
      <c r="E34" s="90">
        <f ca="1">IF($J34="","",INDEX($AA$2:$AA$187,MATCH($J34,$AF$2:$AF$187,0)))</f>
        <v>-21.675294117646857</v>
      </c>
      <c r="F34" s="90">
        <f ca="1">IF($J34="","",INDEX($AB$2:$AB$187,MATCH($J34,$AF$2:$AF$187,0)))</f>
        <v>150</v>
      </c>
      <c r="G34" s="90">
        <f ca="1">IF($J34="","",INDEX($AC$2:$AC$187,MATCH($J34,$AF$2:$AF$187,0)))</f>
        <v>0.85138196078431227</v>
      </c>
      <c r="H34" s="90">
        <f ca="1">IF($J34="","",INDEX($AD$2:$AD$187,MATCH($J34,$AF$2:$AF$187,0)))</f>
        <v>4.951052674934725E-2</v>
      </c>
      <c r="I34" s="90">
        <f ca="1">IF($J34="","",INDEX($AE$2:$AE$187,MATCH($J34,$AF$2:$AF$187,0)))</f>
        <v>-0.40884438881935381</v>
      </c>
      <c r="J34" s="90">
        <f ca="1">IFERROR(LARGE($AF$2:$AF$187,A34),"")</f>
        <v>0</v>
      </c>
      <c r="M34">
        <v>33</v>
      </c>
      <c r="N34" t="str">
        <f>IFERROR(IF(INDEX(GERAL[PONTO],M34)="","",INDEX(GERAL[PONTO],M34)),"")</f>
        <v/>
      </c>
      <c r="O34" t="str">
        <f>IF(N34="","",IFERROR(INDEX(GERAL[ACUMULADA],33),0))</f>
        <v/>
      </c>
      <c r="P34" t="str">
        <f t="shared" ref="P34:P44" si="19">IF(O34="","",$B$11-O34)</f>
        <v/>
      </c>
      <c r="Q34" t="str">
        <f t="shared" ref="Q34:Q44" si="20">IF(O34="","",IF(O34*1.15&lt;=30,30,IF(O34*1.15&lt;=45,45,IF(O34*1.15&lt;=75,75,IF(O34*1.15&lt;=112.5,112.5,IF(O34*1.15&lt;=150,150,IF(O34*1.15&lt;=225,225,300)))))))</f>
        <v/>
      </c>
      <c r="R34" t="str">
        <f t="shared" ref="R34:R44" si="21">IF(Q34="","",IFERROR(O34/Q34,0))</f>
        <v/>
      </c>
      <c r="S34" t="str">
        <f>IF(N34="","",IFERROR(INDEX(Tabela7[QT %],MATCH(N34,Tabela7[PONTO],0)),0))</f>
        <v/>
      </c>
      <c r="T34" t="str">
        <f t="shared" ref="T34:T44" si="22">IF(O34="","",IFERROR(1-ABS(O34-P34)/$B$11,0))</f>
        <v/>
      </c>
      <c r="U34" t="str">
        <f>IF(N34="","",IF($B$9&gt;$B$8,IFERROR((INDEX(GERAL[SNAP],33)-$B$8)/($B$9-$B$8),0),0))</f>
        <v/>
      </c>
      <c r="V34" t="str">
        <f t="shared" si="4"/>
        <v/>
      </c>
      <c r="W34">
        <f>IFERROR(INDEX(GERAL[LADO],33),"")</f>
        <v>0</v>
      </c>
      <c r="Y34" t="str">
        <f>IFERROR(IF(INDEX(GERAL[PONTO],M34)="","",INDEX(GERAL[PONTO],M34)),"")</f>
        <v/>
      </c>
      <c r="Z34" t="str">
        <f>IF(Y34="","",IFERROR(INDEX(GERAL[ACUMULADA],33),0))</f>
        <v/>
      </c>
      <c r="AA34" t="str">
        <f t="shared" ref="AA34:AA44" si="23">IF(Z34="","",$B$31-Z34)</f>
        <v/>
      </c>
      <c r="AB34" t="str">
        <f t="shared" ref="AB34:AB44" si="24">IF(Z34="","",IF(Z34*1.15&lt;=30,30,IF(Z34*1.15&lt;=45,45,IF(Z34*1.15&lt;=75,75,IF(Z34*1.15&lt;=112.5,112.5,IF(Z34*1.15&lt;=150,150,IF(Z34*1.15&lt;=225,225,300)))))))</f>
        <v/>
      </c>
      <c r="AC34" t="str">
        <f t="shared" ref="AC34:AC44" si="25">IF(AB34="","",IFERROR(Z34/AB34,0))</f>
        <v/>
      </c>
      <c r="AD34" t="str">
        <f>IF(Y34="","",IFERROR(INDEX(DIR_ATUAL[QT %],MATCH(Y34,DIR_ATUAL[PONTO],0)),0))</f>
        <v/>
      </c>
      <c r="AE34" t="str">
        <f t="shared" ref="AE34:AE44" si="26">IF(Z34="","",IFERROR(1-ABS(Z34-AA34)/$B$31,0))</f>
        <v/>
      </c>
      <c r="AF34" t="str">
        <f>IF(Y34="","",IF($E$9&gt;$E$8,IFERROR((INDEX(GERAL[SNAP],33)-$E$8)/($E$9-$E$8),0),0))</f>
        <v/>
      </c>
      <c r="AG34" t="str">
        <f t="shared" si="9"/>
        <v/>
      </c>
      <c r="AH34">
        <f>IFERROR(INDEX(GERAL[LADO],33),"")</f>
        <v>0</v>
      </c>
    </row>
    <row r="35" spans="1:34" x14ac:dyDescent="0.3">
      <c r="A35" s="9">
        <v>2</v>
      </c>
      <c r="B35">
        <f t="shared" ref="B35:B43" ca="1" si="27">IF($J35="","",INDEX($Y$2:$Y$188,MATCH($J35,$AF$2:$AF$187,0)))</f>
        <v>1</v>
      </c>
      <c r="C35" s="90">
        <f t="shared" ref="C35:C43" ca="1" si="28">IF($J35="","",INDEX($Y$2:$Y$187,MATCH($J35,$AF$2:$AF$187,0)))</f>
        <v>1</v>
      </c>
      <c r="D35" s="90">
        <f t="shared" ref="D35:D43" ca="1" si="29">IF($J35="","",INDEX($Z$2:$Z$187,MATCH($J35,$AF$2:$AF$187,0)))</f>
        <v>127.70729411764684</v>
      </c>
      <c r="E35" s="90">
        <f t="shared" ref="E35:E43" ca="1" si="30">IF($J35="","",INDEX($AA$2:$AA$187,MATCH($J35,$AF$2:$AF$187,0)))</f>
        <v>-21.675294117646857</v>
      </c>
      <c r="F35" s="90">
        <f t="shared" ref="F35:F43" ca="1" si="31">IF($J35="","",INDEX($AB$2:$AB$187,MATCH($J35,$AF$2:$AF$187,0)))</f>
        <v>150</v>
      </c>
      <c r="G35" s="90">
        <f t="shared" ref="G35:G43" ca="1" si="32">IF($J35="","",INDEX($AC$2:$AC$187,MATCH($J35,$AF$2:$AF$187,0)))</f>
        <v>0.85138196078431227</v>
      </c>
      <c r="H35" s="90">
        <f t="shared" ref="H35:H43" ca="1" si="33">IF($J35="","",INDEX($AD$2:$AD$187,MATCH($J35,$AF$2:$AF$187,0)))</f>
        <v>4.951052674934725E-2</v>
      </c>
      <c r="I35" s="90">
        <f t="shared" ref="I35:I43" ca="1" si="34">IF($J35="","",INDEX($AE$2:$AE$187,MATCH($J35,$AF$2:$AF$187,0)))</f>
        <v>-0.40884438881935381</v>
      </c>
      <c r="J35" s="90">
        <f t="shared" ref="J35:J43" ca="1" si="35">IFERROR(LARGE($AF$2:$AF$187,A35),"")</f>
        <v>0</v>
      </c>
      <c r="M35">
        <v>34</v>
      </c>
      <c r="N35" t="str">
        <f>IFERROR(IF(INDEX(GERAL[PONTO],M35)="","",INDEX(GERAL[PONTO],M35)),"")</f>
        <v/>
      </c>
      <c r="O35" t="str">
        <f>IF(N35="","",IFERROR(INDEX(GERAL[ACUMULADA],34),0))</f>
        <v/>
      </c>
      <c r="P35" t="str">
        <f t="shared" si="19"/>
        <v/>
      </c>
      <c r="Q35" t="str">
        <f t="shared" si="20"/>
        <v/>
      </c>
      <c r="R35" t="str">
        <f t="shared" si="21"/>
        <v/>
      </c>
      <c r="S35" t="str">
        <f>IF(N35="","",IFERROR(INDEX(Tabela7[QT %],MATCH(N35,Tabela7[PONTO],0)),0))</f>
        <v/>
      </c>
      <c r="T35" t="str">
        <f t="shared" si="22"/>
        <v/>
      </c>
      <c r="U35" t="str">
        <f>IF(N35="","",IF($B$9&gt;$B$8,IFERROR((INDEX(GERAL[SNAP],34)-$B$8)/($B$9-$B$8),0),0))</f>
        <v/>
      </c>
      <c r="V35" t="str">
        <f t="shared" si="4"/>
        <v/>
      </c>
      <c r="W35">
        <f>IFERROR(INDEX(GERAL[LADO],34),"")</f>
        <v>0</v>
      </c>
      <c r="Y35" t="str">
        <f>IFERROR(IF(INDEX(GERAL[PONTO],M35)="","",INDEX(GERAL[PONTO],M35)),"")</f>
        <v/>
      </c>
      <c r="Z35" t="str">
        <f>IF(Y35="","",IFERROR(INDEX(GERAL[ACUMULADA],34),0))</f>
        <v/>
      </c>
      <c r="AA35" t="str">
        <f t="shared" si="23"/>
        <v/>
      </c>
      <c r="AB35" t="str">
        <f t="shared" si="24"/>
        <v/>
      </c>
      <c r="AC35" t="str">
        <f t="shared" si="25"/>
        <v/>
      </c>
      <c r="AD35" t="str">
        <f>IF(Y35="","",IFERROR(INDEX(DIR_ATUAL[QT %],MATCH(Y35,DIR_ATUAL[PONTO],0)),0))</f>
        <v/>
      </c>
      <c r="AE35" t="str">
        <f t="shared" si="26"/>
        <v/>
      </c>
      <c r="AF35" t="str">
        <f>IF(Y35="","",IF($E$9&gt;$E$8,IFERROR((INDEX(GERAL[SNAP],34)-$E$8)/($E$9-$E$8),0),0))</f>
        <v/>
      </c>
      <c r="AG35" t="str">
        <f t="shared" si="9"/>
        <v/>
      </c>
      <c r="AH35">
        <f>IFERROR(INDEX(GERAL[LADO],34),"")</f>
        <v>0</v>
      </c>
    </row>
    <row r="36" spans="1:34" x14ac:dyDescent="0.3">
      <c r="A36" s="9">
        <v>3</v>
      </c>
      <c r="B36">
        <f t="shared" ca="1" si="27"/>
        <v>1</v>
      </c>
      <c r="C36" s="90">
        <f t="shared" ca="1" si="28"/>
        <v>1</v>
      </c>
      <c r="D36" s="90">
        <f t="shared" ca="1" si="29"/>
        <v>127.70729411764684</v>
      </c>
      <c r="E36" s="90">
        <f t="shared" ca="1" si="30"/>
        <v>-21.675294117646857</v>
      </c>
      <c r="F36" s="90">
        <f t="shared" ca="1" si="31"/>
        <v>150</v>
      </c>
      <c r="G36" s="90">
        <f t="shared" ca="1" si="32"/>
        <v>0.85138196078431227</v>
      </c>
      <c r="H36" s="90">
        <f t="shared" ca="1" si="33"/>
        <v>4.951052674934725E-2</v>
      </c>
      <c r="I36" s="90">
        <f t="shared" ca="1" si="34"/>
        <v>-0.40884438881935381</v>
      </c>
      <c r="J36" s="90">
        <f t="shared" ca="1" si="35"/>
        <v>0</v>
      </c>
      <c r="M36">
        <v>35</v>
      </c>
      <c r="N36" t="str">
        <f>IFERROR(IF(INDEX(GERAL[PONTO],M36)="","",INDEX(GERAL[PONTO],M36)),"")</f>
        <v/>
      </c>
      <c r="O36" t="str">
        <f>IF(N36="","",IFERROR(INDEX(GERAL[ACUMULADA],35),0))</f>
        <v/>
      </c>
      <c r="P36" t="str">
        <f t="shared" si="19"/>
        <v/>
      </c>
      <c r="Q36" t="str">
        <f t="shared" si="20"/>
        <v/>
      </c>
      <c r="R36" t="str">
        <f t="shared" si="21"/>
        <v/>
      </c>
      <c r="S36" t="str">
        <f>IF(N36="","",IFERROR(INDEX(Tabela7[QT %],MATCH(N36,Tabela7[PONTO],0)),0))</f>
        <v/>
      </c>
      <c r="T36" t="str">
        <f t="shared" si="22"/>
        <v/>
      </c>
      <c r="U36" t="str">
        <f>IF(N36="","",IF($B$9&gt;$B$8,IFERROR((INDEX(GERAL[SNAP],35)-$B$8)/($B$9-$B$8),0),0))</f>
        <v/>
      </c>
      <c r="V36" t="str">
        <f t="shared" si="4"/>
        <v/>
      </c>
      <c r="W36">
        <f>IFERROR(INDEX(GERAL[LADO],35),"")</f>
        <v>0</v>
      </c>
      <c r="Y36" t="str">
        <f>IFERROR(IF(INDEX(GERAL[PONTO],M36)="","",INDEX(GERAL[PONTO],M36)),"")</f>
        <v/>
      </c>
      <c r="Z36" t="str">
        <f>IF(Y36="","",IFERROR(INDEX(GERAL[ACUMULADA],35),0))</f>
        <v/>
      </c>
      <c r="AA36" t="str">
        <f t="shared" si="23"/>
        <v/>
      </c>
      <c r="AB36" t="str">
        <f t="shared" si="24"/>
        <v/>
      </c>
      <c r="AC36" t="str">
        <f t="shared" si="25"/>
        <v/>
      </c>
      <c r="AD36" t="str">
        <f>IF(Y36="","",IFERROR(INDEX(DIR_ATUAL[QT %],MATCH(Y36,DIR_ATUAL[PONTO],0)),0))</f>
        <v/>
      </c>
      <c r="AE36" t="str">
        <f t="shared" si="26"/>
        <v/>
      </c>
      <c r="AF36" t="str">
        <f>IF(Y36="","",IF($E$9&gt;$E$8,IFERROR((INDEX(GERAL[SNAP],35)-$E$8)/($E$9-$E$8),0),0))</f>
        <v/>
      </c>
      <c r="AG36" t="str">
        <f t="shared" si="9"/>
        <v/>
      </c>
      <c r="AH36">
        <f>IFERROR(INDEX(GERAL[LADO],35),"")</f>
        <v>0</v>
      </c>
    </row>
    <row r="37" spans="1:34" x14ac:dyDescent="0.3">
      <c r="A37" s="9">
        <v>4</v>
      </c>
      <c r="B37">
        <f t="shared" ca="1" si="27"/>
        <v>1</v>
      </c>
      <c r="C37" s="90">
        <f t="shared" ca="1" si="28"/>
        <v>1</v>
      </c>
      <c r="D37" s="90">
        <f t="shared" ca="1" si="29"/>
        <v>127.70729411764684</v>
      </c>
      <c r="E37" s="90">
        <f t="shared" ca="1" si="30"/>
        <v>-21.675294117646857</v>
      </c>
      <c r="F37" s="90">
        <f t="shared" ca="1" si="31"/>
        <v>150</v>
      </c>
      <c r="G37" s="90">
        <f t="shared" ca="1" si="32"/>
        <v>0.85138196078431227</v>
      </c>
      <c r="H37" s="90">
        <f t="shared" ca="1" si="33"/>
        <v>4.951052674934725E-2</v>
      </c>
      <c r="I37" s="90">
        <f t="shared" ca="1" si="34"/>
        <v>-0.40884438881935381</v>
      </c>
      <c r="J37" s="90">
        <f t="shared" ca="1" si="35"/>
        <v>0</v>
      </c>
      <c r="M37">
        <v>36</v>
      </c>
      <c r="N37" t="str">
        <f>IFERROR(IF(INDEX(GERAL[PONTO],M37)="","",INDEX(GERAL[PONTO],M37)),"")</f>
        <v/>
      </c>
      <c r="O37" t="str">
        <f>IF(N37="","",IFERROR(INDEX(GERAL[ACUMULADA],36),0))</f>
        <v/>
      </c>
      <c r="P37" t="str">
        <f t="shared" si="19"/>
        <v/>
      </c>
      <c r="Q37" t="str">
        <f t="shared" si="20"/>
        <v/>
      </c>
      <c r="R37" t="str">
        <f t="shared" si="21"/>
        <v/>
      </c>
      <c r="S37" t="str">
        <f>IF(N37="","",IFERROR(INDEX(Tabela7[QT %],MATCH(N37,Tabela7[PONTO],0)),0))</f>
        <v/>
      </c>
      <c r="T37" t="str">
        <f t="shared" si="22"/>
        <v/>
      </c>
      <c r="U37" t="str">
        <f>IF(N37="","",IF($B$9&gt;$B$8,IFERROR((INDEX(GERAL[SNAP],36)-$B$8)/($B$9-$B$8),0),0))</f>
        <v/>
      </c>
      <c r="V37" t="str">
        <f t="shared" si="4"/>
        <v/>
      </c>
      <c r="W37">
        <f>IFERROR(INDEX(GERAL[LADO],36),"")</f>
        <v>0</v>
      </c>
      <c r="Y37" t="str">
        <f>IFERROR(IF(INDEX(GERAL[PONTO],M37)="","",INDEX(GERAL[PONTO],M37)),"")</f>
        <v/>
      </c>
      <c r="Z37" t="str">
        <f>IF(Y37="","",IFERROR(INDEX(GERAL[ACUMULADA],36),0))</f>
        <v/>
      </c>
      <c r="AA37" t="str">
        <f t="shared" si="23"/>
        <v/>
      </c>
      <c r="AB37" t="str">
        <f t="shared" si="24"/>
        <v/>
      </c>
      <c r="AC37" t="str">
        <f t="shared" si="25"/>
        <v/>
      </c>
      <c r="AD37" t="str">
        <f>IF(Y37="","",IFERROR(INDEX(DIR_ATUAL[QT %],MATCH(Y37,DIR_ATUAL[PONTO],0)),0))</f>
        <v/>
      </c>
      <c r="AE37" t="str">
        <f t="shared" si="26"/>
        <v/>
      </c>
      <c r="AF37" t="str">
        <f>IF(Y37="","",IF($E$9&gt;$E$8,IFERROR((INDEX(GERAL[SNAP],36)-$E$8)/($E$9-$E$8),0),0))</f>
        <v/>
      </c>
      <c r="AG37" t="str">
        <f t="shared" si="9"/>
        <v/>
      </c>
      <c r="AH37">
        <f>IFERROR(INDEX(GERAL[LADO],36),"")</f>
        <v>0</v>
      </c>
    </row>
    <row r="38" spans="1:34" x14ac:dyDescent="0.3">
      <c r="A38" s="9">
        <v>5</v>
      </c>
      <c r="B38">
        <f t="shared" ca="1" si="27"/>
        <v>1</v>
      </c>
      <c r="C38" s="90">
        <f t="shared" ca="1" si="28"/>
        <v>1</v>
      </c>
      <c r="D38" s="90">
        <f t="shared" ca="1" si="29"/>
        <v>127.70729411764684</v>
      </c>
      <c r="E38" s="90">
        <f t="shared" ca="1" si="30"/>
        <v>-21.675294117646857</v>
      </c>
      <c r="F38" s="90">
        <f t="shared" ca="1" si="31"/>
        <v>150</v>
      </c>
      <c r="G38" s="90">
        <f t="shared" ca="1" si="32"/>
        <v>0.85138196078431227</v>
      </c>
      <c r="H38" s="90">
        <f t="shared" ca="1" si="33"/>
        <v>4.951052674934725E-2</v>
      </c>
      <c r="I38" s="90">
        <f t="shared" ca="1" si="34"/>
        <v>-0.40884438881935381</v>
      </c>
      <c r="J38" s="90">
        <f t="shared" ca="1" si="35"/>
        <v>0</v>
      </c>
      <c r="M38">
        <v>37</v>
      </c>
      <c r="N38" t="str">
        <f>IFERROR(IF(INDEX(GERAL[PONTO],M38)="","",INDEX(GERAL[PONTO],M38)),"")</f>
        <v/>
      </c>
      <c r="O38" t="str">
        <f>IF(N38="","",IFERROR(INDEX(GERAL[ACUMULADA],37),0))</f>
        <v/>
      </c>
      <c r="P38" t="str">
        <f t="shared" si="19"/>
        <v/>
      </c>
      <c r="Q38" t="str">
        <f t="shared" si="20"/>
        <v/>
      </c>
      <c r="R38" t="str">
        <f t="shared" si="21"/>
        <v/>
      </c>
      <c r="S38" t="str">
        <f>IF(N38="","",IFERROR(INDEX(Tabela7[QT %],MATCH(N38,Tabela7[PONTO],0)),0))</f>
        <v/>
      </c>
      <c r="T38" t="str">
        <f t="shared" si="22"/>
        <v/>
      </c>
      <c r="U38" t="str">
        <f>IF(N38="","",IF($B$9&gt;$B$8,IFERROR((INDEX(GERAL[SNAP],37)-$B$8)/($B$9-$B$8),0),0))</f>
        <v/>
      </c>
      <c r="V38" t="str">
        <f t="shared" si="4"/>
        <v/>
      </c>
      <c r="W38">
        <f>IFERROR(INDEX(GERAL[LADO],37),"")</f>
        <v>0</v>
      </c>
      <c r="Y38" t="str">
        <f>IFERROR(IF(INDEX(GERAL[PONTO],M38)="","",INDEX(GERAL[PONTO],M38)),"")</f>
        <v/>
      </c>
      <c r="Z38" t="str">
        <f>IF(Y38="","",IFERROR(INDEX(GERAL[ACUMULADA],37),0))</f>
        <v/>
      </c>
      <c r="AA38" t="str">
        <f t="shared" si="23"/>
        <v/>
      </c>
      <c r="AB38" t="str">
        <f t="shared" si="24"/>
        <v/>
      </c>
      <c r="AC38" t="str">
        <f t="shared" si="25"/>
        <v/>
      </c>
      <c r="AD38" t="str">
        <f>IF(Y38="","",IFERROR(INDEX(DIR_ATUAL[QT %],MATCH(Y38,DIR_ATUAL[PONTO],0)),0))</f>
        <v/>
      </c>
      <c r="AE38" t="str">
        <f t="shared" si="26"/>
        <v/>
      </c>
      <c r="AF38" t="str">
        <f>IF(Y38="","",IF($E$9&gt;$E$8,IFERROR((INDEX(GERAL[SNAP],37)-$E$8)/($E$9-$E$8),0),0))</f>
        <v/>
      </c>
      <c r="AG38" t="str">
        <f t="shared" si="9"/>
        <v/>
      </c>
      <c r="AH38">
        <f>IFERROR(INDEX(GERAL[LADO],37),"")</f>
        <v>0</v>
      </c>
    </row>
    <row r="39" spans="1:34" x14ac:dyDescent="0.3">
      <c r="A39" s="9">
        <v>6</v>
      </c>
      <c r="B39">
        <f t="shared" ca="1" si="27"/>
        <v>1</v>
      </c>
      <c r="C39" s="90">
        <f t="shared" ca="1" si="28"/>
        <v>1</v>
      </c>
      <c r="D39" s="90">
        <f t="shared" ca="1" si="29"/>
        <v>127.70729411764684</v>
      </c>
      <c r="E39" s="90">
        <f t="shared" ca="1" si="30"/>
        <v>-21.675294117646857</v>
      </c>
      <c r="F39" s="90">
        <f t="shared" ca="1" si="31"/>
        <v>150</v>
      </c>
      <c r="G39" s="90">
        <f t="shared" ca="1" si="32"/>
        <v>0.85138196078431227</v>
      </c>
      <c r="H39" s="90">
        <f t="shared" ca="1" si="33"/>
        <v>4.951052674934725E-2</v>
      </c>
      <c r="I39" s="90">
        <f t="shared" ca="1" si="34"/>
        <v>-0.40884438881935381</v>
      </c>
      <c r="J39" s="90">
        <f t="shared" ca="1" si="35"/>
        <v>0</v>
      </c>
      <c r="M39">
        <v>38</v>
      </c>
      <c r="N39" t="str">
        <f>IFERROR(IF(INDEX(GERAL[PONTO],M39)="","",INDEX(GERAL[PONTO],M39)),"")</f>
        <v/>
      </c>
      <c r="O39" t="str">
        <f>IF(N39="","",IFERROR(INDEX(GERAL[ACUMULADA],38),0))</f>
        <v/>
      </c>
      <c r="P39" t="str">
        <f t="shared" si="19"/>
        <v/>
      </c>
      <c r="Q39" t="str">
        <f t="shared" si="20"/>
        <v/>
      </c>
      <c r="R39" t="str">
        <f t="shared" si="21"/>
        <v/>
      </c>
      <c r="S39" t="str">
        <f>IF(N39="","",IFERROR(INDEX(Tabela7[QT %],MATCH(N39,Tabela7[PONTO],0)),0))</f>
        <v/>
      </c>
      <c r="T39" t="str">
        <f t="shared" si="22"/>
        <v/>
      </c>
      <c r="U39" t="str">
        <f>IF(N39="","",IF($B$9&gt;$B$8,IFERROR((INDEX(GERAL[SNAP],38)-$B$8)/($B$9-$B$8),0),0))</f>
        <v/>
      </c>
      <c r="V39" t="str">
        <f t="shared" si="4"/>
        <v/>
      </c>
      <c r="W39">
        <f>IFERROR(INDEX(GERAL[LADO],38),"")</f>
        <v>0</v>
      </c>
      <c r="Y39" t="str">
        <f>IFERROR(IF(INDEX(GERAL[PONTO],M39)="","",INDEX(GERAL[PONTO],M39)),"")</f>
        <v/>
      </c>
      <c r="Z39" t="str">
        <f>IF(Y39="","",IFERROR(INDEX(GERAL[ACUMULADA],38),0))</f>
        <v/>
      </c>
      <c r="AA39" t="str">
        <f t="shared" si="23"/>
        <v/>
      </c>
      <c r="AB39" t="str">
        <f t="shared" si="24"/>
        <v/>
      </c>
      <c r="AC39" t="str">
        <f t="shared" si="25"/>
        <v/>
      </c>
      <c r="AD39" t="str">
        <f>IF(Y39="","",IFERROR(INDEX(DIR_ATUAL[QT %],MATCH(Y39,DIR_ATUAL[PONTO],0)),0))</f>
        <v/>
      </c>
      <c r="AE39" t="str">
        <f t="shared" si="26"/>
        <v/>
      </c>
      <c r="AF39" t="str">
        <f>IF(Y39="","",IF($E$9&gt;$E$8,IFERROR((INDEX(GERAL[SNAP],38)-$E$8)/($E$9-$E$8),0),0))</f>
        <v/>
      </c>
      <c r="AG39" t="str">
        <f t="shared" si="9"/>
        <v/>
      </c>
      <c r="AH39">
        <f>IFERROR(INDEX(GERAL[LADO],38),"")</f>
        <v>0</v>
      </c>
    </row>
    <row r="40" spans="1:34" x14ac:dyDescent="0.3">
      <c r="A40" s="9">
        <v>7</v>
      </c>
      <c r="B40">
        <f t="shared" ca="1" si="27"/>
        <v>1</v>
      </c>
      <c r="C40" s="90">
        <f t="shared" ca="1" si="28"/>
        <v>1</v>
      </c>
      <c r="D40" s="90">
        <f t="shared" ca="1" si="29"/>
        <v>127.70729411764684</v>
      </c>
      <c r="E40" s="90">
        <f t="shared" ca="1" si="30"/>
        <v>-21.675294117646857</v>
      </c>
      <c r="F40" s="90">
        <f t="shared" ca="1" si="31"/>
        <v>150</v>
      </c>
      <c r="G40" s="90">
        <f t="shared" ca="1" si="32"/>
        <v>0.85138196078431227</v>
      </c>
      <c r="H40" s="90">
        <f t="shared" ca="1" si="33"/>
        <v>4.951052674934725E-2</v>
      </c>
      <c r="I40" s="90">
        <f t="shared" ca="1" si="34"/>
        <v>-0.40884438881935381</v>
      </c>
      <c r="J40" s="90">
        <f t="shared" ca="1" si="35"/>
        <v>0</v>
      </c>
      <c r="M40">
        <v>39</v>
      </c>
      <c r="N40" t="str">
        <f>IFERROR(IF(INDEX(GERAL[PONTO],M40)="","",INDEX(GERAL[PONTO],M40)),"")</f>
        <v/>
      </c>
      <c r="O40" t="str">
        <f>IF(N40="","",IFERROR(INDEX(GERAL[ACUMULADA],39),0))</f>
        <v/>
      </c>
      <c r="P40" t="str">
        <f t="shared" si="19"/>
        <v/>
      </c>
      <c r="Q40" t="str">
        <f t="shared" si="20"/>
        <v/>
      </c>
      <c r="R40" t="str">
        <f t="shared" si="21"/>
        <v/>
      </c>
      <c r="S40" t="str">
        <f>IF(N40="","",IFERROR(INDEX(Tabela7[QT %],MATCH(N40,Tabela7[PONTO],0)),0))</f>
        <v/>
      </c>
      <c r="T40" t="str">
        <f t="shared" si="22"/>
        <v/>
      </c>
      <c r="U40" t="str">
        <f>IF(N40="","",IF($B$9&gt;$B$8,IFERROR((INDEX(GERAL[SNAP],39)-$B$8)/($B$9-$B$8),0),0))</f>
        <v/>
      </c>
      <c r="V40" t="str">
        <f t="shared" si="4"/>
        <v/>
      </c>
      <c r="W40">
        <f>IFERROR(INDEX(GERAL[LADO],39),"")</f>
        <v>0</v>
      </c>
      <c r="Y40" t="str">
        <f>IFERROR(IF(INDEX(GERAL[PONTO],M40)="","",INDEX(GERAL[PONTO],M40)),"")</f>
        <v/>
      </c>
      <c r="Z40" t="str">
        <f>IF(Y40="","",IFERROR(INDEX(GERAL[ACUMULADA],39),0))</f>
        <v/>
      </c>
      <c r="AA40" t="str">
        <f t="shared" si="23"/>
        <v/>
      </c>
      <c r="AB40" t="str">
        <f t="shared" si="24"/>
        <v/>
      </c>
      <c r="AC40" t="str">
        <f t="shared" si="25"/>
        <v/>
      </c>
      <c r="AD40" t="str">
        <f>IF(Y40="","",IFERROR(INDEX(DIR_ATUAL[QT %],MATCH(Y40,DIR_ATUAL[PONTO],0)),0))</f>
        <v/>
      </c>
      <c r="AE40" t="str">
        <f t="shared" si="26"/>
        <v/>
      </c>
      <c r="AF40" t="str">
        <f>IF(Y40="","",IF($E$9&gt;$E$8,IFERROR((INDEX(GERAL[SNAP],39)-$E$8)/($E$9-$E$8),0),0))</f>
        <v/>
      </c>
      <c r="AG40" t="str">
        <f t="shared" si="9"/>
        <v/>
      </c>
      <c r="AH40">
        <f>IFERROR(INDEX(GERAL[LADO],39),"")</f>
        <v>0</v>
      </c>
    </row>
    <row r="41" spans="1:34" x14ac:dyDescent="0.3">
      <c r="A41" s="9">
        <v>8</v>
      </c>
      <c r="B41">
        <f t="shared" ca="1" si="27"/>
        <v>1</v>
      </c>
      <c r="C41" s="90">
        <f t="shared" ca="1" si="28"/>
        <v>1</v>
      </c>
      <c r="D41" s="90">
        <f t="shared" ca="1" si="29"/>
        <v>127.70729411764684</v>
      </c>
      <c r="E41" s="90">
        <f t="shared" ca="1" si="30"/>
        <v>-21.675294117646857</v>
      </c>
      <c r="F41" s="90">
        <f t="shared" ca="1" si="31"/>
        <v>150</v>
      </c>
      <c r="G41" s="90">
        <f t="shared" ca="1" si="32"/>
        <v>0.85138196078431227</v>
      </c>
      <c r="H41" s="90">
        <f t="shared" ca="1" si="33"/>
        <v>4.951052674934725E-2</v>
      </c>
      <c r="I41" s="90">
        <f t="shared" ca="1" si="34"/>
        <v>-0.40884438881935381</v>
      </c>
      <c r="J41" s="90">
        <f t="shared" ca="1" si="35"/>
        <v>0</v>
      </c>
      <c r="M41">
        <v>40</v>
      </c>
      <c r="N41" t="str">
        <f>IFERROR(IF(INDEX(GERAL[PONTO],M41)="","",INDEX(GERAL[PONTO],M41)),"")</f>
        <v/>
      </c>
      <c r="O41" t="str">
        <f>IF(N41="","",IFERROR(INDEX(GERAL[ACUMULADA],40),0))</f>
        <v/>
      </c>
      <c r="P41" t="str">
        <f t="shared" si="19"/>
        <v/>
      </c>
      <c r="Q41" t="str">
        <f t="shared" si="20"/>
        <v/>
      </c>
      <c r="R41" t="str">
        <f t="shared" si="21"/>
        <v/>
      </c>
      <c r="S41" t="str">
        <f>IF(N41="","",IFERROR(INDEX(Tabela7[QT %],MATCH(N41,Tabela7[PONTO],0)),0))</f>
        <v/>
      </c>
      <c r="T41" t="str">
        <f t="shared" si="22"/>
        <v/>
      </c>
      <c r="U41" t="str">
        <f>IF(N41="","",IF($B$9&gt;$B$8,IFERROR((INDEX(GERAL[SNAP],40)-$B$8)/($B$9-$B$8),0),0))</f>
        <v/>
      </c>
      <c r="V41" t="str">
        <f t="shared" si="4"/>
        <v/>
      </c>
      <c r="W41">
        <f>IFERROR(INDEX(GERAL[LADO],40),"")</f>
        <v>0</v>
      </c>
      <c r="Y41" t="str">
        <f>IFERROR(IF(INDEX(GERAL[PONTO],M41)="","",INDEX(GERAL[PONTO],M41)),"")</f>
        <v/>
      </c>
      <c r="Z41" t="str">
        <f>IF(Y41="","",IFERROR(INDEX(GERAL[ACUMULADA],40),0))</f>
        <v/>
      </c>
      <c r="AA41" t="str">
        <f t="shared" si="23"/>
        <v/>
      </c>
      <c r="AB41" t="str">
        <f t="shared" si="24"/>
        <v/>
      </c>
      <c r="AC41" t="str">
        <f t="shared" si="25"/>
        <v/>
      </c>
      <c r="AD41" t="str">
        <f>IF(Y41="","",IFERROR(INDEX(DIR_ATUAL[QT %],MATCH(Y41,DIR_ATUAL[PONTO],0)),0))</f>
        <v/>
      </c>
      <c r="AE41" t="str">
        <f t="shared" si="26"/>
        <v/>
      </c>
      <c r="AF41" t="str">
        <f>IF(Y41="","",IF($E$9&gt;$E$8,IFERROR((INDEX(GERAL[SNAP],40)-$E$8)/($E$9-$E$8),0),0))</f>
        <v/>
      </c>
      <c r="AG41" t="str">
        <f t="shared" si="9"/>
        <v/>
      </c>
      <c r="AH41">
        <f>IFERROR(INDEX(GERAL[LADO],40),"")</f>
        <v>0</v>
      </c>
    </row>
    <row r="42" spans="1:34" x14ac:dyDescent="0.3">
      <c r="A42" s="9">
        <v>9</v>
      </c>
      <c r="B42">
        <f t="shared" ca="1" si="27"/>
        <v>1</v>
      </c>
      <c r="C42" s="90">
        <f t="shared" ca="1" si="28"/>
        <v>1</v>
      </c>
      <c r="D42" s="90">
        <f t="shared" ca="1" si="29"/>
        <v>127.70729411764684</v>
      </c>
      <c r="E42" s="90">
        <f t="shared" ca="1" si="30"/>
        <v>-21.675294117646857</v>
      </c>
      <c r="F42" s="90">
        <f t="shared" ca="1" si="31"/>
        <v>150</v>
      </c>
      <c r="G42" s="90">
        <f t="shared" ca="1" si="32"/>
        <v>0.85138196078431227</v>
      </c>
      <c r="H42" s="90">
        <f t="shared" ca="1" si="33"/>
        <v>4.951052674934725E-2</v>
      </c>
      <c r="I42" s="90">
        <f t="shared" ca="1" si="34"/>
        <v>-0.40884438881935381</v>
      </c>
      <c r="J42" s="90">
        <f t="shared" ca="1" si="35"/>
        <v>0</v>
      </c>
      <c r="M42">
        <v>41</v>
      </c>
      <c r="N42" t="str">
        <f>IFERROR(IF(INDEX(GERAL[PONTO],M42)="","",INDEX(GERAL[PONTO],M42)),"")</f>
        <v/>
      </c>
      <c r="O42" t="str">
        <f>IF(N42="","",IFERROR(INDEX(GERAL[ACUMULADA],41),0))</f>
        <v/>
      </c>
      <c r="P42" t="str">
        <f t="shared" si="19"/>
        <v/>
      </c>
      <c r="Q42" t="str">
        <f t="shared" si="20"/>
        <v/>
      </c>
      <c r="R42" t="str">
        <f t="shared" si="21"/>
        <v/>
      </c>
      <c r="S42" t="str">
        <f>IF(N42="","",IFERROR(INDEX(Tabela7[QT %],MATCH(N42,Tabela7[PONTO],0)),0))</f>
        <v/>
      </c>
      <c r="T42" t="str">
        <f t="shared" si="22"/>
        <v/>
      </c>
      <c r="U42" t="str">
        <f>IF(N42="","",IF($B$9&gt;$B$8,IFERROR((INDEX(GERAL[SNAP],41)-$B$8)/($B$9-$B$8),0),0))</f>
        <v/>
      </c>
      <c r="V42" t="str">
        <f t="shared" si="4"/>
        <v/>
      </c>
      <c r="W42">
        <f>IFERROR(INDEX(GERAL[LADO],41),"")</f>
        <v>0</v>
      </c>
      <c r="Y42" t="str">
        <f>IFERROR(IF(INDEX(GERAL[PONTO],M42)="","",INDEX(GERAL[PONTO],M42)),"")</f>
        <v/>
      </c>
      <c r="Z42" t="str">
        <f>IF(Y42="","",IFERROR(INDEX(GERAL[ACUMULADA],41),0))</f>
        <v/>
      </c>
      <c r="AA42" t="str">
        <f t="shared" si="23"/>
        <v/>
      </c>
      <c r="AB42" t="str">
        <f t="shared" si="24"/>
        <v/>
      </c>
      <c r="AC42" t="str">
        <f t="shared" si="25"/>
        <v/>
      </c>
      <c r="AD42" t="str">
        <f>IF(Y42="","",IFERROR(INDEX(DIR_ATUAL[QT %],MATCH(Y42,DIR_ATUAL[PONTO],0)),0))</f>
        <v/>
      </c>
      <c r="AE42" t="str">
        <f t="shared" si="26"/>
        <v/>
      </c>
      <c r="AF42" t="str">
        <f>IF(Y42="","",IF($E$9&gt;$E$8,IFERROR((INDEX(GERAL[SNAP],41)-$E$8)/($E$9-$E$8),0),0))</f>
        <v/>
      </c>
      <c r="AG42" t="str">
        <f t="shared" si="9"/>
        <v/>
      </c>
      <c r="AH42">
        <f>IFERROR(INDEX(GERAL[LADO],41),"")</f>
        <v>0</v>
      </c>
    </row>
    <row r="43" spans="1:34" x14ac:dyDescent="0.3">
      <c r="A43" s="9">
        <v>10</v>
      </c>
      <c r="B43" t="str">
        <f t="shared" ca="1" si="27"/>
        <v/>
      </c>
      <c r="C43" s="90" t="str">
        <f t="shared" ca="1" si="28"/>
        <v/>
      </c>
      <c r="D43" s="90" t="str">
        <f t="shared" ca="1" si="29"/>
        <v/>
      </c>
      <c r="E43" s="90" t="str">
        <f t="shared" ca="1" si="30"/>
        <v/>
      </c>
      <c r="F43" s="90" t="str">
        <f t="shared" ca="1" si="31"/>
        <v/>
      </c>
      <c r="G43" s="90" t="str">
        <f t="shared" ca="1" si="32"/>
        <v/>
      </c>
      <c r="H43" s="90" t="str">
        <f t="shared" ca="1" si="33"/>
        <v/>
      </c>
      <c r="I43" s="90" t="str">
        <f t="shared" ca="1" si="34"/>
        <v/>
      </c>
      <c r="J43" s="90" t="str">
        <f t="shared" ca="1" si="35"/>
        <v/>
      </c>
      <c r="M43">
        <v>42</v>
      </c>
      <c r="N43" t="str">
        <f>IFERROR(IF(INDEX(GERAL[PONTO],M43)="","",INDEX(GERAL[PONTO],M43)),"")</f>
        <v/>
      </c>
      <c r="O43" t="str">
        <f>IF(N43="","",IFERROR(INDEX(GERAL[ACUMULADA],42),0))</f>
        <v/>
      </c>
      <c r="P43" t="str">
        <f t="shared" si="19"/>
        <v/>
      </c>
      <c r="Q43" t="str">
        <f t="shared" si="20"/>
        <v/>
      </c>
      <c r="R43" t="str">
        <f t="shared" si="21"/>
        <v/>
      </c>
      <c r="S43" t="str">
        <f>IF(N43="","",IFERROR(INDEX(Tabela7[QT %],MATCH(N43,Tabela7[PONTO],0)),0))</f>
        <v/>
      </c>
      <c r="T43" t="str">
        <f t="shared" si="22"/>
        <v/>
      </c>
      <c r="U43" t="str">
        <f>IF(N43="","",IF($B$9&gt;$B$8,IFERROR((INDEX(GERAL[SNAP],42)-$B$8)/($B$9-$B$8),0),0))</f>
        <v/>
      </c>
      <c r="V43" t="str">
        <f t="shared" si="4"/>
        <v/>
      </c>
      <c r="W43">
        <f>IFERROR(INDEX(GERAL[LADO],42),"")</f>
        <v>0</v>
      </c>
      <c r="Y43" t="str">
        <f>IFERROR(IF(INDEX(GERAL[PONTO],M43)="","",INDEX(GERAL[PONTO],M43)),"")</f>
        <v/>
      </c>
      <c r="Z43" t="str">
        <f>IF(Y43="","",IFERROR(INDEX(GERAL[ACUMULADA],42),0))</f>
        <v/>
      </c>
      <c r="AA43" t="str">
        <f t="shared" si="23"/>
        <v/>
      </c>
      <c r="AB43" t="str">
        <f t="shared" si="24"/>
        <v/>
      </c>
      <c r="AC43" t="str">
        <f t="shared" si="25"/>
        <v/>
      </c>
      <c r="AD43" t="str">
        <f>IF(Y43="","",IFERROR(INDEX(DIR_ATUAL[QT %],MATCH(Y43,DIR_ATUAL[PONTO],0)),0))</f>
        <v/>
      </c>
      <c r="AE43" t="str">
        <f t="shared" si="26"/>
        <v/>
      </c>
      <c r="AF43" t="str">
        <f>IF(Y43="","",IF($E$9&gt;$E$8,IFERROR((INDEX(GERAL[SNAP],42)-$E$8)/($E$9-$E$8),0),0))</f>
        <v/>
      </c>
      <c r="AG43" t="str">
        <f t="shared" si="9"/>
        <v/>
      </c>
      <c r="AH43">
        <f>IFERROR(INDEX(GERAL[LADO],42),"")</f>
        <v>0</v>
      </c>
    </row>
    <row r="44" spans="1:34" x14ac:dyDescent="0.3">
      <c r="A44" s="9"/>
      <c r="C44" s="90"/>
      <c r="D44" s="90"/>
      <c r="E44" s="90"/>
      <c r="F44" s="90"/>
      <c r="G44" s="90"/>
      <c r="H44" s="90"/>
      <c r="I44" s="90"/>
      <c r="J44" s="90"/>
      <c r="M44">
        <v>43</v>
      </c>
      <c r="N44" t="str">
        <f>IFERROR(IF(INDEX(GERAL[PONTO],M44)="","",INDEX(GERAL[PONTO],M44)),"")</f>
        <v/>
      </c>
      <c r="O44" t="str">
        <f>IF(N44="","",IFERROR(INDEX(GERAL[ACUMULADA],43),0))</f>
        <v/>
      </c>
      <c r="P44" t="str">
        <f t="shared" si="19"/>
        <v/>
      </c>
      <c r="Q44" t="str">
        <f t="shared" si="20"/>
        <v/>
      </c>
      <c r="R44" t="str">
        <f t="shared" si="21"/>
        <v/>
      </c>
      <c r="S44" t="str">
        <f>IF(N44="","",IFERROR(INDEX(Tabela7[QT %],MATCH(N44,Tabela7[PONTO],0)),0))</f>
        <v/>
      </c>
      <c r="T44" t="str">
        <f t="shared" si="22"/>
        <v/>
      </c>
      <c r="U44" t="str">
        <f>IF(N44="","",IF($B$9&gt;$B$8,IFERROR((INDEX(GERAL[SNAP],43)-$B$8)/($B$9-$B$8),0),0))</f>
        <v/>
      </c>
      <c r="V44" t="str">
        <f t="shared" si="4"/>
        <v/>
      </c>
      <c r="W44">
        <f>IFERROR(INDEX(GERAL[LADO],43),"")</f>
        <v>0</v>
      </c>
      <c r="Y44" t="str">
        <f>IFERROR(IF(INDEX(GERAL[PONTO],M44)="","",INDEX(GERAL[PONTO],M44)),"")</f>
        <v/>
      </c>
      <c r="Z44" t="str">
        <f>IF(Y44="","",IFERROR(INDEX(GERAL[ACUMULADA],43),0))</f>
        <v/>
      </c>
      <c r="AA44" t="str">
        <f t="shared" si="23"/>
        <v/>
      </c>
      <c r="AB44" t="str">
        <f t="shared" si="24"/>
        <v/>
      </c>
      <c r="AC44" t="str">
        <f t="shared" si="25"/>
        <v/>
      </c>
      <c r="AD44" t="str">
        <f>IF(Y44="","",IFERROR(INDEX(DIR_ATUAL[QT %],MATCH(Y44,DIR_ATUAL[PONTO],0)),0))</f>
        <v/>
      </c>
      <c r="AE44" t="str">
        <f t="shared" si="26"/>
        <v/>
      </c>
      <c r="AF44" t="str">
        <f>IF(Y44="","",IF($E$9&gt;$E$8,IFERROR((INDEX(GERAL[SNAP],43)-$E$8)/($E$9-$E$8),0),0))</f>
        <v/>
      </c>
      <c r="AG44" t="str">
        <f t="shared" si="9"/>
        <v/>
      </c>
      <c r="AH44">
        <f>IFERROR(INDEX(GERAL[LADO],43),"")</f>
        <v>0</v>
      </c>
    </row>
    <row r="45" spans="1:34" x14ac:dyDescent="0.3">
      <c r="A45" s="9"/>
      <c r="C45" s="90"/>
      <c r="D45" s="90"/>
      <c r="E45" s="90"/>
      <c r="F45" s="90"/>
      <c r="G45" s="90"/>
      <c r="H45" s="90"/>
      <c r="I45" s="90"/>
      <c r="J45" s="90"/>
    </row>
    <row r="57" spans="13:22" x14ac:dyDescent="0.3">
      <c r="M57" t="str">
        <f>IFERROR(INDEX(GERAL[PONTO],44),"")</f>
        <v/>
      </c>
      <c r="N57" t="str">
        <f>IF(M57="","",IFERROR(INDEX(GERAL[ACUMULADA],44),0))</f>
        <v/>
      </c>
      <c r="O57" t="str">
        <f t="shared" ref="O57:O77" si="36">IF(N57="","",$B$11-N57)</f>
        <v/>
      </c>
      <c r="P57" t="str">
        <f t="shared" ref="P57:P77" si="37">IF(N57="","",IF(N57*1.15&lt;=30,30,IF(N57*1.15&lt;=45,45,IF(N57*1.15&lt;=75,75,IF(N57*1.15&lt;=112.5,112.5,IF(N57*1.15&lt;=150,150,IF(N57*1.15&lt;=225,225,300)))))))</f>
        <v/>
      </c>
      <c r="Q57" t="str">
        <f t="shared" ref="Q57:Q77" si="38">IF(P57="","",IFERROR(N57/P57,0))</f>
        <v/>
      </c>
      <c r="R57" t="str">
        <f>IF(M57="","",IFERROR(INDEX(Tabela7[QT %],MATCH(M57,Tabela7[PONTO],0)),0))</f>
        <v/>
      </c>
      <c r="S57" t="str">
        <f t="shared" ref="S57:S77" si="39">IF(N57="","",IFERROR(1-ABS(N57-O57)/$B$11,0))</f>
        <v/>
      </c>
      <c r="T57" t="str">
        <f>IF(M57="","",IF($B$9&gt;$B$8,IFERROR((INDEX(GERAL[SNAP],44)-$B$8)/($B$9-$B$8),0),0))</f>
        <v/>
      </c>
      <c r="U57" t="str">
        <f t="shared" ref="U57:U78" si="40">IF(OR(M57="",V57&lt;&gt;"LADO 1"),"",$L$2*IFERROR(N57/$B$11,0)+$L$3*IF($D$11&gt;0,IFERROR(R57/$D$11,0),0)+$L$4*IFERROR(S57,0)-$L$5*IFERROR(T57,0)-$L$6*MAX(0,IFERROR(Q57,0)-$L$7)+ROW()/1000000)</f>
        <v/>
      </c>
      <c r="V57" t="str">
        <f>IFERROR(INDEX(GERAL[LADO],44),"")</f>
        <v/>
      </c>
    </row>
    <row r="58" spans="13:22" x14ac:dyDescent="0.3">
      <c r="M58" t="str">
        <f>IFERROR(INDEX(GERAL[PONTO],45),"")</f>
        <v/>
      </c>
      <c r="N58" t="str">
        <f>IF(M58="","",IFERROR(INDEX(GERAL[ACUMULADA],45),0))</f>
        <v/>
      </c>
      <c r="O58" t="str">
        <f t="shared" si="36"/>
        <v/>
      </c>
      <c r="P58" t="str">
        <f t="shared" si="37"/>
        <v/>
      </c>
      <c r="Q58" t="str">
        <f t="shared" si="38"/>
        <v/>
      </c>
      <c r="R58" t="str">
        <f>IF(M58="","",IFERROR(INDEX(Tabela7[QT %],MATCH(M58,Tabela7[PONTO],0)),0))</f>
        <v/>
      </c>
      <c r="S58" t="str">
        <f t="shared" si="39"/>
        <v/>
      </c>
      <c r="T58" t="str">
        <f>IF(M58="","",IF($B$9&gt;$B$8,IFERROR((INDEX(GERAL[SNAP],45)-$B$8)/($B$9-$B$8),0),0))</f>
        <v/>
      </c>
      <c r="U58" t="str">
        <f t="shared" si="40"/>
        <v/>
      </c>
      <c r="V58" t="str">
        <f>IFERROR(INDEX(GERAL[LADO],45),"")</f>
        <v/>
      </c>
    </row>
    <row r="59" spans="13:22" x14ac:dyDescent="0.3">
      <c r="M59" t="str">
        <f>IFERROR(INDEX(GERAL[PONTO],46),"")</f>
        <v/>
      </c>
      <c r="N59" t="str">
        <f>IF(M59="","",IFERROR(INDEX(GERAL[ACUMULADA],46),0))</f>
        <v/>
      </c>
      <c r="O59" t="str">
        <f t="shared" si="36"/>
        <v/>
      </c>
      <c r="P59" t="str">
        <f t="shared" si="37"/>
        <v/>
      </c>
      <c r="Q59" t="str">
        <f t="shared" si="38"/>
        <v/>
      </c>
      <c r="R59" t="str">
        <f>IF(M59="","",IFERROR(INDEX(Tabela7[QT %],MATCH(M59,Tabela7[PONTO],0)),0))</f>
        <v/>
      </c>
      <c r="S59" t="str">
        <f t="shared" si="39"/>
        <v/>
      </c>
      <c r="T59" t="str">
        <f>IF(M59="","",IF($B$9&gt;$B$8,IFERROR((INDEX(GERAL[SNAP],46)-$B$8)/($B$9-$B$8),0),0))</f>
        <v/>
      </c>
      <c r="U59" t="str">
        <f t="shared" si="40"/>
        <v/>
      </c>
      <c r="V59" t="str">
        <f>IFERROR(INDEX(GERAL[LADO],46),"")</f>
        <v/>
      </c>
    </row>
    <row r="60" spans="13:22" x14ac:dyDescent="0.3">
      <c r="M60" t="str">
        <f>IFERROR(INDEX(GERAL[PONTO],47),"")</f>
        <v/>
      </c>
      <c r="N60" t="str">
        <f>IF(M60="","",IFERROR(INDEX(GERAL[ACUMULADA],47),0))</f>
        <v/>
      </c>
      <c r="O60" t="str">
        <f t="shared" si="36"/>
        <v/>
      </c>
      <c r="P60" t="str">
        <f t="shared" si="37"/>
        <v/>
      </c>
      <c r="Q60" t="str">
        <f t="shared" si="38"/>
        <v/>
      </c>
      <c r="R60" t="str">
        <f>IF(M60="","",IFERROR(INDEX(Tabela7[QT %],MATCH(M60,Tabela7[PONTO],0)),0))</f>
        <v/>
      </c>
      <c r="S60" t="str">
        <f t="shared" si="39"/>
        <v/>
      </c>
      <c r="T60" t="str">
        <f>IF(M60="","",IF($B$9&gt;$B$8,IFERROR((INDEX(GERAL[SNAP],47)-$B$8)/($B$9-$B$8),0),0))</f>
        <v/>
      </c>
      <c r="U60" t="str">
        <f t="shared" si="40"/>
        <v/>
      </c>
      <c r="V60" t="str">
        <f>IFERROR(INDEX(GERAL[LADO],47),"")</f>
        <v/>
      </c>
    </row>
    <row r="61" spans="13:22" x14ac:dyDescent="0.3">
      <c r="M61" t="str">
        <f>IFERROR(INDEX(GERAL[PONTO],48),"")</f>
        <v/>
      </c>
      <c r="N61" t="str">
        <f>IF(M61="","",IFERROR(INDEX(GERAL[ACUMULADA],48),0))</f>
        <v/>
      </c>
      <c r="O61" t="str">
        <f t="shared" si="36"/>
        <v/>
      </c>
      <c r="P61" t="str">
        <f t="shared" si="37"/>
        <v/>
      </c>
      <c r="Q61" t="str">
        <f t="shared" si="38"/>
        <v/>
      </c>
      <c r="R61" t="str">
        <f>IF(M61="","",IFERROR(INDEX(Tabela7[QT %],MATCH(M61,Tabela7[PONTO],0)),0))</f>
        <v/>
      </c>
      <c r="S61" t="str">
        <f t="shared" si="39"/>
        <v/>
      </c>
      <c r="T61" t="str">
        <f>IF(M61="","",IF($B$9&gt;$B$8,IFERROR((INDEX(GERAL[SNAP],48)-$B$8)/($B$9-$B$8),0),0))</f>
        <v/>
      </c>
      <c r="U61" t="str">
        <f t="shared" si="40"/>
        <v/>
      </c>
      <c r="V61" t="str">
        <f>IFERROR(INDEX(GERAL[LADO],48),"")</f>
        <v/>
      </c>
    </row>
    <row r="62" spans="13:22" x14ac:dyDescent="0.3">
      <c r="M62" t="str">
        <f>IFERROR(INDEX(GERAL[PONTO],49),"")</f>
        <v/>
      </c>
      <c r="N62" t="str">
        <f>IF(M62="","",IFERROR(INDEX(GERAL[ACUMULADA],49),0))</f>
        <v/>
      </c>
      <c r="O62" t="str">
        <f t="shared" si="36"/>
        <v/>
      </c>
      <c r="P62" t="str">
        <f t="shared" si="37"/>
        <v/>
      </c>
      <c r="Q62" t="str">
        <f t="shared" si="38"/>
        <v/>
      </c>
      <c r="R62" t="str">
        <f>IF(M62="","",IFERROR(INDEX(Tabela7[QT %],MATCH(M62,Tabela7[PONTO],0)),0))</f>
        <v/>
      </c>
      <c r="S62" t="str">
        <f t="shared" si="39"/>
        <v/>
      </c>
      <c r="T62" t="str">
        <f>IF(M62="","",IF($B$9&gt;$B$8,IFERROR((INDEX(GERAL[SNAP],49)-$B$8)/($B$9-$B$8),0),0))</f>
        <v/>
      </c>
      <c r="U62" t="str">
        <f t="shared" si="40"/>
        <v/>
      </c>
      <c r="V62" t="str">
        <f>IFERROR(INDEX(GERAL[LADO],49),"")</f>
        <v/>
      </c>
    </row>
    <row r="63" spans="13:22" x14ac:dyDescent="0.3">
      <c r="M63" t="str">
        <f>IFERROR(INDEX(GERAL[PONTO],50),"")</f>
        <v/>
      </c>
      <c r="N63" t="str">
        <f>IF(M63="","",IFERROR(INDEX(GERAL[ACUMULADA],50),0))</f>
        <v/>
      </c>
      <c r="O63" t="str">
        <f t="shared" si="36"/>
        <v/>
      </c>
      <c r="P63" t="str">
        <f t="shared" si="37"/>
        <v/>
      </c>
      <c r="Q63" t="str">
        <f t="shared" si="38"/>
        <v/>
      </c>
      <c r="R63" t="str">
        <f>IF(M63="","",IFERROR(INDEX(Tabela7[QT %],MATCH(M63,Tabela7[PONTO],0)),0))</f>
        <v/>
      </c>
      <c r="S63" t="str">
        <f t="shared" si="39"/>
        <v/>
      </c>
      <c r="T63" t="str">
        <f>IF(M63="","",IF($B$9&gt;$B$8,IFERROR((INDEX(GERAL[SNAP],50)-$B$8)/($B$9-$B$8),0),0))</f>
        <v/>
      </c>
      <c r="U63" t="str">
        <f t="shared" si="40"/>
        <v/>
      </c>
      <c r="V63" t="str">
        <f>IFERROR(INDEX(GERAL[LADO],50),"")</f>
        <v/>
      </c>
    </row>
    <row r="64" spans="13:22" x14ac:dyDescent="0.3">
      <c r="M64" t="str">
        <f>IFERROR(INDEX(GERAL[PONTO],51),"")</f>
        <v/>
      </c>
      <c r="N64" t="str">
        <f>IF(M64="","",IFERROR(INDEX(GERAL[ACUMULADA],51),0))</f>
        <v/>
      </c>
      <c r="O64" t="str">
        <f t="shared" si="36"/>
        <v/>
      </c>
      <c r="P64" t="str">
        <f t="shared" si="37"/>
        <v/>
      </c>
      <c r="Q64" t="str">
        <f t="shared" si="38"/>
        <v/>
      </c>
      <c r="R64" t="str">
        <f>IF(M64="","",IFERROR(INDEX(Tabela7[QT %],MATCH(M64,Tabela7[PONTO],0)),0))</f>
        <v/>
      </c>
      <c r="S64" t="str">
        <f t="shared" si="39"/>
        <v/>
      </c>
      <c r="T64" t="str">
        <f>IF(M64="","",IF($B$9&gt;$B$8,IFERROR((INDEX(GERAL[SNAP],51)-$B$8)/($B$9-$B$8),0),0))</f>
        <v/>
      </c>
      <c r="U64" t="str">
        <f t="shared" si="40"/>
        <v/>
      </c>
      <c r="V64" t="str">
        <f>IFERROR(INDEX(GERAL[LADO],51),"")</f>
        <v/>
      </c>
    </row>
    <row r="65" spans="13:33" x14ac:dyDescent="0.3">
      <c r="M65" t="str">
        <f>IFERROR(INDEX(GERAL[PONTO],52),"")</f>
        <v/>
      </c>
      <c r="N65" t="str">
        <f>IF(M65="","",IFERROR(INDEX(GERAL[ACUMULADA],52),0))</f>
        <v/>
      </c>
      <c r="O65" t="str">
        <f t="shared" si="36"/>
        <v/>
      </c>
      <c r="P65" t="str">
        <f t="shared" si="37"/>
        <v/>
      </c>
      <c r="Q65" t="str">
        <f t="shared" si="38"/>
        <v/>
      </c>
      <c r="R65" t="str">
        <f>IF(M65="","",IFERROR(INDEX(Tabela7[QT %],MATCH(M65,Tabela7[PONTO],0)),0))</f>
        <v/>
      </c>
      <c r="S65" t="str">
        <f t="shared" si="39"/>
        <v/>
      </c>
      <c r="T65" t="str">
        <f>IF(M65="","",IF($B$9&gt;$B$8,IFERROR((INDEX(GERAL[SNAP],52)-$B$8)/($B$9-$B$8),0),0))</f>
        <v/>
      </c>
      <c r="U65" t="str">
        <f t="shared" si="40"/>
        <v/>
      </c>
      <c r="V65" t="str">
        <f>IFERROR(INDEX(GERAL[LADO],52),"")</f>
        <v/>
      </c>
    </row>
    <row r="66" spans="13:33" x14ac:dyDescent="0.3">
      <c r="M66" t="str">
        <f>IFERROR(INDEX(GERAL[PONTO],53),"")</f>
        <v/>
      </c>
      <c r="N66" t="str">
        <f>IF(M66="","",IFERROR(INDEX(GERAL[ACUMULADA],53),0))</f>
        <v/>
      </c>
      <c r="O66" t="str">
        <f t="shared" si="36"/>
        <v/>
      </c>
      <c r="P66" t="str">
        <f t="shared" si="37"/>
        <v/>
      </c>
      <c r="Q66" t="str">
        <f t="shared" si="38"/>
        <v/>
      </c>
      <c r="R66" t="str">
        <f>IF(M66="","",IFERROR(INDEX(Tabela7[QT %],MATCH(M66,Tabela7[PONTO],0)),0))</f>
        <v/>
      </c>
      <c r="S66" t="str">
        <f t="shared" si="39"/>
        <v/>
      </c>
      <c r="T66" t="str">
        <f>IF(M66="","",IF($B$9&gt;$B$8,IFERROR((INDEX(GERAL[SNAP],53)-$B$8)/($B$9-$B$8),0),0))</f>
        <v/>
      </c>
      <c r="U66" t="str">
        <f t="shared" si="40"/>
        <v/>
      </c>
      <c r="V66" t="str">
        <f>IFERROR(INDEX(GERAL[LADO],53),"")</f>
        <v/>
      </c>
    </row>
    <row r="67" spans="13:33" x14ac:dyDescent="0.3">
      <c r="M67" t="str">
        <f>IFERROR(INDEX(GERAL[PONTO],54),"")</f>
        <v/>
      </c>
      <c r="N67" t="str">
        <f>IF(M67="","",IFERROR(INDEX(GERAL[ACUMULADA],54),0))</f>
        <v/>
      </c>
      <c r="O67" t="str">
        <f t="shared" si="36"/>
        <v/>
      </c>
      <c r="P67" t="str">
        <f t="shared" si="37"/>
        <v/>
      </c>
      <c r="Q67" t="str">
        <f t="shared" si="38"/>
        <v/>
      </c>
      <c r="R67" t="str">
        <f>IF(M67="","",IFERROR(INDEX(Tabela7[QT %],MATCH(M67,Tabela7[PONTO],0)),0))</f>
        <v/>
      </c>
      <c r="S67" t="str">
        <f t="shared" si="39"/>
        <v/>
      </c>
      <c r="T67" t="str">
        <f>IF(M67="","",IF($B$9&gt;$B$8,IFERROR((INDEX(GERAL[SNAP],54)-$B$8)/($B$9-$B$8),0),0))</f>
        <v/>
      </c>
      <c r="U67" t="str">
        <f t="shared" si="40"/>
        <v/>
      </c>
      <c r="V67" t="str">
        <f>IFERROR(INDEX(GERAL[LADO],54),"")</f>
        <v/>
      </c>
    </row>
    <row r="68" spans="13:33" x14ac:dyDescent="0.3">
      <c r="M68" t="str">
        <f>IFERROR(INDEX(GERAL[PONTO],55),"")</f>
        <v/>
      </c>
      <c r="N68" t="str">
        <f>IF(M68="","",IFERROR(INDEX(GERAL[ACUMULADA],55),0))</f>
        <v/>
      </c>
      <c r="O68" t="str">
        <f t="shared" si="36"/>
        <v/>
      </c>
      <c r="P68" t="str">
        <f t="shared" si="37"/>
        <v/>
      </c>
      <c r="Q68" t="str">
        <f t="shared" si="38"/>
        <v/>
      </c>
      <c r="R68" t="str">
        <f>IF(M68="","",IFERROR(INDEX(Tabela7[QT %],MATCH(M68,Tabela7[PONTO],0)),0))</f>
        <v/>
      </c>
      <c r="S68" t="str">
        <f t="shared" si="39"/>
        <v/>
      </c>
      <c r="T68" t="str">
        <f>IF(M68="","",IF($B$9&gt;$B$8,IFERROR((INDEX(GERAL[SNAP],55)-$B$8)/($B$9-$B$8),0),0))</f>
        <v/>
      </c>
      <c r="U68" t="str">
        <f t="shared" si="40"/>
        <v/>
      </c>
      <c r="V68" t="str">
        <f>IFERROR(INDEX(GERAL[LADO],55),"")</f>
        <v/>
      </c>
    </row>
    <row r="69" spans="13:33" x14ac:dyDescent="0.3">
      <c r="M69" t="str">
        <f>IFERROR(INDEX(GERAL[PONTO],56),"")</f>
        <v/>
      </c>
      <c r="N69" t="str">
        <f>IF(M69="","",IFERROR(INDEX(GERAL[ACUMULADA],56),0))</f>
        <v/>
      </c>
      <c r="O69" t="str">
        <f t="shared" si="36"/>
        <v/>
      </c>
      <c r="P69" t="str">
        <f t="shared" si="37"/>
        <v/>
      </c>
      <c r="Q69" t="str">
        <f t="shared" si="38"/>
        <v/>
      </c>
      <c r="R69" t="str">
        <f>IF(M69="","",IFERROR(INDEX(Tabela7[QT %],MATCH(M69,Tabela7[PONTO],0)),0))</f>
        <v/>
      </c>
      <c r="S69" t="str">
        <f t="shared" si="39"/>
        <v/>
      </c>
      <c r="T69" t="str">
        <f>IF(M69="","",IF($B$9&gt;$B$8,IFERROR((INDEX(GERAL[SNAP],56)-$B$8)/($B$9-$B$8),0),0))</f>
        <v/>
      </c>
      <c r="U69" t="str">
        <f t="shared" si="40"/>
        <v/>
      </c>
      <c r="V69" t="str">
        <f>IFERROR(INDEX(GERAL[LADO],56),"")</f>
        <v/>
      </c>
    </row>
    <row r="70" spans="13:33" x14ac:dyDescent="0.3">
      <c r="M70" t="str">
        <f>IFERROR(INDEX(GERAL[PONTO],57),"")</f>
        <v/>
      </c>
      <c r="N70" t="str">
        <f>IF(M70="","",IFERROR(INDEX(GERAL[ACUMULADA],57),0))</f>
        <v/>
      </c>
      <c r="O70" t="str">
        <f t="shared" si="36"/>
        <v/>
      </c>
      <c r="P70" t="str">
        <f t="shared" si="37"/>
        <v/>
      </c>
      <c r="Q70" t="str">
        <f t="shared" si="38"/>
        <v/>
      </c>
      <c r="R70" t="str">
        <f>IF(M70="","",IFERROR(INDEX(Tabela7[QT %],MATCH(M70,Tabela7[PONTO],0)),0))</f>
        <v/>
      </c>
      <c r="S70" t="str">
        <f t="shared" si="39"/>
        <v/>
      </c>
      <c r="T70" t="str">
        <f>IF(M70="","",IF($B$9&gt;$B$8,IFERROR((INDEX(GERAL[SNAP],57)-$B$8)/($B$9-$B$8),0),0))</f>
        <v/>
      </c>
      <c r="U70" t="str">
        <f t="shared" si="40"/>
        <v/>
      </c>
      <c r="V70" t="str">
        <f>IFERROR(INDEX(GERAL[LADO],57),"")</f>
        <v/>
      </c>
    </row>
    <row r="71" spans="13:33" x14ac:dyDescent="0.3">
      <c r="M71" t="str">
        <f>IFERROR(INDEX(GERAL[PONTO],58),"")</f>
        <v/>
      </c>
      <c r="N71" t="str">
        <f>IF(M71="","",IFERROR(INDEX(GERAL[ACUMULADA],58),0))</f>
        <v/>
      </c>
      <c r="O71" t="str">
        <f t="shared" si="36"/>
        <v/>
      </c>
      <c r="P71" t="str">
        <f t="shared" si="37"/>
        <v/>
      </c>
      <c r="Q71" t="str">
        <f t="shared" si="38"/>
        <v/>
      </c>
      <c r="R71" t="str">
        <f>IF(M71="","",IFERROR(INDEX(Tabela7[QT %],MATCH(M71,Tabela7[PONTO],0)),0))</f>
        <v/>
      </c>
      <c r="S71" t="str">
        <f t="shared" si="39"/>
        <v/>
      </c>
      <c r="T71" t="str">
        <f>IF(M71="","",IF($B$9&gt;$B$8,IFERROR((INDEX(GERAL[SNAP],58)-$B$8)/($B$9-$B$8),0),0))</f>
        <v/>
      </c>
      <c r="U71" t="str">
        <f t="shared" si="40"/>
        <v/>
      </c>
      <c r="V71" t="str">
        <f>IFERROR(INDEX(GERAL[LADO],58),"")</f>
        <v/>
      </c>
    </row>
    <row r="72" spans="13:33" x14ac:dyDescent="0.3">
      <c r="M72" t="str">
        <f>IFERROR(INDEX(GERAL[PONTO],59),"")</f>
        <v/>
      </c>
      <c r="N72" t="str">
        <f>IF(M72="","",IFERROR(INDEX(GERAL[ACUMULADA],59),0))</f>
        <v/>
      </c>
      <c r="O72" t="str">
        <f t="shared" si="36"/>
        <v/>
      </c>
      <c r="P72" t="str">
        <f t="shared" si="37"/>
        <v/>
      </c>
      <c r="Q72" t="str">
        <f t="shared" si="38"/>
        <v/>
      </c>
      <c r="R72" t="str">
        <f>IF(M72="","",IFERROR(INDEX(Tabela7[QT %],MATCH(M72,Tabela7[PONTO],0)),0))</f>
        <v/>
      </c>
      <c r="S72" t="str">
        <f t="shared" si="39"/>
        <v/>
      </c>
      <c r="T72" t="str">
        <f>IF(M72="","",IF($B$9&gt;$B$8,IFERROR((INDEX(GERAL[SNAP],59)-$B$8)/($B$9-$B$8),0),0))</f>
        <v/>
      </c>
      <c r="U72" t="str">
        <f t="shared" si="40"/>
        <v/>
      </c>
      <c r="V72" t="str">
        <f>IFERROR(INDEX(GERAL[LADO],59),"")</f>
        <v/>
      </c>
    </row>
    <row r="73" spans="13:33" x14ac:dyDescent="0.3">
      <c r="M73" t="str">
        <f>IFERROR(INDEX(GERAL[PONTO],60),"")</f>
        <v/>
      </c>
      <c r="N73" t="str">
        <f>IF(M73="","",IFERROR(INDEX(GERAL[ACUMULADA],60),0))</f>
        <v/>
      </c>
      <c r="O73" t="str">
        <f t="shared" si="36"/>
        <v/>
      </c>
      <c r="P73" t="str">
        <f t="shared" si="37"/>
        <v/>
      </c>
      <c r="Q73" t="str">
        <f t="shared" si="38"/>
        <v/>
      </c>
      <c r="R73" t="str">
        <f>IF(M73="","",IFERROR(INDEX(Tabela7[QT %],MATCH(M73,Tabela7[PONTO],0)),0))</f>
        <v/>
      </c>
      <c r="S73" t="str">
        <f t="shared" si="39"/>
        <v/>
      </c>
      <c r="T73" t="str">
        <f>IF(M73="","",IF($B$9&gt;$B$8,IFERROR((INDEX(GERAL[SNAP],60)-$B$8)/($B$9-$B$8),0),0))</f>
        <v/>
      </c>
      <c r="U73" t="str">
        <f t="shared" si="40"/>
        <v/>
      </c>
      <c r="V73" t="str">
        <f>IFERROR(INDEX(GERAL[LADO],60),"")</f>
        <v/>
      </c>
    </row>
    <row r="74" spans="13:33" x14ac:dyDescent="0.3">
      <c r="M74" t="str">
        <f>IFERROR(INDEX(GERAL[PONTO],61),"")</f>
        <v/>
      </c>
      <c r="N74" t="str">
        <f>IF(M74="","",IFERROR(INDEX(GERAL[ACUMULADA],61),0))</f>
        <v/>
      </c>
      <c r="O74" t="str">
        <f t="shared" si="36"/>
        <v/>
      </c>
      <c r="P74" t="str">
        <f t="shared" si="37"/>
        <v/>
      </c>
      <c r="Q74" t="str">
        <f t="shared" si="38"/>
        <v/>
      </c>
      <c r="R74" t="str">
        <f>IF(M74="","",IFERROR(INDEX(Tabela7[QT %],MATCH(M74,Tabela7[PONTO],0)),0))</f>
        <v/>
      </c>
      <c r="S74" t="str">
        <f t="shared" si="39"/>
        <v/>
      </c>
      <c r="T74" t="str">
        <f>IF(M74="","",IF($B$9&gt;$B$8,IFERROR((INDEX(GERAL[SNAP],61)-$B$8)/($B$9-$B$8),0),0))</f>
        <v/>
      </c>
      <c r="U74" t="str">
        <f t="shared" si="40"/>
        <v/>
      </c>
      <c r="V74" t="str">
        <f>IFERROR(INDEX(GERAL[LADO],61),"")</f>
        <v/>
      </c>
    </row>
    <row r="75" spans="13:33" x14ac:dyDescent="0.3">
      <c r="M75" t="str">
        <f>IFERROR(INDEX(GERAL[PONTO],62),"")</f>
        <v/>
      </c>
      <c r="N75" t="str">
        <f>IF(M75="","",IFERROR(INDEX(GERAL[ACUMULADA],62),0))</f>
        <v/>
      </c>
      <c r="O75" t="str">
        <f t="shared" si="36"/>
        <v/>
      </c>
      <c r="P75" t="str">
        <f t="shared" si="37"/>
        <v/>
      </c>
      <c r="Q75" t="str">
        <f t="shared" si="38"/>
        <v/>
      </c>
      <c r="R75" t="str">
        <f>IF(M75="","",IFERROR(INDEX(Tabela7[QT %],MATCH(M75,Tabela7[PONTO],0)),0))</f>
        <v/>
      </c>
      <c r="S75" t="str">
        <f t="shared" si="39"/>
        <v/>
      </c>
      <c r="T75" t="str">
        <f>IF(M75="","",IF($B$9&gt;$B$8,IFERROR((INDEX(GERAL[SNAP],62)-$B$8)/($B$9-$B$8),0),0))</f>
        <v/>
      </c>
      <c r="U75" t="str">
        <f t="shared" si="40"/>
        <v/>
      </c>
      <c r="V75" t="str">
        <f>IFERROR(INDEX(GERAL[LADO],62),"")</f>
        <v/>
      </c>
    </row>
    <row r="76" spans="13:33" x14ac:dyDescent="0.3">
      <c r="M76" t="str">
        <f>IFERROR(INDEX(GERAL[PONTO],63),"")</f>
        <v/>
      </c>
      <c r="N76" t="str">
        <f>IF(M76="","",IFERROR(INDEX(GERAL[ACUMULADA],63),0))</f>
        <v/>
      </c>
      <c r="O76" t="str">
        <f t="shared" si="36"/>
        <v/>
      </c>
      <c r="P76" t="str">
        <f t="shared" si="37"/>
        <v/>
      </c>
      <c r="Q76" t="str">
        <f t="shared" si="38"/>
        <v/>
      </c>
      <c r="R76" t="str">
        <f>IF(M76="","",IFERROR(INDEX(Tabela7[QT %],MATCH(M76,Tabela7[PONTO],0)),0))</f>
        <v/>
      </c>
      <c r="S76" t="str">
        <f t="shared" si="39"/>
        <v/>
      </c>
      <c r="T76" t="str">
        <f>IF(M76="","",IF($B$9&gt;$B$8,IFERROR((INDEX(GERAL[SNAP],63)-$B$8)/($B$9-$B$8),0),0))</f>
        <v/>
      </c>
      <c r="U76" t="str">
        <f t="shared" si="40"/>
        <v/>
      </c>
      <c r="V76" t="str">
        <f>IFERROR(INDEX(GERAL[LADO],63),"")</f>
        <v/>
      </c>
    </row>
    <row r="77" spans="13:33" x14ac:dyDescent="0.3">
      <c r="M77" t="str">
        <f>IFERROR(INDEX(GERAL[PONTO],64),"")</f>
        <v/>
      </c>
      <c r="N77" t="str">
        <f>IF(M77="","",IFERROR(INDEX(GERAL[ACUMULADA],64),0))</f>
        <v/>
      </c>
      <c r="O77" t="str">
        <f t="shared" si="36"/>
        <v/>
      </c>
      <c r="P77" t="str">
        <f t="shared" si="37"/>
        <v/>
      </c>
      <c r="Q77" t="str">
        <f t="shared" si="38"/>
        <v/>
      </c>
      <c r="R77" t="str">
        <f>IF(M77="","",IFERROR(INDEX(Tabela7[QT %],MATCH(M77,Tabela7[PONTO],0)),0))</f>
        <v/>
      </c>
      <c r="S77" t="str">
        <f t="shared" si="39"/>
        <v/>
      </c>
      <c r="T77" t="str">
        <f>IF(M77="","",IF($B$9&gt;$B$8,IFERROR((INDEX(GERAL[SNAP],64)-$B$8)/($B$9-$B$8),0),0))</f>
        <v/>
      </c>
      <c r="U77" t="str">
        <f t="shared" si="40"/>
        <v/>
      </c>
      <c r="V77" t="str">
        <f>IFERROR(INDEX(GERAL[LADO],64),"")</f>
        <v/>
      </c>
      <c r="X77" t="str">
        <f>IFERROR(INDEX(GERAL[PONTO],44),"")</f>
        <v/>
      </c>
      <c r="Y77" t="str">
        <f>IF(X77="","",IFERROR(INDEX(GERAL[ACUMULADA],44),0))</f>
        <v/>
      </c>
      <c r="Z77" t="str">
        <f t="shared" ref="Z77:Z97" si="41">IF(Y77="","",$B$31-Y77)</f>
        <v/>
      </c>
      <c r="AA77" t="str">
        <f t="shared" ref="AA77:AA97" si="42">IF(Y77="","",IF(Y77*1.15&lt;=30,30,IF(Y77*1.15&lt;=45,45,IF(Y77*1.15&lt;=75,75,IF(Y77*1.15&lt;=112.5,112.5,IF(Y77*1.15&lt;=150,150,IF(Y77*1.15&lt;=225,225,300)))))))</f>
        <v/>
      </c>
      <c r="AB77" t="str">
        <f t="shared" ref="AB77:AB97" si="43">IF(AA77="","",IFERROR(Y77/AA77,0))</f>
        <v/>
      </c>
      <c r="AC77" t="str">
        <f>IF(X77="","",IFERROR(INDEX(DIR_ATUAL[QT %],MATCH(X77,DIR_ATUAL[PONTO],0)),0))</f>
        <v/>
      </c>
      <c r="AD77" t="str">
        <f t="shared" ref="AD77:AD97" si="44">IF(Y77="","",IFERROR(1-ABS(Y77-Z77)/$B$31,0))</f>
        <v/>
      </c>
      <c r="AE77" t="str">
        <f>IF(X77="","",IF($E$9&gt;$E$8,IFERROR((INDEX(GERAL[SNAP],44)-$E$8)/($E$9-$E$8),0),0))</f>
        <v/>
      </c>
      <c r="AF77" t="str">
        <f t="shared" ref="AF77:AF98" si="45">IF(OR(X77="",AG77&lt;&gt;"LADO 2"),"",$L$2*IFERROR(Y77/$B$31,0)+$L$3*IF($D$31&gt;0,IFERROR(AC77/$D$31,0),0)+$L$4*IFERROR(AD77,0)-$L$5*IFERROR(AE77,0)-$L$6*MAX(0,IFERROR(AB77,0)-$L$7)+ROW()/1000000)</f>
        <v/>
      </c>
      <c r="AG77" t="str">
        <f>IFERROR(INDEX(GERAL[LADO],44),"")</f>
        <v/>
      </c>
    </row>
    <row r="78" spans="13:33" x14ac:dyDescent="0.3">
      <c r="M78" t="str">
        <f>IFERROR(INDEX(GERAL[PONTO],65),"")</f>
        <v/>
      </c>
      <c r="N78" t="str">
        <f>IF(M78="","",IFERROR(INDEX(GERAL[ACUMULADA],65),0))</f>
        <v/>
      </c>
      <c r="O78" t="str">
        <f t="shared" ref="O78:O109" si="46">IF(N78="","",$B$11-N78)</f>
        <v/>
      </c>
      <c r="P78" t="str">
        <f t="shared" ref="P78:P109" si="47">IF(N78="","",IF(N78*1.15&lt;=30,30,IF(N78*1.15&lt;=45,45,IF(N78*1.15&lt;=75,75,IF(N78*1.15&lt;=112.5,112.5,IF(N78*1.15&lt;=150,150,IF(N78*1.15&lt;=225,225,300)))))))</f>
        <v/>
      </c>
      <c r="Q78" t="str">
        <f t="shared" ref="Q78:Q109" si="48">IF(P78="","",IFERROR(N78/P78,0))</f>
        <v/>
      </c>
      <c r="R78" t="str">
        <f>IF(M78="","",IFERROR(INDEX(Tabela7[QT %],MATCH(M78,Tabela7[PONTO],0)),0))</f>
        <v/>
      </c>
      <c r="S78" t="str">
        <f t="shared" ref="S78:S109" si="49">IF(N78="","",IFERROR(1-ABS(N78-O78)/$B$11,0))</f>
        <v/>
      </c>
      <c r="T78" t="str">
        <f>IF(M78="","",IF($B$9&gt;$B$8,IFERROR((INDEX(GERAL[SNAP],65)-$B$8)/($B$9-$B$8),0),0))</f>
        <v/>
      </c>
      <c r="U78" t="str">
        <f t="shared" si="40"/>
        <v/>
      </c>
      <c r="V78" t="str">
        <f>IFERROR(INDEX(GERAL[LADO],65),"")</f>
        <v/>
      </c>
      <c r="X78" t="str">
        <f>IFERROR(INDEX(GERAL[PONTO],45),"")</f>
        <v/>
      </c>
      <c r="Y78" t="str">
        <f>IF(X78="","",IFERROR(INDEX(GERAL[ACUMULADA],45),0))</f>
        <v/>
      </c>
      <c r="Z78" t="str">
        <f t="shared" si="41"/>
        <v/>
      </c>
      <c r="AA78" t="str">
        <f t="shared" si="42"/>
        <v/>
      </c>
      <c r="AB78" t="str">
        <f t="shared" si="43"/>
        <v/>
      </c>
      <c r="AC78" t="str">
        <f>IF(X78="","",IFERROR(INDEX(DIR_ATUAL[QT %],MATCH(X78,DIR_ATUAL[PONTO],0)),0))</f>
        <v/>
      </c>
      <c r="AD78" t="str">
        <f t="shared" si="44"/>
        <v/>
      </c>
      <c r="AE78" t="str">
        <f>IF(X78="","",IF($E$9&gt;$E$8,IFERROR((INDEX(GERAL[SNAP],45)-$E$8)/($E$9-$E$8),0),0))</f>
        <v/>
      </c>
      <c r="AF78" t="str">
        <f t="shared" si="45"/>
        <v/>
      </c>
      <c r="AG78" t="str">
        <f>IFERROR(INDEX(GERAL[LADO],45),"")</f>
        <v/>
      </c>
    </row>
    <row r="79" spans="13:33" x14ac:dyDescent="0.3">
      <c r="M79" t="str">
        <f>IFERROR(INDEX(GERAL[PONTO],66),"")</f>
        <v/>
      </c>
      <c r="N79" t="str">
        <f>IF(M79="","",IFERROR(INDEX(GERAL[ACUMULADA],66),0))</f>
        <v/>
      </c>
      <c r="O79" t="str">
        <f t="shared" si="46"/>
        <v/>
      </c>
      <c r="P79" t="str">
        <f t="shared" si="47"/>
        <v/>
      </c>
      <c r="Q79" t="str">
        <f t="shared" si="48"/>
        <v/>
      </c>
      <c r="R79" t="str">
        <f>IF(M79="","",IFERROR(INDEX(Tabela7[QT %],MATCH(M79,Tabela7[PONTO],0)),0))</f>
        <v/>
      </c>
      <c r="S79" t="str">
        <f t="shared" si="49"/>
        <v/>
      </c>
      <c r="T79" t="str">
        <f>IF(M79="","",IF($B$9&gt;$B$8,IFERROR((INDEX(GERAL[SNAP],66)-$B$8)/($B$9-$B$8),0),0))</f>
        <v/>
      </c>
      <c r="U79" t="str">
        <f t="shared" ref="U79:U142" si="50">IF(OR(M79="",V79&lt;&gt;"LADO 1"),"",$L$2*IFERROR(N79/$B$11,0)+$L$3*IF($D$11&gt;0,IFERROR(R79/$D$11,0),0)+$L$4*IFERROR(S79,0)-$L$5*IFERROR(T79,0)-$L$6*MAX(0,IFERROR(Q79,0)-$L$7)+ROW()/1000000)</f>
        <v/>
      </c>
      <c r="V79" t="str">
        <f>IFERROR(INDEX(GERAL[LADO],66),"")</f>
        <v/>
      </c>
      <c r="X79" t="str">
        <f>IFERROR(INDEX(GERAL[PONTO],46),"")</f>
        <v/>
      </c>
      <c r="Y79" t="str">
        <f>IF(X79="","",IFERROR(INDEX(GERAL[ACUMULADA],46),0))</f>
        <v/>
      </c>
      <c r="Z79" t="str">
        <f t="shared" si="41"/>
        <v/>
      </c>
      <c r="AA79" t="str">
        <f t="shared" si="42"/>
        <v/>
      </c>
      <c r="AB79" t="str">
        <f t="shared" si="43"/>
        <v/>
      </c>
      <c r="AC79" t="str">
        <f>IF(X79="","",IFERROR(INDEX(DIR_ATUAL[QT %],MATCH(X79,DIR_ATUAL[PONTO],0)),0))</f>
        <v/>
      </c>
      <c r="AD79" t="str">
        <f t="shared" si="44"/>
        <v/>
      </c>
      <c r="AE79" t="str">
        <f>IF(X79="","",IF($E$9&gt;$E$8,IFERROR((INDEX(GERAL[SNAP],46)-$E$8)/($E$9-$E$8),0),0))</f>
        <v/>
      </c>
      <c r="AF79" t="str">
        <f t="shared" si="45"/>
        <v/>
      </c>
      <c r="AG79" t="str">
        <f>IFERROR(INDEX(GERAL[LADO],46),"")</f>
        <v/>
      </c>
    </row>
    <row r="80" spans="13:33" x14ac:dyDescent="0.3">
      <c r="M80" t="str">
        <f>IFERROR(INDEX(GERAL[PONTO],67),"")</f>
        <v/>
      </c>
      <c r="N80" t="str">
        <f>IF(M80="","",IFERROR(INDEX(GERAL[ACUMULADA],67),0))</f>
        <v/>
      </c>
      <c r="O80" t="str">
        <f t="shared" si="46"/>
        <v/>
      </c>
      <c r="P80" t="str">
        <f t="shared" si="47"/>
        <v/>
      </c>
      <c r="Q80" t="str">
        <f t="shared" si="48"/>
        <v/>
      </c>
      <c r="R80" t="str">
        <f>IF(M80="","",IFERROR(INDEX(Tabela7[QT %],MATCH(M80,Tabela7[PONTO],0)),0))</f>
        <v/>
      </c>
      <c r="S80" t="str">
        <f t="shared" si="49"/>
        <v/>
      </c>
      <c r="T80" t="str">
        <f>IF(M80="","",IF($B$9&gt;$B$8,IFERROR((INDEX(GERAL[SNAP],67)-$B$8)/($B$9-$B$8),0),0))</f>
        <v/>
      </c>
      <c r="U80" t="str">
        <f t="shared" si="50"/>
        <v/>
      </c>
      <c r="V80" t="str">
        <f>IFERROR(INDEX(GERAL[LADO],67),"")</f>
        <v/>
      </c>
      <c r="X80" t="str">
        <f>IFERROR(INDEX(GERAL[PONTO],47),"")</f>
        <v/>
      </c>
      <c r="Y80" t="str">
        <f>IF(X80="","",IFERROR(INDEX(GERAL[ACUMULADA],47),0))</f>
        <v/>
      </c>
      <c r="Z80" t="str">
        <f t="shared" si="41"/>
        <v/>
      </c>
      <c r="AA80" t="str">
        <f t="shared" si="42"/>
        <v/>
      </c>
      <c r="AB80" t="str">
        <f t="shared" si="43"/>
        <v/>
      </c>
      <c r="AC80" t="str">
        <f>IF(X80="","",IFERROR(INDEX(DIR_ATUAL[QT %],MATCH(X80,DIR_ATUAL[PONTO],0)),0))</f>
        <v/>
      </c>
      <c r="AD80" t="str">
        <f t="shared" si="44"/>
        <v/>
      </c>
      <c r="AE80" t="str">
        <f>IF(X80="","",IF($E$9&gt;$E$8,IFERROR((INDEX(GERAL[SNAP],47)-$E$8)/($E$9-$E$8),0),0))</f>
        <v/>
      </c>
      <c r="AF80" t="str">
        <f t="shared" si="45"/>
        <v/>
      </c>
      <c r="AG80" t="str">
        <f>IFERROR(INDEX(GERAL[LADO],47),"")</f>
        <v/>
      </c>
    </row>
    <row r="81" spans="13:33" x14ac:dyDescent="0.3">
      <c r="M81" t="str">
        <f>IFERROR(INDEX(GERAL[PONTO],68),"")</f>
        <v/>
      </c>
      <c r="N81" t="str">
        <f>IF(M81="","",IFERROR(INDEX(GERAL[ACUMULADA],68),0))</f>
        <v/>
      </c>
      <c r="O81" t="str">
        <f t="shared" si="46"/>
        <v/>
      </c>
      <c r="P81" t="str">
        <f t="shared" si="47"/>
        <v/>
      </c>
      <c r="Q81" t="str">
        <f t="shared" si="48"/>
        <v/>
      </c>
      <c r="R81" t="str">
        <f>IF(M81="","",IFERROR(INDEX(Tabela7[QT %],MATCH(M81,Tabela7[PONTO],0)),0))</f>
        <v/>
      </c>
      <c r="S81" t="str">
        <f t="shared" si="49"/>
        <v/>
      </c>
      <c r="T81" t="str">
        <f>IF(M81="","",IF($B$9&gt;$B$8,IFERROR((INDEX(GERAL[SNAP],68)-$B$8)/($B$9-$B$8),0),0))</f>
        <v/>
      </c>
      <c r="U81" t="str">
        <f t="shared" si="50"/>
        <v/>
      </c>
      <c r="V81" t="str">
        <f>IFERROR(INDEX(GERAL[LADO],68),"")</f>
        <v/>
      </c>
      <c r="X81" t="str">
        <f>IFERROR(INDEX(GERAL[PONTO],48),"")</f>
        <v/>
      </c>
      <c r="Y81" t="str">
        <f>IF(X81="","",IFERROR(INDEX(GERAL[ACUMULADA],48),0))</f>
        <v/>
      </c>
      <c r="Z81" t="str">
        <f t="shared" si="41"/>
        <v/>
      </c>
      <c r="AA81" t="str">
        <f t="shared" si="42"/>
        <v/>
      </c>
      <c r="AB81" t="str">
        <f t="shared" si="43"/>
        <v/>
      </c>
      <c r="AC81" t="str">
        <f>IF(X81="","",IFERROR(INDEX(DIR_ATUAL[QT %],MATCH(X81,DIR_ATUAL[PONTO],0)),0))</f>
        <v/>
      </c>
      <c r="AD81" t="str">
        <f t="shared" si="44"/>
        <v/>
      </c>
      <c r="AE81" t="str">
        <f>IF(X81="","",IF($E$9&gt;$E$8,IFERROR((INDEX(GERAL[SNAP],48)-$E$8)/($E$9-$E$8),0),0))</f>
        <v/>
      </c>
      <c r="AF81" t="str">
        <f t="shared" si="45"/>
        <v/>
      </c>
      <c r="AG81" t="str">
        <f>IFERROR(INDEX(GERAL[LADO],48),"")</f>
        <v/>
      </c>
    </row>
    <row r="82" spans="13:33" x14ac:dyDescent="0.3">
      <c r="M82" t="str">
        <f>IFERROR(INDEX(GERAL[PONTO],69),"")</f>
        <v/>
      </c>
      <c r="N82" t="str">
        <f>IF(M82="","",IFERROR(INDEX(GERAL[ACUMULADA],69),0))</f>
        <v/>
      </c>
      <c r="O82" t="str">
        <f t="shared" si="46"/>
        <v/>
      </c>
      <c r="P82" t="str">
        <f t="shared" si="47"/>
        <v/>
      </c>
      <c r="Q82" t="str">
        <f t="shared" si="48"/>
        <v/>
      </c>
      <c r="R82" t="str">
        <f>IF(M82="","",IFERROR(INDEX(Tabela7[QT %],MATCH(M82,Tabela7[PONTO],0)),0))</f>
        <v/>
      </c>
      <c r="S82" t="str">
        <f t="shared" si="49"/>
        <v/>
      </c>
      <c r="T82" t="str">
        <f>IF(M82="","",IF($B$9&gt;$B$8,IFERROR((INDEX(GERAL[SNAP],69)-$B$8)/($B$9-$B$8),0),0))</f>
        <v/>
      </c>
      <c r="U82" t="str">
        <f t="shared" si="50"/>
        <v/>
      </c>
      <c r="V82" t="str">
        <f>IFERROR(INDEX(GERAL[LADO],69),"")</f>
        <v/>
      </c>
      <c r="X82" t="str">
        <f>IFERROR(INDEX(GERAL[PONTO],49),"")</f>
        <v/>
      </c>
      <c r="Y82" t="str">
        <f>IF(X82="","",IFERROR(INDEX(GERAL[ACUMULADA],49),0))</f>
        <v/>
      </c>
      <c r="Z82" t="str">
        <f t="shared" si="41"/>
        <v/>
      </c>
      <c r="AA82" t="str">
        <f t="shared" si="42"/>
        <v/>
      </c>
      <c r="AB82" t="str">
        <f t="shared" si="43"/>
        <v/>
      </c>
      <c r="AC82" t="str">
        <f>IF(X82="","",IFERROR(INDEX(DIR_ATUAL[QT %],MATCH(X82,DIR_ATUAL[PONTO],0)),0))</f>
        <v/>
      </c>
      <c r="AD82" t="str">
        <f t="shared" si="44"/>
        <v/>
      </c>
      <c r="AE82" t="str">
        <f>IF(X82="","",IF($E$9&gt;$E$8,IFERROR((INDEX(GERAL[SNAP],49)-$E$8)/($E$9-$E$8),0),0))</f>
        <v/>
      </c>
      <c r="AF82" t="str">
        <f t="shared" si="45"/>
        <v/>
      </c>
      <c r="AG82" t="str">
        <f>IFERROR(INDEX(GERAL[LADO],49),"")</f>
        <v/>
      </c>
    </row>
    <row r="83" spans="13:33" x14ac:dyDescent="0.3">
      <c r="M83" t="str">
        <f>IFERROR(INDEX(GERAL[PONTO],70),"")</f>
        <v/>
      </c>
      <c r="N83" t="str">
        <f>IF(M83="","",IFERROR(INDEX(GERAL[ACUMULADA],70),0))</f>
        <v/>
      </c>
      <c r="O83" t="str">
        <f t="shared" si="46"/>
        <v/>
      </c>
      <c r="P83" t="str">
        <f t="shared" si="47"/>
        <v/>
      </c>
      <c r="Q83" t="str">
        <f t="shared" si="48"/>
        <v/>
      </c>
      <c r="R83" t="str">
        <f>IF(M83="","",IFERROR(INDEX(Tabela7[QT %],MATCH(M83,Tabela7[PONTO],0)),0))</f>
        <v/>
      </c>
      <c r="S83" t="str">
        <f t="shared" si="49"/>
        <v/>
      </c>
      <c r="T83" t="str">
        <f>IF(M83="","",IF($B$9&gt;$B$8,IFERROR((INDEX(GERAL[SNAP],70)-$B$8)/($B$9-$B$8),0),0))</f>
        <v/>
      </c>
      <c r="U83" t="str">
        <f t="shared" si="50"/>
        <v/>
      </c>
      <c r="V83" t="str">
        <f>IFERROR(INDEX(GERAL[LADO],70),"")</f>
        <v/>
      </c>
      <c r="X83" t="str">
        <f>IFERROR(INDEX(GERAL[PONTO],50),"")</f>
        <v/>
      </c>
      <c r="Y83" t="str">
        <f>IF(X83="","",IFERROR(INDEX(GERAL[ACUMULADA],50),0))</f>
        <v/>
      </c>
      <c r="Z83" t="str">
        <f t="shared" si="41"/>
        <v/>
      </c>
      <c r="AA83" t="str">
        <f t="shared" si="42"/>
        <v/>
      </c>
      <c r="AB83" t="str">
        <f t="shared" si="43"/>
        <v/>
      </c>
      <c r="AC83" t="str">
        <f>IF(X83="","",IFERROR(INDEX(DIR_ATUAL[QT %],MATCH(X83,DIR_ATUAL[PONTO],0)),0))</f>
        <v/>
      </c>
      <c r="AD83" t="str">
        <f t="shared" si="44"/>
        <v/>
      </c>
      <c r="AE83" t="str">
        <f>IF(X83="","",IF($E$9&gt;$E$8,IFERROR((INDEX(GERAL[SNAP],50)-$E$8)/($E$9-$E$8),0),0))</f>
        <v/>
      </c>
      <c r="AF83" t="str">
        <f t="shared" si="45"/>
        <v/>
      </c>
      <c r="AG83" t="str">
        <f>IFERROR(INDEX(GERAL[LADO],50),"")</f>
        <v/>
      </c>
    </row>
    <row r="84" spans="13:33" x14ac:dyDescent="0.3">
      <c r="M84" t="str">
        <f>IFERROR(INDEX(GERAL[PONTO],71),"")</f>
        <v/>
      </c>
      <c r="N84" t="str">
        <f>IF(M84="","",IFERROR(INDEX(GERAL[ACUMULADA],71),0))</f>
        <v/>
      </c>
      <c r="O84" t="str">
        <f t="shared" si="46"/>
        <v/>
      </c>
      <c r="P84" t="str">
        <f t="shared" si="47"/>
        <v/>
      </c>
      <c r="Q84" t="str">
        <f t="shared" si="48"/>
        <v/>
      </c>
      <c r="R84" t="str">
        <f>IF(M84="","",IFERROR(INDEX(Tabela7[QT %],MATCH(M84,Tabela7[PONTO],0)),0))</f>
        <v/>
      </c>
      <c r="S84" t="str">
        <f t="shared" si="49"/>
        <v/>
      </c>
      <c r="T84" t="str">
        <f>IF(M84="","",IF($B$9&gt;$B$8,IFERROR((INDEX(GERAL[SNAP],71)-$B$8)/($B$9-$B$8),0),0))</f>
        <v/>
      </c>
      <c r="U84" t="str">
        <f t="shared" si="50"/>
        <v/>
      </c>
      <c r="V84" t="str">
        <f>IFERROR(INDEX(GERAL[LADO],71),"")</f>
        <v/>
      </c>
      <c r="X84" t="str">
        <f>IFERROR(INDEX(GERAL[PONTO],51),"")</f>
        <v/>
      </c>
      <c r="Y84" t="str">
        <f>IF(X84="","",IFERROR(INDEX(GERAL[ACUMULADA],51),0))</f>
        <v/>
      </c>
      <c r="Z84" t="str">
        <f t="shared" si="41"/>
        <v/>
      </c>
      <c r="AA84" t="str">
        <f t="shared" si="42"/>
        <v/>
      </c>
      <c r="AB84" t="str">
        <f t="shared" si="43"/>
        <v/>
      </c>
      <c r="AC84" t="str">
        <f>IF(X84="","",IFERROR(INDEX(DIR_ATUAL[QT %],MATCH(X84,DIR_ATUAL[PONTO],0)),0))</f>
        <v/>
      </c>
      <c r="AD84" t="str">
        <f t="shared" si="44"/>
        <v/>
      </c>
      <c r="AE84" t="str">
        <f>IF(X84="","",IF($E$9&gt;$E$8,IFERROR((INDEX(GERAL[SNAP],51)-$E$8)/($E$9-$E$8),0),0))</f>
        <v/>
      </c>
      <c r="AF84" t="str">
        <f t="shared" si="45"/>
        <v/>
      </c>
      <c r="AG84" t="str">
        <f>IFERROR(INDEX(GERAL[LADO],51),"")</f>
        <v/>
      </c>
    </row>
    <row r="85" spans="13:33" x14ac:dyDescent="0.3">
      <c r="M85" t="str">
        <f>IFERROR(INDEX(GERAL[PONTO],72),"")</f>
        <v/>
      </c>
      <c r="N85" t="str">
        <f>IF(M85="","",IFERROR(INDEX(GERAL[ACUMULADA],72),0))</f>
        <v/>
      </c>
      <c r="O85" t="str">
        <f t="shared" si="46"/>
        <v/>
      </c>
      <c r="P85" t="str">
        <f t="shared" si="47"/>
        <v/>
      </c>
      <c r="Q85" t="str">
        <f t="shared" si="48"/>
        <v/>
      </c>
      <c r="R85" t="str">
        <f>IF(M85="","",IFERROR(INDEX(Tabela7[QT %],MATCH(M85,Tabela7[PONTO],0)),0))</f>
        <v/>
      </c>
      <c r="S85" t="str">
        <f t="shared" si="49"/>
        <v/>
      </c>
      <c r="T85" t="str">
        <f>IF(M85="","",IF($B$9&gt;$B$8,IFERROR((INDEX(GERAL[SNAP],72)-$B$8)/($B$9-$B$8),0),0))</f>
        <v/>
      </c>
      <c r="U85" t="str">
        <f t="shared" si="50"/>
        <v/>
      </c>
      <c r="V85" t="str">
        <f>IFERROR(INDEX(GERAL[LADO],72),"")</f>
        <v/>
      </c>
      <c r="X85" t="str">
        <f>IFERROR(INDEX(GERAL[PONTO],52),"")</f>
        <v/>
      </c>
      <c r="Y85" t="str">
        <f>IF(X85="","",IFERROR(INDEX(GERAL[ACUMULADA],52),0))</f>
        <v/>
      </c>
      <c r="Z85" t="str">
        <f t="shared" si="41"/>
        <v/>
      </c>
      <c r="AA85" t="str">
        <f t="shared" si="42"/>
        <v/>
      </c>
      <c r="AB85" t="str">
        <f t="shared" si="43"/>
        <v/>
      </c>
      <c r="AC85" t="str">
        <f>IF(X85="","",IFERROR(INDEX(DIR_ATUAL[QT %],MATCH(X85,DIR_ATUAL[PONTO],0)),0))</f>
        <v/>
      </c>
      <c r="AD85" t="str">
        <f t="shared" si="44"/>
        <v/>
      </c>
      <c r="AE85" t="str">
        <f>IF(X85="","",IF($E$9&gt;$E$8,IFERROR((INDEX(GERAL[SNAP],52)-$E$8)/($E$9-$E$8),0),0))</f>
        <v/>
      </c>
      <c r="AF85" t="str">
        <f t="shared" si="45"/>
        <v/>
      </c>
      <c r="AG85" t="str">
        <f>IFERROR(INDEX(GERAL[LADO],52),"")</f>
        <v/>
      </c>
    </row>
    <row r="86" spans="13:33" x14ac:dyDescent="0.3">
      <c r="M86" t="str">
        <f>IFERROR(INDEX(GERAL[PONTO],73),"")</f>
        <v/>
      </c>
      <c r="N86" t="str">
        <f>IF(M86="","",IFERROR(INDEX(GERAL[ACUMULADA],73),0))</f>
        <v/>
      </c>
      <c r="O86" t="str">
        <f t="shared" si="46"/>
        <v/>
      </c>
      <c r="P86" t="str">
        <f t="shared" si="47"/>
        <v/>
      </c>
      <c r="Q86" t="str">
        <f t="shared" si="48"/>
        <v/>
      </c>
      <c r="R86" t="str">
        <f>IF(M86="","",IFERROR(INDEX(Tabela7[QT %],MATCH(M86,Tabela7[PONTO],0)),0))</f>
        <v/>
      </c>
      <c r="S86" t="str">
        <f t="shared" si="49"/>
        <v/>
      </c>
      <c r="T86" t="str">
        <f>IF(M86="","",IF($B$9&gt;$B$8,IFERROR((INDEX(GERAL[SNAP],73)-$B$8)/($B$9-$B$8),0),0))</f>
        <v/>
      </c>
      <c r="U86" t="str">
        <f t="shared" si="50"/>
        <v/>
      </c>
      <c r="V86" t="str">
        <f>IFERROR(INDEX(GERAL[LADO],73),"")</f>
        <v/>
      </c>
      <c r="X86" t="str">
        <f>IFERROR(INDEX(GERAL[PONTO],53),"")</f>
        <v/>
      </c>
      <c r="Y86" t="str">
        <f>IF(X86="","",IFERROR(INDEX(GERAL[ACUMULADA],53),0))</f>
        <v/>
      </c>
      <c r="Z86" t="str">
        <f t="shared" si="41"/>
        <v/>
      </c>
      <c r="AA86" t="str">
        <f t="shared" si="42"/>
        <v/>
      </c>
      <c r="AB86" t="str">
        <f t="shared" si="43"/>
        <v/>
      </c>
      <c r="AC86" t="str">
        <f>IF(X86="","",IFERROR(INDEX(DIR_ATUAL[QT %],MATCH(X86,DIR_ATUAL[PONTO],0)),0))</f>
        <v/>
      </c>
      <c r="AD86" t="str">
        <f t="shared" si="44"/>
        <v/>
      </c>
      <c r="AE86" t="str">
        <f>IF(X86="","",IF($E$9&gt;$E$8,IFERROR((INDEX(GERAL[SNAP],53)-$E$8)/($E$9-$E$8),0),0))</f>
        <v/>
      </c>
      <c r="AF86" t="str">
        <f t="shared" si="45"/>
        <v/>
      </c>
      <c r="AG86" t="str">
        <f>IFERROR(INDEX(GERAL[LADO],53),"")</f>
        <v/>
      </c>
    </row>
    <row r="87" spans="13:33" x14ac:dyDescent="0.3">
      <c r="M87" t="str">
        <f>IFERROR(INDEX(GERAL[PONTO],74),"")</f>
        <v/>
      </c>
      <c r="N87" t="str">
        <f>IF(M87="","",IFERROR(INDEX(GERAL[ACUMULADA],74),0))</f>
        <v/>
      </c>
      <c r="O87" t="str">
        <f t="shared" si="46"/>
        <v/>
      </c>
      <c r="P87" t="str">
        <f t="shared" si="47"/>
        <v/>
      </c>
      <c r="Q87" t="str">
        <f t="shared" si="48"/>
        <v/>
      </c>
      <c r="R87" t="str">
        <f>IF(M87="","",IFERROR(INDEX(Tabela7[QT %],MATCH(M87,Tabela7[PONTO],0)),0))</f>
        <v/>
      </c>
      <c r="S87" t="str">
        <f t="shared" si="49"/>
        <v/>
      </c>
      <c r="T87" t="str">
        <f>IF(M87="","",IF($B$9&gt;$B$8,IFERROR((INDEX(GERAL[SNAP],74)-$B$8)/($B$9-$B$8),0),0))</f>
        <v/>
      </c>
      <c r="U87" t="str">
        <f t="shared" si="50"/>
        <v/>
      </c>
      <c r="V87" t="str">
        <f>IFERROR(INDEX(GERAL[LADO],74),"")</f>
        <v/>
      </c>
      <c r="X87" t="str">
        <f>IFERROR(INDEX(GERAL[PONTO],54),"")</f>
        <v/>
      </c>
      <c r="Y87" t="str">
        <f>IF(X87="","",IFERROR(INDEX(GERAL[ACUMULADA],54),0))</f>
        <v/>
      </c>
      <c r="Z87" t="str">
        <f t="shared" si="41"/>
        <v/>
      </c>
      <c r="AA87" t="str">
        <f t="shared" si="42"/>
        <v/>
      </c>
      <c r="AB87" t="str">
        <f t="shared" si="43"/>
        <v/>
      </c>
      <c r="AC87" t="str">
        <f>IF(X87="","",IFERROR(INDEX(DIR_ATUAL[QT %],MATCH(X87,DIR_ATUAL[PONTO],0)),0))</f>
        <v/>
      </c>
      <c r="AD87" t="str">
        <f t="shared" si="44"/>
        <v/>
      </c>
      <c r="AE87" t="str">
        <f>IF(X87="","",IF($E$9&gt;$E$8,IFERROR((INDEX(GERAL[SNAP],54)-$E$8)/($E$9-$E$8),0),0))</f>
        <v/>
      </c>
      <c r="AF87" t="str">
        <f t="shared" si="45"/>
        <v/>
      </c>
      <c r="AG87" t="str">
        <f>IFERROR(INDEX(GERAL[LADO],54),"")</f>
        <v/>
      </c>
    </row>
    <row r="88" spans="13:33" x14ac:dyDescent="0.3">
      <c r="M88" t="str">
        <f>IFERROR(INDEX(GERAL[PONTO],75),"")</f>
        <v/>
      </c>
      <c r="N88" t="str">
        <f>IF(M88="","",IFERROR(INDEX(GERAL[ACUMULADA],75),0))</f>
        <v/>
      </c>
      <c r="O88" t="str">
        <f t="shared" si="46"/>
        <v/>
      </c>
      <c r="P88" t="str">
        <f t="shared" si="47"/>
        <v/>
      </c>
      <c r="Q88" t="str">
        <f t="shared" si="48"/>
        <v/>
      </c>
      <c r="R88" t="str">
        <f>IF(M88="","",IFERROR(INDEX(Tabela7[QT %],MATCH(M88,Tabela7[PONTO],0)),0))</f>
        <v/>
      </c>
      <c r="S88" t="str">
        <f t="shared" si="49"/>
        <v/>
      </c>
      <c r="T88" t="str">
        <f>IF(M88="","",IF($B$9&gt;$B$8,IFERROR((INDEX(GERAL[SNAP],75)-$B$8)/($B$9-$B$8),0),0))</f>
        <v/>
      </c>
      <c r="U88" t="str">
        <f t="shared" si="50"/>
        <v/>
      </c>
      <c r="V88" t="str">
        <f>IFERROR(INDEX(GERAL[LADO],75),"")</f>
        <v/>
      </c>
      <c r="X88" t="str">
        <f>IFERROR(INDEX(GERAL[PONTO],55),"")</f>
        <v/>
      </c>
      <c r="Y88" t="str">
        <f>IF(X88="","",IFERROR(INDEX(GERAL[ACUMULADA],55),0))</f>
        <v/>
      </c>
      <c r="Z88" t="str">
        <f t="shared" si="41"/>
        <v/>
      </c>
      <c r="AA88" t="str">
        <f t="shared" si="42"/>
        <v/>
      </c>
      <c r="AB88" t="str">
        <f t="shared" si="43"/>
        <v/>
      </c>
      <c r="AC88" t="str">
        <f>IF(X88="","",IFERROR(INDEX(DIR_ATUAL[QT %],MATCH(X88,DIR_ATUAL[PONTO],0)),0))</f>
        <v/>
      </c>
      <c r="AD88" t="str">
        <f t="shared" si="44"/>
        <v/>
      </c>
      <c r="AE88" t="str">
        <f>IF(X88="","",IF($E$9&gt;$E$8,IFERROR((INDEX(GERAL[SNAP],55)-$E$8)/($E$9-$E$8),0),0))</f>
        <v/>
      </c>
      <c r="AF88" t="str">
        <f t="shared" si="45"/>
        <v/>
      </c>
      <c r="AG88" t="str">
        <f>IFERROR(INDEX(GERAL[LADO],55),"")</f>
        <v/>
      </c>
    </row>
    <row r="89" spans="13:33" x14ac:dyDescent="0.3">
      <c r="M89" t="str">
        <f>IFERROR(INDEX(GERAL[PONTO],76),"")</f>
        <v/>
      </c>
      <c r="N89" t="str">
        <f>IF(M89="","",IFERROR(INDEX(GERAL[ACUMULADA],76),0))</f>
        <v/>
      </c>
      <c r="O89" t="str">
        <f t="shared" si="46"/>
        <v/>
      </c>
      <c r="P89" t="str">
        <f t="shared" si="47"/>
        <v/>
      </c>
      <c r="Q89" t="str">
        <f t="shared" si="48"/>
        <v/>
      </c>
      <c r="R89" t="str">
        <f>IF(M89="","",IFERROR(INDEX(Tabela7[QT %],MATCH(M89,Tabela7[PONTO],0)),0))</f>
        <v/>
      </c>
      <c r="S89" t="str">
        <f t="shared" si="49"/>
        <v/>
      </c>
      <c r="T89" t="str">
        <f>IF(M89="","",IF($B$9&gt;$B$8,IFERROR((INDEX(GERAL[SNAP],76)-$B$8)/($B$9-$B$8),0),0))</f>
        <v/>
      </c>
      <c r="U89" t="str">
        <f t="shared" si="50"/>
        <v/>
      </c>
      <c r="V89" t="str">
        <f>IFERROR(INDEX(GERAL[LADO],76),"")</f>
        <v/>
      </c>
      <c r="X89" t="str">
        <f>IFERROR(INDEX(GERAL[PONTO],56),"")</f>
        <v/>
      </c>
      <c r="Y89" t="str">
        <f>IF(X89="","",IFERROR(INDEX(GERAL[ACUMULADA],56),0))</f>
        <v/>
      </c>
      <c r="Z89" t="str">
        <f t="shared" si="41"/>
        <v/>
      </c>
      <c r="AA89" t="str">
        <f t="shared" si="42"/>
        <v/>
      </c>
      <c r="AB89" t="str">
        <f t="shared" si="43"/>
        <v/>
      </c>
      <c r="AC89" t="str">
        <f>IF(X89="","",IFERROR(INDEX(DIR_ATUAL[QT %],MATCH(X89,DIR_ATUAL[PONTO],0)),0))</f>
        <v/>
      </c>
      <c r="AD89" t="str">
        <f t="shared" si="44"/>
        <v/>
      </c>
      <c r="AE89" t="str">
        <f>IF(X89="","",IF($E$9&gt;$E$8,IFERROR((INDEX(GERAL[SNAP],56)-$E$8)/($E$9-$E$8),0),0))</f>
        <v/>
      </c>
      <c r="AF89" t="str">
        <f t="shared" si="45"/>
        <v/>
      </c>
      <c r="AG89" t="str">
        <f>IFERROR(INDEX(GERAL[LADO],56),"")</f>
        <v/>
      </c>
    </row>
    <row r="90" spans="13:33" x14ac:dyDescent="0.3">
      <c r="M90" t="str">
        <f>IFERROR(INDEX(GERAL[PONTO],77),"")</f>
        <v/>
      </c>
      <c r="N90" t="str">
        <f>IF(M90="","",IFERROR(INDEX(GERAL[ACUMULADA],77),0))</f>
        <v/>
      </c>
      <c r="O90" t="str">
        <f t="shared" si="46"/>
        <v/>
      </c>
      <c r="P90" t="str">
        <f t="shared" si="47"/>
        <v/>
      </c>
      <c r="Q90" t="str">
        <f t="shared" si="48"/>
        <v/>
      </c>
      <c r="R90" t="str">
        <f>IF(M90="","",IFERROR(INDEX(Tabela7[QT %],MATCH(M90,Tabela7[PONTO],0)),0))</f>
        <v/>
      </c>
      <c r="S90" t="str">
        <f t="shared" si="49"/>
        <v/>
      </c>
      <c r="T90" t="str">
        <f>IF(M90="","",IF($B$9&gt;$B$8,IFERROR((INDEX(GERAL[SNAP],77)-$B$8)/($B$9-$B$8),0),0))</f>
        <v/>
      </c>
      <c r="U90" t="str">
        <f t="shared" si="50"/>
        <v/>
      </c>
      <c r="V90" t="str">
        <f>IFERROR(INDEX(GERAL[LADO],77),"")</f>
        <v/>
      </c>
      <c r="X90" t="str">
        <f>IFERROR(INDEX(GERAL[PONTO],57),"")</f>
        <v/>
      </c>
      <c r="Y90" t="str">
        <f>IF(X90="","",IFERROR(INDEX(GERAL[ACUMULADA],57),0))</f>
        <v/>
      </c>
      <c r="Z90" t="str">
        <f t="shared" si="41"/>
        <v/>
      </c>
      <c r="AA90" t="str">
        <f t="shared" si="42"/>
        <v/>
      </c>
      <c r="AB90" t="str">
        <f t="shared" si="43"/>
        <v/>
      </c>
      <c r="AC90" t="str">
        <f>IF(X90="","",IFERROR(INDEX(DIR_ATUAL[QT %],MATCH(X90,DIR_ATUAL[PONTO],0)),0))</f>
        <v/>
      </c>
      <c r="AD90" t="str">
        <f t="shared" si="44"/>
        <v/>
      </c>
      <c r="AE90" t="str">
        <f>IF(X90="","",IF($E$9&gt;$E$8,IFERROR((INDEX(GERAL[SNAP],57)-$E$8)/($E$9-$E$8),0),0))</f>
        <v/>
      </c>
      <c r="AF90" t="str">
        <f t="shared" si="45"/>
        <v/>
      </c>
      <c r="AG90" t="str">
        <f>IFERROR(INDEX(GERAL[LADO],57),"")</f>
        <v/>
      </c>
    </row>
    <row r="91" spans="13:33" x14ac:dyDescent="0.3">
      <c r="M91" t="str">
        <f>IFERROR(INDEX(GERAL[PONTO],78),"")</f>
        <v/>
      </c>
      <c r="N91" t="str">
        <f>IF(M91="","",IFERROR(INDEX(GERAL[ACUMULADA],78),0))</f>
        <v/>
      </c>
      <c r="O91" t="str">
        <f t="shared" si="46"/>
        <v/>
      </c>
      <c r="P91" t="str">
        <f t="shared" si="47"/>
        <v/>
      </c>
      <c r="Q91" t="str">
        <f t="shared" si="48"/>
        <v/>
      </c>
      <c r="R91" t="str">
        <f>IF(M91="","",IFERROR(INDEX(Tabela7[QT %],MATCH(M91,Tabela7[PONTO],0)),0))</f>
        <v/>
      </c>
      <c r="S91" t="str">
        <f t="shared" si="49"/>
        <v/>
      </c>
      <c r="T91" t="str">
        <f>IF(M91="","",IF($B$9&gt;$B$8,IFERROR((INDEX(GERAL[SNAP],78)-$B$8)/($B$9-$B$8),0),0))</f>
        <v/>
      </c>
      <c r="U91" t="str">
        <f t="shared" si="50"/>
        <v/>
      </c>
      <c r="V91" t="str">
        <f>IFERROR(INDEX(GERAL[LADO],78),"")</f>
        <v/>
      </c>
      <c r="X91" t="str">
        <f>IFERROR(INDEX(GERAL[PONTO],58),"")</f>
        <v/>
      </c>
      <c r="Y91" t="str">
        <f>IF(X91="","",IFERROR(INDEX(GERAL[ACUMULADA],58),0))</f>
        <v/>
      </c>
      <c r="Z91" t="str">
        <f t="shared" si="41"/>
        <v/>
      </c>
      <c r="AA91" t="str">
        <f t="shared" si="42"/>
        <v/>
      </c>
      <c r="AB91" t="str">
        <f t="shared" si="43"/>
        <v/>
      </c>
      <c r="AC91" t="str">
        <f>IF(X91="","",IFERROR(INDEX(DIR_ATUAL[QT %],MATCH(X91,DIR_ATUAL[PONTO],0)),0))</f>
        <v/>
      </c>
      <c r="AD91" t="str">
        <f t="shared" si="44"/>
        <v/>
      </c>
      <c r="AE91" t="str">
        <f>IF(X91="","",IF($E$9&gt;$E$8,IFERROR((INDEX(GERAL[SNAP],58)-$E$8)/($E$9-$E$8),0),0))</f>
        <v/>
      </c>
      <c r="AF91" t="str">
        <f t="shared" si="45"/>
        <v/>
      </c>
      <c r="AG91" t="str">
        <f>IFERROR(INDEX(GERAL[LADO],58),"")</f>
        <v/>
      </c>
    </row>
    <row r="92" spans="13:33" x14ac:dyDescent="0.3">
      <c r="M92" t="str">
        <f>IFERROR(INDEX(GERAL[PONTO],79),"")</f>
        <v/>
      </c>
      <c r="N92" t="str">
        <f>IF(M92="","",IFERROR(INDEX(GERAL[ACUMULADA],79),0))</f>
        <v/>
      </c>
      <c r="O92" t="str">
        <f t="shared" si="46"/>
        <v/>
      </c>
      <c r="P92" t="str">
        <f t="shared" si="47"/>
        <v/>
      </c>
      <c r="Q92" t="str">
        <f t="shared" si="48"/>
        <v/>
      </c>
      <c r="R92" t="str">
        <f>IF(M92="","",IFERROR(INDEX(Tabela7[QT %],MATCH(M92,Tabela7[PONTO],0)),0))</f>
        <v/>
      </c>
      <c r="S92" t="str">
        <f t="shared" si="49"/>
        <v/>
      </c>
      <c r="T92" t="str">
        <f>IF(M92="","",IF($B$9&gt;$B$8,IFERROR((INDEX(GERAL[SNAP],79)-$B$8)/($B$9-$B$8),0),0))</f>
        <v/>
      </c>
      <c r="U92" t="str">
        <f t="shared" si="50"/>
        <v/>
      </c>
      <c r="V92" t="str">
        <f>IFERROR(INDEX(GERAL[LADO],79),"")</f>
        <v/>
      </c>
      <c r="X92" t="str">
        <f>IFERROR(INDEX(GERAL[PONTO],59),"")</f>
        <v/>
      </c>
      <c r="Y92" t="str">
        <f>IF(X92="","",IFERROR(INDEX(GERAL[ACUMULADA],59),0))</f>
        <v/>
      </c>
      <c r="Z92" t="str">
        <f t="shared" si="41"/>
        <v/>
      </c>
      <c r="AA92" t="str">
        <f t="shared" si="42"/>
        <v/>
      </c>
      <c r="AB92" t="str">
        <f t="shared" si="43"/>
        <v/>
      </c>
      <c r="AC92" t="str">
        <f>IF(X92="","",IFERROR(INDEX(DIR_ATUAL[QT %],MATCH(X92,DIR_ATUAL[PONTO],0)),0))</f>
        <v/>
      </c>
      <c r="AD92" t="str">
        <f t="shared" si="44"/>
        <v/>
      </c>
      <c r="AE92" t="str">
        <f>IF(X92="","",IF($E$9&gt;$E$8,IFERROR((INDEX(GERAL[SNAP],59)-$E$8)/($E$9-$E$8),0),0))</f>
        <v/>
      </c>
      <c r="AF92" t="str">
        <f t="shared" si="45"/>
        <v/>
      </c>
      <c r="AG92" t="str">
        <f>IFERROR(INDEX(GERAL[LADO],59),"")</f>
        <v/>
      </c>
    </row>
    <row r="93" spans="13:33" x14ac:dyDescent="0.3">
      <c r="M93" t="str">
        <f>IFERROR(INDEX(GERAL[PONTO],80),"")</f>
        <v/>
      </c>
      <c r="N93" t="str">
        <f>IF(M93="","",IFERROR(INDEX(GERAL[ACUMULADA],80),0))</f>
        <v/>
      </c>
      <c r="O93" t="str">
        <f t="shared" si="46"/>
        <v/>
      </c>
      <c r="P93" t="str">
        <f t="shared" si="47"/>
        <v/>
      </c>
      <c r="Q93" t="str">
        <f t="shared" si="48"/>
        <v/>
      </c>
      <c r="R93" t="str">
        <f>IF(M93="","",IFERROR(INDEX(Tabela7[QT %],MATCH(M93,Tabela7[PONTO],0)),0))</f>
        <v/>
      </c>
      <c r="S93" t="str">
        <f t="shared" si="49"/>
        <v/>
      </c>
      <c r="T93" t="str">
        <f>IF(M93="","",IF($B$9&gt;$B$8,IFERROR((INDEX(GERAL[SNAP],80)-$B$8)/($B$9-$B$8),0),0))</f>
        <v/>
      </c>
      <c r="U93" t="str">
        <f t="shared" si="50"/>
        <v/>
      </c>
      <c r="V93" t="str">
        <f>IFERROR(INDEX(GERAL[LADO],80),"")</f>
        <v/>
      </c>
      <c r="X93" t="str">
        <f>IFERROR(INDEX(GERAL[PONTO],60),"")</f>
        <v/>
      </c>
      <c r="Y93" t="str">
        <f>IF(X93="","",IFERROR(INDEX(GERAL[ACUMULADA],60),0))</f>
        <v/>
      </c>
      <c r="Z93" t="str">
        <f t="shared" si="41"/>
        <v/>
      </c>
      <c r="AA93" t="str">
        <f t="shared" si="42"/>
        <v/>
      </c>
      <c r="AB93" t="str">
        <f t="shared" si="43"/>
        <v/>
      </c>
      <c r="AC93" t="str">
        <f>IF(X93="","",IFERROR(INDEX(DIR_ATUAL[QT %],MATCH(X93,DIR_ATUAL[PONTO],0)),0))</f>
        <v/>
      </c>
      <c r="AD93" t="str">
        <f t="shared" si="44"/>
        <v/>
      </c>
      <c r="AE93" t="str">
        <f>IF(X93="","",IF($E$9&gt;$E$8,IFERROR((INDEX(GERAL[SNAP],60)-$E$8)/($E$9-$E$8),0),0))</f>
        <v/>
      </c>
      <c r="AF93" t="str">
        <f t="shared" si="45"/>
        <v/>
      </c>
      <c r="AG93" t="str">
        <f>IFERROR(INDEX(GERAL[LADO],60),"")</f>
        <v/>
      </c>
    </row>
    <row r="94" spans="13:33" x14ac:dyDescent="0.3">
      <c r="M94" t="str">
        <f>IFERROR(INDEX(GERAL[PONTO],81),"")</f>
        <v/>
      </c>
      <c r="N94" t="str">
        <f>IF(M94="","",IFERROR(INDEX(GERAL[ACUMULADA],81),0))</f>
        <v/>
      </c>
      <c r="O94" t="str">
        <f t="shared" si="46"/>
        <v/>
      </c>
      <c r="P94" t="str">
        <f t="shared" si="47"/>
        <v/>
      </c>
      <c r="Q94" t="str">
        <f t="shared" si="48"/>
        <v/>
      </c>
      <c r="R94" t="str">
        <f>IF(M94="","",IFERROR(INDEX(Tabela7[QT %],MATCH(M94,Tabela7[PONTO],0)),0))</f>
        <v/>
      </c>
      <c r="S94" t="str">
        <f t="shared" si="49"/>
        <v/>
      </c>
      <c r="T94" t="str">
        <f>IF(M94="","",IF($B$9&gt;$B$8,IFERROR((INDEX(GERAL[SNAP],81)-$B$8)/($B$9-$B$8),0),0))</f>
        <v/>
      </c>
      <c r="U94" t="str">
        <f t="shared" si="50"/>
        <v/>
      </c>
      <c r="V94" t="str">
        <f>IFERROR(INDEX(GERAL[LADO],81),"")</f>
        <v/>
      </c>
      <c r="X94" t="str">
        <f>IFERROR(INDEX(GERAL[PONTO],61),"")</f>
        <v/>
      </c>
      <c r="Y94" t="str">
        <f>IF(X94="","",IFERROR(INDEX(GERAL[ACUMULADA],61),0))</f>
        <v/>
      </c>
      <c r="Z94" t="str">
        <f t="shared" si="41"/>
        <v/>
      </c>
      <c r="AA94" t="str">
        <f t="shared" si="42"/>
        <v/>
      </c>
      <c r="AB94" t="str">
        <f t="shared" si="43"/>
        <v/>
      </c>
      <c r="AC94" t="str">
        <f>IF(X94="","",IFERROR(INDEX(DIR_ATUAL[QT %],MATCH(X94,DIR_ATUAL[PONTO],0)),0))</f>
        <v/>
      </c>
      <c r="AD94" t="str">
        <f t="shared" si="44"/>
        <v/>
      </c>
      <c r="AE94" t="str">
        <f>IF(X94="","",IF($E$9&gt;$E$8,IFERROR((INDEX(GERAL[SNAP],61)-$E$8)/($E$9-$E$8),0),0))</f>
        <v/>
      </c>
      <c r="AF94" t="str">
        <f t="shared" si="45"/>
        <v/>
      </c>
      <c r="AG94" t="str">
        <f>IFERROR(INDEX(GERAL[LADO],61),"")</f>
        <v/>
      </c>
    </row>
    <row r="95" spans="13:33" x14ac:dyDescent="0.3">
      <c r="M95" t="str">
        <f>IFERROR(INDEX(GERAL[PONTO],82),"")</f>
        <v/>
      </c>
      <c r="N95" t="str">
        <f>IF(M95="","",IFERROR(INDEX(GERAL[ACUMULADA],82),0))</f>
        <v/>
      </c>
      <c r="O95" t="str">
        <f t="shared" si="46"/>
        <v/>
      </c>
      <c r="P95" t="str">
        <f t="shared" si="47"/>
        <v/>
      </c>
      <c r="Q95" t="str">
        <f t="shared" si="48"/>
        <v/>
      </c>
      <c r="R95" t="str">
        <f>IF(M95="","",IFERROR(INDEX(Tabela7[QT %],MATCH(M95,Tabela7[PONTO],0)),0))</f>
        <v/>
      </c>
      <c r="S95" t="str">
        <f t="shared" si="49"/>
        <v/>
      </c>
      <c r="T95" t="str">
        <f>IF(M95="","",IF($B$9&gt;$B$8,IFERROR((INDEX(GERAL[SNAP],82)-$B$8)/($B$9-$B$8),0),0))</f>
        <v/>
      </c>
      <c r="U95" t="str">
        <f t="shared" si="50"/>
        <v/>
      </c>
      <c r="V95" t="str">
        <f>IFERROR(INDEX(GERAL[LADO],82),"")</f>
        <v/>
      </c>
      <c r="X95" t="str">
        <f>IFERROR(INDEX(GERAL[PONTO],62),"")</f>
        <v/>
      </c>
      <c r="Y95" t="str">
        <f>IF(X95="","",IFERROR(INDEX(GERAL[ACUMULADA],62),0))</f>
        <v/>
      </c>
      <c r="Z95" t="str">
        <f t="shared" si="41"/>
        <v/>
      </c>
      <c r="AA95" t="str">
        <f t="shared" si="42"/>
        <v/>
      </c>
      <c r="AB95" t="str">
        <f t="shared" si="43"/>
        <v/>
      </c>
      <c r="AC95" t="str">
        <f>IF(X95="","",IFERROR(INDEX(DIR_ATUAL[QT %],MATCH(X95,DIR_ATUAL[PONTO],0)),0))</f>
        <v/>
      </c>
      <c r="AD95" t="str">
        <f t="shared" si="44"/>
        <v/>
      </c>
      <c r="AE95" t="str">
        <f>IF(X95="","",IF($E$9&gt;$E$8,IFERROR((INDEX(GERAL[SNAP],62)-$E$8)/($E$9-$E$8),0),0))</f>
        <v/>
      </c>
      <c r="AF95" t="str">
        <f t="shared" si="45"/>
        <v/>
      </c>
      <c r="AG95" t="str">
        <f>IFERROR(INDEX(GERAL[LADO],62),"")</f>
        <v/>
      </c>
    </row>
    <row r="96" spans="13:33" x14ac:dyDescent="0.3">
      <c r="M96" t="str">
        <f>IFERROR(INDEX(GERAL[PONTO],83),"")</f>
        <v/>
      </c>
      <c r="N96" t="str">
        <f>IF(M96="","",IFERROR(INDEX(GERAL[ACUMULADA],83),0))</f>
        <v/>
      </c>
      <c r="O96" t="str">
        <f t="shared" si="46"/>
        <v/>
      </c>
      <c r="P96" t="str">
        <f t="shared" si="47"/>
        <v/>
      </c>
      <c r="Q96" t="str">
        <f t="shared" si="48"/>
        <v/>
      </c>
      <c r="R96" t="str">
        <f>IF(M96="","",IFERROR(INDEX(Tabela7[QT %],MATCH(M96,Tabela7[PONTO],0)),0))</f>
        <v/>
      </c>
      <c r="S96" t="str">
        <f t="shared" si="49"/>
        <v/>
      </c>
      <c r="T96" t="str">
        <f>IF(M96="","",IF($B$9&gt;$B$8,IFERROR((INDEX(GERAL[SNAP],83)-$B$8)/($B$9-$B$8),0),0))</f>
        <v/>
      </c>
      <c r="U96" t="str">
        <f t="shared" si="50"/>
        <v/>
      </c>
      <c r="V96" t="str">
        <f>IFERROR(INDEX(GERAL[LADO],83),"")</f>
        <v/>
      </c>
      <c r="X96" t="str">
        <f>IFERROR(INDEX(GERAL[PONTO],63),"")</f>
        <v/>
      </c>
      <c r="Y96" t="str">
        <f>IF(X96="","",IFERROR(INDEX(GERAL[ACUMULADA],63),0))</f>
        <v/>
      </c>
      <c r="Z96" t="str">
        <f t="shared" si="41"/>
        <v/>
      </c>
      <c r="AA96" t="str">
        <f t="shared" si="42"/>
        <v/>
      </c>
      <c r="AB96" t="str">
        <f t="shared" si="43"/>
        <v/>
      </c>
      <c r="AC96" t="str">
        <f>IF(X96="","",IFERROR(INDEX(DIR_ATUAL[QT %],MATCH(X96,DIR_ATUAL[PONTO],0)),0))</f>
        <v/>
      </c>
      <c r="AD96" t="str">
        <f t="shared" si="44"/>
        <v/>
      </c>
      <c r="AE96" t="str">
        <f>IF(X96="","",IF($E$9&gt;$E$8,IFERROR((INDEX(GERAL[SNAP],63)-$E$8)/($E$9-$E$8),0),0))</f>
        <v/>
      </c>
      <c r="AF96" t="str">
        <f t="shared" si="45"/>
        <v/>
      </c>
      <c r="AG96" t="str">
        <f>IFERROR(INDEX(GERAL[LADO],63),"")</f>
        <v/>
      </c>
    </row>
    <row r="97" spans="13:33" x14ac:dyDescent="0.3">
      <c r="M97" t="str">
        <f>IFERROR(INDEX(GERAL[PONTO],84),"")</f>
        <v/>
      </c>
      <c r="N97" t="str">
        <f>IF(M97="","",IFERROR(INDEX(GERAL[ACUMULADA],84),0))</f>
        <v/>
      </c>
      <c r="O97" t="str">
        <f t="shared" si="46"/>
        <v/>
      </c>
      <c r="P97" t="str">
        <f t="shared" si="47"/>
        <v/>
      </c>
      <c r="Q97" t="str">
        <f t="shared" si="48"/>
        <v/>
      </c>
      <c r="R97" t="str">
        <f>IF(M97="","",IFERROR(INDEX(Tabela7[QT %],MATCH(M97,Tabela7[PONTO],0)),0))</f>
        <v/>
      </c>
      <c r="S97" t="str">
        <f t="shared" si="49"/>
        <v/>
      </c>
      <c r="T97" t="str">
        <f>IF(M97="","",IF($B$9&gt;$B$8,IFERROR((INDEX(GERAL[SNAP],84)-$B$8)/($B$9-$B$8),0),0))</f>
        <v/>
      </c>
      <c r="U97" t="str">
        <f t="shared" si="50"/>
        <v/>
      </c>
      <c r="V97" t="str">
        <f>IFERROR(INDEX(GERAL[LADO],84),"")</f>
        <v/>
      </c>
      <c r="X97" t="str">
        <f>IFERROR(INDEX(GERAL[PONTO],64),"")</f>
        <v/>
      </c>
      <c r="Y97" t="str">
        <f>IF(X97="","",IFERROR(INDEX(GERAL[ACUMULADA],64),0))</f>
        <v/>
      </c>
      <c r="Z97" t="str">
        <f t="shared" si="41"/>
        <v/>
      </c>
      <c r="AA97" t="str">
        <f t="shared" si="42"/>
        <v/>
      </c>
      <c r="AB97" t="str">
        <f t="shared" si="43"/>
        <v/>
      </c>
      <c r="AC97" t="str">
        <f>IF(X97="","",IFERROR(INDEX(DIR_ATUAL[QT %],MATCH(X97,DIR_ATUAL[PONTO],0)),0))</f>
        <v/>
      </c>
      <c r="AD97" t="str">
        <f t="shared" si="44"/>
        <v/>
      </c>
      <c r="AE97" t="str">
        <f>IF(X97="","",IF($E$9&gt;$E$8,IFERROR((INDEX(GERAL[SNAP],64)-$E$8)/($E$9-$E$8),0),0))</f>
        <v/>
      </c>
      <c r="AF97" t="str">
        <f t="shared" si="45"/>
        <v/>
      </c>
      <c r="AG97" t="str">
        <f>IFERROR(INDEX(GERAL[LADO],64),"")</f>
        <v/>
      </c>
    </row>
    <row r="98" spans="13:33" x14ac:dyDescent="0.3">
      <c r="M98" t="str">
        <f>IFERROR(INDEX(GERAL[PONTO],85),"")</f>
        <v/>
      </c>
      <c r="N98" t="str">
        <f>IF(M98="","",IFERROR(INDEX(GERAL[ACUMULADA],85),0))</f>
        <v/>
      </c>
      <c r="O98" t="str">
        <f t="shared" si="46"/>
        <v/>
      </c>
      <c r="P98" t="str">
        <f t="shared" si="47"/>
        <v/>
      </c>
      <c r="Q98" t="str">
        <f t="shared" si="48"/>
        <v/>
      </c>
      <c r="R98" t="str">
        <f>IF(M98="","",IFERROR(INDEX(Tabela7[QT %],MATCH(M98,Tabela7[PONTO],0)),0))</f>
        <v/>
      </c>
      <c r="S98" t="str">
        <f t="shared" si="49"/>
        <v/>
      </c>
      <c r="T98" t="str">
        <f>IF(M98="","",IF($B$9&gt;$B$8,IFERROR((INDEX(GERAL[SNAP],85)-$B$8)/($B$9-$B$8),0),0))</f>
        <v/>
      </c>
      <c r="U98" t="str">
        <f t="shared" si="50"/>
        <v/>
      </c>
      <c r="V98" t="str">
        <f>IFERROR(INDEX(GERAL[LADO],85),"")</f>
        <v/>
      </c>
      <c r="X98" t="str">
        <f>IFERROR(INDEX(GERAL[PONTO],65),"")</f>
        <v/>
      </c>
      <c r="Y98" t="str">
        <f>IF(X98="","",IFERROR(INDEX(GERAL[ACUMULADA],65),0))</f>
        <v/>
      </c>
      <c r="Z98" t="str">
        <f t="shared" ref="Z98:Z129" si="51">IF(Y98="","",$B$31-Y98)</f>
        <v/>
      </c>
      <c r="AA98" t="str">
        <f t="shared" ref="AA98:AA129" si="52">IF(Y98="","",IF(Y98*1.15&lt;=30,30,IF(Y98*1.15&lt;=45,45,IF(Y98*1.15&lt;=75,75,IF(Y98*1.15&lt;=112.5,112.5,IF(Y98*1.15&lt;=150,150,IF(Y98*1.15&lt;=225,225,300)))))))</f>
        <v/>
      </c>
      <c r="AB98" t="str">
        <f t="shared" ref="AB98:AB129" si="53">IF(AA98="","",IFERROR(Y98/AA98,0))</f>
        <v/>
      </c>
      <c r="AC98" t="str">
        <f>IF(X98="","",IFERROR(INDEX(DIR_ATUAL[QT %],MATCH(X98,DIR_ATUAL[PONTO],0)),0))</f>
        <v/>
      </c>
      <c r="AD98" t="str">
        <f t="shared" ref="AD98:AD129" si="54">IF(Y98="","",IFERROR(1-ABS(Y98-Z98)/$B$31,0))</f>
        <v/>
      </c>
      <c r="AE98" t="str">
        <f>IF(X98="","",IF($E$9&gt;$E$8,IFERROR((INDEX(GERAL[SNAP],65)-$E$8)/($E$9-$E$8),0),0))</f>
        <v/>
      </c>
      <c r="AF98" t="str">
        <f t="shared" si="45"/>
        <v/>
      </c>
      <c r="AG98" t="str">
        <f>IFERROR(INDEX(GERAL[LADO],65),"")</f>
        <v/>
      </c>
    </row>
    <row r="99" spans="13:33" x14ac:dyDescent="0.3">
      <c r="M99" t="str">
        <f>IFERROR(INDEX(GERAL[PONTO],86),"")</f>
        <v/>
      </c>
      <c r="N99" t="str">
        <f>IF(M99="","",IFERROR(INDEX(GERAL[ACUMULADA],86),0))</f>
        <v/>
      </c>
      <c r="O99" t="str">
        <f t="shared" si="46"/>
        <v/>
      </c>
      <c r="P99" t="str">
        <f t="shared" si="47"/>
        <v/>
      </c>
      <c r="Q99" t="str">
        <f t="shared" si="48"/>
        <v/>
      </c>
      <c r="R99" t="str">
        <f>IF(M99="","",IFERROR(INDEX(Tabela7[QT %],MATCH(M99,Tabela7[PONTO],0)),0))</f>
        <v/>
      </c>
      <c r="S99" t="str">
        <f t="shared" si="49"/>
        <v/>
      </c>
      <c r="T99" t="str">
        <f>IF(M99="","",IF($B$9&gt;$B$8,IFERROR((INDEX(GERAL[SNAP],86)-$B$8)/($B$9-$B$8),0),0))</f>
        <v/>
      </c>
      <c r="U99" t="str">
        <f t="shared" si="50"/>
        <v/>
      </c>
      <c r="V99" t="str">
        <f>IFERROR(INDEX(GERAL[LADO],86),"")</f>
        <v/>
      </c>
      <c r="X99" t="str">
        <f>IFERROR(INDEX(GERAL[PONTO],66),"")</f>
        <v/>
      </c>
      <c r="Y99" t="str">
        <f>IF(X99="","",IFERROR(INDEX(GERAL[ACUMULADA],66),0))</f>
        <v/>
      </c>
      <c r="Z99" t="str">
        <f t="shared" si="51"/>
        <v/>
      </c>
      <c r="AA99" t="str">
        <f t="shared" si="52"/>
        <v/>
      </c>
      <c r="AB99" t="str">
        <f t="shared" si="53"/>
        <v/>
      </c>
      <c r="AC99" t="str">
        <f>IF(X99="","",IFERROR(INDEX(DIR_ATUAL[QT %],MATCH(X99,DIR_ATUAL[PONTO],0)),0))</f>
        <v/>
      </c>
      <c r="AD99" t="str">
        <f t="shared" si="54"/>
        <v/>
      </c>
      <c r="AE99" t="str">
        <f>IF(X99="","",IF($E$9&gt;$E$8,IFERROR((INDEX(GERAL[SNAP],66)-$E$8)/($E$9-$E$8),0),0))</f>
        <v/>
      </c>
      <c r="AF99" t="str">
        <f t="shared" ref="AF99:AF162" si="55">IF(OR(X99="",AG99&lt;&gt;"LADO 2"),"",$L$2*IFERROR(Y99/$B$31,0)+$L$3*IF($D$31&gt;0,IFERROR(AC99/$D$31,0),0)+$L$4*IFERROR(AD99,0)-$L$5*IFERROR(AE99,0)-$L$6*MAX(0,IFERROR(AB99,0)-$L$7)+ROW()/1000000)</f>
        <v/>
      </c>
      <c r="AG99" t="str">
        <f>IFERROR(INDEX(GERAL[LADO],66),"")</f>
        <v/>
      </c>
    </row>
    <row r="100" spans="13:33" x14ac:dyDescent="0.3">
      <c r="M100" t="str">
        <f>IFERROR(INDEX(GERAL[PONTO],87),"")</f>
        <v/>
      </c>
      <c r="N100" t="str">
        <f>IF(M100="","",IFERROR(INDEX(GERAL[ACUMULADA],87),0))</f>
        <v/>
      </c>
      <c r="O100" t="str">
        <f t="shared" si="46"/>
        <v/>
      </c>
      <c r="P100" t="str">
        <f t="shared" si="47"/>
        <v/>
      </c>
      <c r="Q100" t="str">
        <f t="shared" si="48"/>
        <v/>
      </c>
      <c r="R100" t="str">
        <f>IF(M100="","",IFERROR(INDEX(Tabela7[QT %],MATCH(M100,Tabela7[PONTO],0)),0))</f>
        <v/>
      </c>
      <c r="S100" t="str">
        <f t="shared" si="49"/>
        <v/>
      </c>
      <c r="T100" t="str">
        <f>IF(M100="","",IF($B$9&gt;$B$8,IFERROR((INDEX(GERAL[SNAP],87)-$B$8)/($B$9-$B$8),0),0))</f>
        <v/>
      </c>
      <c r="U100" t="str">
        <f t="shared" si="50"/>
        <v/>
      </c>
      <c r="V100" t="str">
        <f>IFERROR(INDEX(GERAL[LADO],87),"")</f>
        <v/>
      </c>
      <c r="X100" t="str">
        <f>IFERROR(INDEX(GERAL[PONTO],67),"")</f>
        <v/>
      </c>
      <c r="Y100" t="str">
        <f>IF(X100="","",IFERROR(INDEX(GERAL[ACUMULADA],67),0))</f>
        <v/>
      </c>
      <c r="Z100" t="str">
        <f t="shared" si="51"/>
        <v/>
      </c>
      <c r="AA100" t="str">
        <f t="shared" si="52"/>
        <v/>
      </c>
      <c r="AB100" t="str">
        <f t="shared" si="53"/>
        <v/>
      </c>
      <c r="AC100" t="str">
        <f>IF(X100="","",IFERROR(INDEX(DIR_ATUAL[QT %],MATCH(X100,DIR_ATUAL[PONTO],0)),0))</f>
        <v/>
      </c>
      <c r="AD100" t="str">
        <f t="shared" si="54"/>
        <v/>
      </c>
      <c r="AE100" t="str">
        <f>IF(X100="","",IF($E$9&gt;$E$8,IFERROR((INDEX(GERAL[SNAP],67)-$E$8)/($E$9-$E$8),0),0))</f>
        <v/>
      </c>
      <c r="AF100" t="str">
        <f t="shared" si="55"/>
        <v/>
      </c>
      <c r="AG100" t="str">
        <f>IFERROR(INDEX(GERAL[LADO],67),"")</f>
        <v/>
      </c>
    </row>
    <row r="101" spans="13:33" x14ac:dyDescent="0.3">
      <c r="M101" t="str">
        <f>IFERROR(INDEX(GERAL[PONTO],88),"")</f>
        <v/>
      </c>
      <c r="N101" t="str">
        <f>IF(M101="","",IFERROR(INDEX(GERAL[ACUMULADA],88),0))</f>
        <v/>
      </c>
      <c r="O101" t="str">
        <f t="shared" si="46"/>
        <v/>
      </c>
      <c r="P101" t="str">
        <f t="shared" si="47"/>
        <v/>
      </c>
      <c r="Q101" t="str">
        <f t="shared" si="48"/>
        <v/>
      </c>
      <c r="R101" t="str">
        <f>IF(M101="","",IFERROR(INDEX(Tabela7[QT %],MATCH(M101,Tabela7[PONTO],0)),0))</f>
        <v/>
      </c>
      <c r="S101" t="str">
        <f t="shared" si="49"/>
        <v/>
      </c>
      <c r="T101" t="str">
        <f>IF(M101="","",IF($B$9&gt;$B$8,IFERROR((INDEX(GERAL[SNAP],88)-$B$8)/($B$9-$B$8),0),0))</f>
        <v/>
      </c>
      <c r="U101" t="str">
        <f t="shared" si="50"/>
        <v/>
      </c>
      <c r="V101" t="str">
        <f>IFERROR(INDEX(GERAL[LADO],88),"")</f>
        <v/>
      </c>
      <c r="X101" t="str">
        <f>IFERROR(INDEX(GERAL[PONTO],68),"")</f>
        <v/>
      </c>
      <c r="Y101" t="str">
        <f>IF(X101="","",IFERROR(INDEX(GERAL[ACUMULADA],68),0))</f>
        <v/>
      </c>
      <c r="Z101" t="str">
        <f t="shared" si="51"/>
        <v/>
      </c>
      <c r="AA101" t="str">
        <f t="shared" si="52"/>
        <v/>
      </c>
      <c r="AB101" t="str">
        <f t="shared" si="53"/>
        <v/>
      </c>
      <c r="AC101" t="str">
        <f>IF(X101="","",IFERROR(INDEX(DIR_ATUAL[QT %],MATCH(X101,DIR_ATUAL[PONTO],0)),0))</f>
        <v/>
      </c>
      <c r="AD101" t="str">
        <f t="shared" si="54"/>
        <v/>
      </c>
      <c r="AE101" t="str">
        <f>IF(X101="","",IF($E$9&gt;$E$8,IFERROR((INDEX(GERAL[SNAP],68)-$E$8)/($E$9-$E$8),0),0))</f>
        <v/>
      </c>
      <c r="AF101" t="str">
        <f t="shared" si="55"/>
        <v/>
      </c>
      <c r="AG101" t="str">
        <f>IFERROR(INDEX(GERAL[LADO],68),"")</f>
        <v/>
      </c>
    </row>
    <row r="102" spans="13:33" x14ac:dyDescent="0.3">
      <c r="M102" t="str">
        <f>IFERROR(INDEX(GERAL[PONTO],89),"")</f>
        <v/>
      </c>
      <c r="N102" t="str">
        <f>IF(M102="","",IFERROR(INDEX(GERAL[ACUMULADA],89),0))</f>
        <v/>
      </c>
      <c r="O102" t="str">
        <f t="shared" si="46"/>
        <v/>
      </c>
      <c r="P102" t="str">
        <f t="shared" si="47"/>
        <v/>
      </c>
      <c r="Q102" t="str">
        <f t="shared" si="48"/>
        <v/>
      </c>
      <c r="R102" t="str">
        <f>IF(M102="","",IFERROR(INDEX(Tabela7[QT %],MATCH(M102,Tabela7[PONTO],0)),0))</f>
        <v/>
      </c>
      <c r="S102" t="str">
        <f t="shared" si="49"/>
        <v/>
      </c>
      <c r="T102" t="str">
        <f>IF(M102="","",IF($B$9&gt;$B$8,IFERROR((INDEX(GERAL[SNAP],89)-$B$8)/($B$9-$B$8),0),0))</f>
        <v/>
      </c>
      <c r="U102" t="str">
        <f t="shared" si="50"/>
        <v/>
      </c>
      <c r="V102" t="str">
        <f>IFERROR(INDEX(GERAL[LADO],89),"")</f>
        <v/>
      </c>
      <c r="X102" t="str">
        <f>IFERROR(INDEX(GERAL[PONTO],69),"")</f>
        <v/>
      </c>
      <c r="Y102" t="str">
        <f>IF(X102="","",IFERROR(INDEX(GERAL[ACUMULADA],69),0))</f>
        <v/>
      </c>
      <c r="Z102" t="str">
        <f t="shared" si="51"/>
        <v/>
      </c>
      <c r="AA102" t="str">
        <f t="shared" si="52"/>
        <v/>
      </c>
      <c r="AB102" t="str">
        <f t="shared" si="53"/>
        <v/>
      </c>
      <c r="AC102" t="str">
        <f>IF(X102="","",IFERROR(INDEX(DIR_ATUAL[QT %],MATCH(X102,DIR_ATUAL[PONTO],0)),0))</f>
        <v/>
      </c>
      <c r="AD102" t="str">
        <f t="shared" si="54"/>
        <v/>
      </c>
      <c r="AE102" t="str">
        <f>IF(X102="","",IF($E$9&gt;$E$8,IFERROR((INDEX(GERAL[SNAP],69)-$E$8)/($E$9-$E$8),0),0))</f>
        <v/>
      </c>
      <c r="AF102" t="str">
        <f t="shared" si="55"/>
        <v/>
      </c>
      <c r="AG102" t="str">
        <f>IFERROR(INDEX(GERAL[LADO],69),"")</f>
        <v/>
      </c>
    </row>
    <row r="103" spans="13:33" x14ac:dyDescent="0.3">
      <c r="M103" t="str">
        <f>IFERROR(INDEX(GERAL[PONTO],90),"")</f>
        <v/>
      </c>
      <c r="N103" t="str">
        <f>IF(M103="","",IFERROR(INDEX(GERAL[ACUMULADA],90),0))</f>
        <v/>
      </c>
      <c r="O103" t="str">
        <f t="shared" si="46"/>
        <v/>
      </c>
      <c r="P103" t="str">
        <f t="shared" si="47"/>
        <v/>
      </c>
      <c r="Q103" t="str">
        <f t="shared" si="48"/>
        <v/>
      </c>
      <c r="R103" t="str">
        <f>IF(M103="","",IFERROR(INDEX(Tabela7[QT %],MATCH(M103,Tabela7[PONTO],0)),0))</f>
        <v/>
      </c>
      <c r="S103" t="str">
        <f t="shared" si="49"/>
        <v/>
      </c>
      <c r="T103" t="str">
        <f>IF(M103="","",IF($B$9&gt;$B$8,IFERROR((INDEX(GERAL[SNAP],90)-$B$8)/($B$9-$B$8),0),0))</f>
        <v/>
      </c>
      <c r="U103" t="str">
        <f t="shared" si="50"/>
        <v/>
      </c>
      <c r="V103" t="str">
        <f>IFERROR(INDEX(GERAL[LADO],90),"")</f>
        <v/>
      </c>
      <c r="X103" t="str">
        <f>IFERROR(INDEX(GERAL[PONTO],70),"")</f>
        <v/>
      </c>
      <c r="Y103" t="str">
        <f>IF(X103="","",IFERROR(INDEX(GERAL[ACUMULADA],70),0))</f>
        <v/>
      </c>
      <c r="Z103" t="str">
        <f t="shared" si="51"/>
        <v/>
      </c>
      <c r="AA103" t="str">
        <f t="shared" si="52"/>
        <v/>
      </c>
      <c r="AB103" t="str">
        <f t="shared" si="53"/>
        <v/>
      </c>
      <c r="AC103" t="str">
        <f>IF(X103="","",IFERROR(INDEX(DIR_ATUAL[QT %],MATCH(X103,DIR_ATUAL[PONTO],0)),0))</f>
        <v/>
      </c>
      <c r="AD103" t="str">
        <f t="shared" si="54"/>
        <v/>
      </c>
      <c r="AE103" t="str">
        <f>IF(X103="","",IF($E$9&gt;$E$8,IFERROR((INDEX(GERAL[SNAP],70)-$E$8)/($E$9-$E$8),0),0))</f>
        <v/>
      </c>
      <c r="AF103" t="str">
        <f t="shared" si="55"/>
        <v/>
      </c>
      <c r="AG103" t="str">
        <f>IFERROR(INDEX(GERAL[LADO],70),"")</f>
        <v/>
      </c>
    </row>
    <row r="104" spans="13:33" x14ac:dyDescent="0.3">
      <c r="M104" t="str">
        <f>IFERROR(INDEX(GERAL[PONTO],91),"")</f>
        <v/>
      </c>
      <c r="N104" t="str">
        <f>IF(M104="","",IFERROR(INDEX(GERAL[ACUMULADA],91),0))</f>
        <v/>
      </c>
      <c r="O104" t="str">
        <f t="shared" si="46"/>
        <v/>
      </c>
      <c r="P104" t="str">
        <f t="shared" si="47"/>
        <v/>
      </c>
      <c r="Q104" t="str">
        <f t="shared" si="48"/>
        <v/>
      </c>
      <c r="R104" t="str">
        <f>IF(M104="","",IFERROR(INDEX(Tabela7[QT %],MATCH(M104,Tabela7[PONTO],0)),0))</f>
        <v/>
      </c>
      <c r="S104" t="str">
        <f t="shared" si="49"/>
        <v/>
      </c>
      <c r="T104" t="str">
        <f>IF(M104="","",IF($B$9&gt;$B$8,IFERROR((INDEX(GERAL[SNAP],91)-$B$8)/($B$9-$B$8),0),0))</f>
        <v/>
      </c>
      <c r="U104" t="str">
        <f t="shared" si="50"/>
        <v/>
      </c>
      <c r="V104" t="str">
        <f>IFERROR(INDEX(GERAL[LADO],91),"")</f>
        <v/>
      </c>
      <c r="X104" t="str">
        <f>IFERROR(INDEX(GERAL[PONTO],71),"")</f>
        <v/>
      </c>
      <c r="Y104" t="str">
        <f>IF(X104="","",IFERROR(INDEX(GERAL[ACUMULADA],71),0))</f>
        <v/>
      </c>
      <c r="Z104" t="str">
        <f t="shared" si="51"/>
        <v/>
      </c>
      <c r="AA104" t="str">
        <f t="shared" si="52"/>
        <v/>
      </c>
      <c r="AB104" t="str">
        <f t="shared" si="53"/>
        <v/>
      </c>
      <c r="AC104" t="str">
        <f>IF(X104="","",IFERROR(INDEX(DIR_ATUAL[QT %],MATCH(X104,DIR_ATUAL[PONTO],0)),0))</f>
        <v/>
      </c>
      <c r="AD104" t="str">
        <f t="shared" si="54"/>
        <v/>
      </c>
      <c r="AE104" t="str">
        <f>IF(X104="","",IF($E$9&gt;$E$8,IFERROR((INDEX(GERAL[SNAP],71)-$E$8)/($E$9-$E$8),0),0))</f>
        <v/>
      </c>
      <c r="AF104" t="str">
        <f t="shared" si="55"/>
        <v/>
      </c>
      <c r="AG104" t="str">
        <f>IFERROR(INDEX(GERAL[LADO],71),"")</f>
        <v/>
      </c>
    </row>
    <row r="105" spans="13:33" x14ac:dyDescent="0.3">
      <c r="M105" t="str">
        <f>IFERROR(INDEX(GERAL[PONTO],92),"")</f>
        <v/>
      </c>
      <c r="N105" t="str">
        <f>IF(M105="","",IFERROR(INDEX(GERAL[ACUMULADA],92),0))</f>
        <v/>
      </c>
      <c r="O105" t="str">
        <f t="shared" si="46"/>
        <v/>
      </c>
      <c r="P105" t="str">
        <f t="shared" si="47"/>
        <v/>
      </c>
      <c r="Q105" t="str">
        <f t="shared" si="48"/>
        <v/>
      </c>
      <c r="R105" t="str">
        <f>IF(M105="","",IFERROR(INDEX(Tabela7[QT %],MATCH(M105,Tabela7[PONTO],0)),0))</f>
        <v/>
      </c>
      <c r="S105" t="str">
        <f t="shared" si="49"/>
        <v/>
      </c>
      <c r="T105" t="str">
        <f>IF(M105="","",IF($B$9&gt;$B$8,IFERROR((INDEX(GERAL[SNAP],92)-$B$8)/($B$9-$B$8),0),0))</f>
        <v/>
      </c>
      <c r="U105" t="str">
        <f t="shared" si="50"/>
        <v/>
      </c>
      <c r="V105" t="str">
        <f>IFERROR(INDEX(GERAL[LADO],92),"")</f>
        <v/>
      </c>
      <c r="X105" t="str">
        <f>IFERROR(INDEX(GERAL[PONTO],72),"")</f>
        <v/>
      </c>
      <c r="Y105" t="str">
        <f>IF(X105="","",IFERROR(INDEX(GERAL[ACUMULADA],72),0))</f>
        <v/>
      </c>
      <c r="Z105" t="str">
        <f t="shared" si="51"/>
        <v/>
      </c>
      <c r="AA105" t="str">
        <f t="shared" si="52"/>
        <v/>
      </c>
      <c r="AB105" t="str">
        <f t="shared" si="53"/>
        <v/>
      </c>
      <c r="AC105" t="str">
        <f>IF(X105="","",IFERROR(INDEX(DIR_ATUAL[QT %],MATCH(X105,DIR_ATUAL[PONTO],0)),0))</f>
        <v/>
      </c>
      <c r="AD105" t="str">
        <f t="shared" si="54"/>
        <v/>
      </c>
      <c r="AE105" t="str">
        <f>IF(X105="","",IF($E$9&gt;$E$8,IFERROR((INDEX(GERAL[SNAP],72)-$E$8)/($E$9-$E$8),0),0))</f>
        <v/>
      </c>
      <c r="AF105" t="str">
        <f t="shared" si="55"/>
        <v/>
      </c>
      <c r="AG105" t="str">
        <f>IFERROR(INDEX(GERAL[LADO],72),"")</f>
        <v/>
      </c>
    </row>
    <row r="106" spans="13:33" x14ac:dyDescent="0.3">
      <c r="M106" t="str">
        <f>IFERROR(INDEX(GERAL[PONTO],93),"")</f>
        <v/>
      </c>
      <c r="N106" t="str">
        <f>IF(M106="","",IFERROR(INDEX(GERAL[ACUMULADA],93),0))</f>
        <v/>
      </c>
      <c r="O106" t="str">
        <f t="shared" si="46"/>
        <v/>
      </c>
      <c r="P106" t="str">
        <f t="shared" si="47"/>
        <v/>
      </c>
      <c r="Q106" t="str">
        <f t="shared" si="48"/>
        <v/>
      </c>
      <c r="R106" t="str">
        <f>IF(M106="","",IFERROR(INDEX(Tabela7[QT %],MATCH(M106,Tabela7[PONTO],0)),0))</f>
        <v/>
      </c>
      <c r="S106" t="str">
        <f t="shared" si="49"/>
        <v/>
      </c>
      <c r="T106" t="str">
        <f>IF(M106="","",IF($B$9&gt;$B$8,IFERROR((INDEX(GERAL[SNAP],93)-$B$8)/($B$9-$B$8),0),0))</f>
        <v/>
      </c>
      <c r="U106" t="str">
        <f t="shared" si="50"/>
        <v/>
      </c>
      <c r="V106" t="str">
        <f>IFERROR(INDEX(GERAL[LADO],93),"")</f>
        <v/>
      </c>
      <c r="X106" t="str">
        <f>IFERROR(INDEX(GERAL[PONTO],73),"")</f>
        <v/>
      </c>
      <c r="Y106" t="str">
        <f>IF(X106="","",IFERROR(INDEX(GERAL[ACUMULADA],73),0))</f>
        <v/>
      </c>
      <c r="Z106" t="str">
        <f t="shared" si="51"/>
        <v/>
      </c>
      <c r="AA106" t="str">
        <f t="shared" si="52"/>
        <v/>
      </c>
      <c r="AB106" t="str">
        <f t="shared" si="53"/>
        <v/>
      </c>
      <c r="AC106" t="str">
        <f>IF(X106="","",IFERROR(INDEX(DIR_ATUAL[QT %],MATCH(X106,DIR_ATUAL[PONTO],0)),0))</f>
        <v/>
      </c>
      <c r="AD106" t="str">
        <f t="shared" si="54"/>
        <v/>
      </c>
      <c r="AE106" t="str">
        <f>IF(X106="","",IF($E$9&gt;$E$8,IFERROR((INDEX(GERAL[SNAP],73)-$E$8)/($E$9-$E$8),0),0))</f>
        <v/>
      </c>
      <c r="AF106" t="str">
        <f t="shared" si="55"/>
        <v/>
      </c>
      <c r="AG106" t="str">
        <f>IFERROR(INDEX(GERAL[LADO],73),"")</f>
        <v/>
      </c>
    </row>
    <row r="107" spans="13:33" x14ac:dyDescent="0.3">
      <c r="M107" t="str">
        <f>IFERROR(INDEX(GERAL[PONTO],94),"")</f>
        <v/>
      </c>
      <c r="N107" t="str">
        <f>IF(M107="","",IFERROR(INDEX(GERAL[ACUMULADA],94),0))</f>
        <v/>
      </c>
      <c r="O107" t="str">
        <f t="shared" si="46"/>
        <v/>
      </c>
      <c r="P107" t="str">
        <f t="shared" si="47"/>
        <v/>
      </c>
      <c r="Q107" t="str">
        <f t="shared" si="48"/>
        <v/>
      </c>
      <c r="R107" t="str">
        <f>IF(M107="","",IFERROR(INDEX(Tabela7[QT %],MATCH(M107,Tabela7[PONTO],0)),0))</f>
        <v/>
      </c>
      <c r="S107" t="str">
        <f t="shared" si="49"/>
        <v/>
      </c>
      <c r="T107" t="str">
        <f>IF(M107="","",IF($B$9&gt;$B$8,IFERROR((INDEX(GERAL[SNAP],94)-$B$8)/($B$9-$B$8),0),0))</f>
        <v/>
      </c>
      <c r="U107" t="str">
        <f t="shared" si="50"/>
        <v/>
      </c>
      <c r="V107" t="str">
        <f>IFERROR(INDEX(GERAL[LADO],94),"")</f>
        <v/>
      </c>
      <c r="X107" t="str">
        <f>IFERROR(INDEX(GERAL[PONTO],74),"")</f>
        <v/>
      </c>
      <c r="Y107" t="str">
        <f>IF(X107="","",IFERROR(INDEX(GERAL[ACUMULADA],74),0))</f>
        <v/>
      </c>
      <c r="Z107" t="str">
        <f t="shared" si="51"/>
        <v/>
      </c>
      <c r="AA107" t="str">
        <f t="shared" si="52"/>
        <v/>
      </c>
      <c r="AB107" t="str">
        <f t="shared" si="53"/>
        <v/>
      </c>
      <c r="AC107" t="str">
        <f>IF(X107="","",IFERROR(INDEX(DIR_ATUAL[QT %],MATCH(X107,DIR_ATUAL[PONTO],0)),0))</f>
        <v/>
      </c>
      <c r="AD107" t="str">
        <f t="shared" si="54"/>
        <v/>
      </c>
      <c r="AE107" t="str">
        <f>IF(X107="","",IF($E$9&gt;$E$8,IFERROR((INDEX(GERAL[SNAP],74)-$E$8)/($E$9-$E$8),0),0))</f>
        <v/>
      </c>
      <c r="AF107" t="str">
        <f t="shared" si="55"/>
        <v/>
      </c>
      <c r="AG107" t="str">
        <f>IFERROR(INDEX(GERAL[LADO],74),"")</f>
        <v/>
      </c>
    </row>
    <row r="108" spans="13:33" x14ac:dyDescent="0.3">
      <c r="M108" t="str">
        <f>IFERROR(INDEX(GERAL[PONTO],95),"")</f>
        <v/>
      </c>
      <c r="N108" t="str">
        <f>IF(M108="","",IFERROR(INDEX(GERAL[ACUMULADA],95),0))</f>
        <v/>
      </c>
      <c r="O108" t="str">
        <f t="shared" si="46"/>
        <v/>
      </c>
      <c r="P108" t="str">
        <f t="shared" si="47"/>
        <v/>
      </c>
      <c r="Q108" t="str">
        <f t="shared" si="48"/>
        <v/>
      </c>
      <c r="R108" t="str">
        <f>IF(M108="","",IFERROR(INDEX(Tabela7[QT %],MATCH(M108,Tabela7[PONTO],0)),0))</f>
        <v/>
      </c>
      <c r="S108" t="str">
        <f t="shared" si="49"/>
        <v/>
      </c>
      <c r="T108" t="str">
        <f>IF(M108="","",IF($B$9&gt;$B$8,IFERROR((INDEX(GERAL[SNAP],95)-$B$8)/($B$9-$B$8),0),0))</f>
        <v/>
      </c>
      <c r="U108" t="str">
        <f t="shared" si="50"/>
        <v/>
      </c>
      <c r="V108" t="str">
        <f>IFERROR(INDEX(GERAL[LADO],95),"")</f>
        <v/>
      </c>
      <c r="X108" t="str">
        <f>IFERROR(INDEX(GERAL[PONTO],75),"")</f>
        <v/>
      </c>
      <c r="Y108" t="str">
        <f>IF(X108="","",IFERROR(INDEX(GERAL[ACUMULADA],75),0))</f>
        <v/>
      </c>
      <c r="Z108" t="str">
        <f t="shared" si="51"/>
        <v/>
      </c>
      <c r="AA108" t="str">
        <f t="shared" si="52"/>
        <v/>
      </c>
      <c r="AB108" t="str">
        <f t="shared" si="53"/>
        <v/>
      </c>
      <c r="AC108" t="str">
        <f>IF(X108="","",IFERROR(INDEX(DIR_ATUAL[QT %],MATCH(X108,DIR_ATUAL[PONTO],0)),0))</f>
        <v/>
      </c>
      <c r="AD108" t="str">
        <f t="shared" si="54"/>
        <v/>
      </c>
      <c r="AE108" t="str">
        <f>IF(X108="","",IF($E$9&gt;$E$8,IFERROR((INDEX(GERAL[SNAP],75)-$E$8)/($E$9-$E$8),0),0))</f>
        <v/>
      </c>
      <c r="AF108" t="str">
        <f t="shared" si="55"/>
        <v/>
      </c>
      <c r="AG108" t="str">
        <f>IFERROR(INDEX(GERAL[LADO],75),"")</f>
        <v/>
      </c>
    </row>
    <row r="109" spans="13:33" x14ac:dyDescent="0.3">
      <c r="M109" t="str">
        <f>IFERROR(INDEX(GERAL[PONTO],96),"")</f>
        <v/>
      </c>
      <c r="N109" t="str">
        <f>IF(M109="","",IFERROR(INDEX(GERAL[ACUMULADA],96),0))</f>
        <v/>
      </c>
      <c r="O109" t="str">
        <f t="shared" si="46"/>
        <v/>
      </c>
      <c r="P109" t="str">
        <f t="shared" si="47"/>
        <v/>
      </c>
      <c r="Q109" t="str">
        <f t="shared" si="48"/>
        <v/>
      </c>
      <c r="R109" t="str">
        <f>IF(M109="","",IFERROR(INDEX(Tabela7[QT %],MATCH(M109,Tabela7[PONTO],0)),0))</f>
        <v/>
      </c>
      <c r="S109" t="str">
        <f t="shared" si="49"/>
        <v/>
      </c>
      <c r="T109" t="str">
        <f>IF(M109="","",IF($B$9&gt;$B$8,IFERROR((INDEX(GERAL[SNAP],96)-$B$8)/($B$9-$B$8),0),0))</f>
        <v/>
      </c>
      <c r="U109" t="str">
        <f t="shared" si="50"/>
        <v/>
      </c>
      <c r="V109" t="str">
        <f>IFERROR(INDEX(GERAL[LADO],96),"")</f>
        <v/>
      </c>
      <c r="X109" t="str">
        <f>IFERROR(INDEX(GERAL[PONTO],76),"")</f>
        <v/>
      </c>
      <c r="Y109" t="str">
        <f>IF(X109="","",IFERROR(INDEX(GERAL[ACUMULADA],76),0))</f>
        <v/>
      </c>
      <c r="Z109" t="str">
        <f t="shared" si="51"/>
        <v/>
      </c>
      <c r="AA109" t="str">
        <f t="shared" si="52"/>
        <v/>
      </c>
      <c r="AB109" t="str">
        <f t="shared" si="53"/>
        <v/>
      </c>
      <c r="AC109" t="str">
        <f>IF(X109="","",IFERROR(INDEX(DIR_ATUAL[QT %],MATCH(X109,DIR_ATUAL[PONTO],0)),0))</f>
        <v/>
      </c>
      <c r="AD109" t="str">
        <f t="shared" si="54"/>
        <v/>
      </c>
      <c r="AE109" t="str">
        <f>IF(X109="","",IF($E$9&gt;$E$8,IFERROR((INDEX(GERAL[SNAP],76)-$E$8)/($E$9-$E$8),0),0))</f>
        <v/>
      </c>
      <c r="AF109" t="str">
        <f t="shared" si="55"/>
        <v/>
      </c>
      <c r="AG109" t="str">
        <f>IFERROR(INDEX(GERAL[LADO],76),"")</f>
        <v/>
      </c>
    </row>
    <row r="110" spans="13:33" x14ac:dyDescent="0.3">
      <c r="M110" t="str">
        <f>IFERROR(INDEX(GERAL[PONTO],97),"")</f>
        <v/>
      </c>
      <c r="N110" t="str">
        <f>IF(M110="","",IFERROR(INDEX(GERAL[ACUMULADA],97),0))</f>
        <v/>
      </c>
      <c r="O110" t="str">
        <f t="shared" ref="O110:O141" si="56">IF(N110="","",$B$11-N110)</f>
        <v/>
      </c>
      <c r="P110" t="str">
        <f t="shared" ref="P110:P141" si="57">IF(N110="","",IF(N110*1.15&lt;=30,30,IF(N110*1.15&lt;=45,45,IF(N110*1.15&lt;=75,75,IF(N110*1.15&lt;=112.5,112.5,IF(N110*1.15&lt;=150,150,IF(N110*1.15&lt;=225,225,300)))))))</f>
        <v/>
      </c>
      <c r="Q110" t="str">
        <f t="shared" ref="Q110:Q141" si="58">IF(P110="","",IFERROR(N110/P110,0))</f>
        <v/>
      </c>
      <c r="R110" t="str">
        <f>IF(M110="","",IFERROR(INDEX(Tabela7[QT %],MATCH(M110,Tabela7[PONTO],0)),0))</f>
        <v/>
      </c>
      <c r="S110" t="str">
        <f t="shared" ref="S110:S141" si="59">IF(N110="","",IFERROR(1-ABS(N110-O110)/$B$11,0))</f>
        <v/>
      </c>
      <c r="T110" t="str">
        <f>IF(M110="","",IF($B$9&gt;$B$8,IFERROR((INDEX(GERAL[SNAP],97)-$B$8)/($B$9-$B$8),0),0))</f>
        <v/>
      </c>
      <c r="U110" t="str">
        <f t="shared" si="50"/>
        <v/>
      </c>
      <c r="V110" t="str">
        <f>IFERROR(INDEX(GERAL[LADO],97),"")</f>
        <v/>
      </c>
      <c r="X110" t="str">
        <f>IFERROR(INDEX(GERAL[PONTO],77),"")</f>
        <v/>
      </c>
      <c r="Y110" t="str">
        <f>IF(X110="","",IFERROR(INDEX(GERAL[ACUMULADA],77),0))</f>
        <v/>
      </c>
      <c r="Z110" t="str">
        <f t="shared" si="51"/>
        <v/>
      </c>
      <c r="AA110" t="str">
        <f t="shared" si="52"/>
        <v/>
      </c>
      <c r="AB110" t="str">
        <f t="shared" si="53"/>
        <v/>
      </c>
      <c r="AC110" t="str">
        <f>IF(X110="","",IFERROR(INDEX(DIR_ATUAL[QT %],MATCH(X110,DIR_ATUAL[PONTO],0)),0))</f>
        <v/>
      </c>
      <c r="AD110" t="str">
        <f t="shared" si="54"/>
        <v/>
      </c>
      <c r="AE110" t="str">
        <f>IF(X110="","",IF($E$9&gt;$E$8,IFERROR((INDEX(GERAL[SNAP],77)-$E$8)/($E$9-$E$8),0),0))</f>
        <v/>
      </c>
      <c r="AF110" t="str">
        <f t="shared" si="55"/>
        <v/>
      </c>
      <c r="AG110" t="str">
        <f>IFERROR(INDEX(GERAL[LADO],77),"")</f>
        <v/>
      </c>
    </row>
    <row r="111" spans="13:33" x14ac:dyDescent="0.3">
      <c r="M111" t="str">
        <f>IFERROR(INDEX(GERAL[PONTO],98),"")</f>
        <v/>
      </c>
      <c r="N111" t="str">
        <f>IF(M111="","",IFERROR(INDEX(GERAL[ACUMULADA],98),0))</f>
        <v/>
      </c>
      <c r="O111" t="str">
        <f t="shared" si="56"/>
        <v/>
      </c>
      <c r="P111" t="str">
        <f t="shared" si="57"/>
        <v/>
      </c>
      <c r="Q111" t="str">
        <f t="shared" si="58"/>
        <v/>
      </c>
      <c r="R111" t="str">
        <f>IF(M111="","",IFERROR(INDEX(Tabela7[QT %],MATCH(M111,Tabela7[PONTO],0)),0))</f>
        <v/>
      </c>
      <c r="S111" t="str">
        <f t="shared" si="59"/>
        <v/>
      </c>
      <c r="T111" t="str">
        <f>IF(M111="","",IF($B$9&gt;$B$8,IFERROR((INDEX(GERAL[SNAP],98)-$B$8)/($B$9-$B$8),0),0))</f>
        <v/>
      </c>
      <c r="U111" t="str">
        <f t="shared" si="50"/>
        <v/>
      </c>
      <c r="V111" t="str">
        <f>IFERROR(INDEX(GERAL[LADO],98),"")</f>
        <v/>
      </c>
      <c r="X111" t="str">
        <f>IFERROR(INDEX(GERAL[PONTO],78),"")</f>
        <v/>
      </c>
      <c r="Y111" t="str">
        <f>IF(X111="","",IFERROR(INDEX(GERAL[ACUMULADA],78),0))</f>
        <v/>
      </c>
      <c r="Z111" t="str">
        <f t="shared" si="51"/>
        <v/>
      </c>
      <c r="AA111" t="str">
        <f t="shared" si="52"/>
        <v/>
      </c>
      <c r="AB111" t="str">
        <f t="shared" si="53"/>
        <v/>
      </c>
      <c r="AC111" t="str">
        <f>IF(X111="","",IFERROR(INDEX(DIR_ATUAL[QT %],MATCH(X111,DIR_ATUAL[PONTO],0)),0))</f>
        <v/>
      </c>
      <c r="AD111" t="str">
        <f t="shared" si="54"/>
        <v/>
      </c>
      <c r="AE111" t="str">
        <f>IF(X111="","",IF($E$9&gt;$E$8,IFERROR((INDEX(GERAL[SNAP],78)-$E$8)/($E$9-$E$8),0),0))</f>
        <v/>
      </c>
      <c r="AF111" t="str">
        <f t="shared" si="55"/>
        <v/>
      </c>
      <c r="AG111" t="str">
        <f>IFERROR(INDEX(GERAL[LADO],78),"")</f>
        <v/>
      </c>
    </row>
    <row r="112" spans="13:33" x14ac:dyDescent="0.3">
      <c r="M112" t="str">
        <f>IFERROR(INDEX(GERAL[PONTO],99),"")</f>
        <v/>
      </c>
      <c r="N112" t="str">
        <f>IF(M112="","",IFERROR(INDEX(GERAL[ACUMULADA],99),0))</f>
        <v/>
      </c>
      <c r="O112" t="str">
        <f t="shared" si="56"/>
        <v/>
      </c>
      <c r="P112" t="str">
        <f t="shared" si="57"/>
        <v/>
      </c>
      <c r="Q112" t="str">
        <f t="shared" si="58"/>
        <v/>
      </c>
      <c r="R112" t="str">
        <f>IF(M112="","",IFERROR(INDEX(Tabela7[QT %],MATCH(M112,Tabela7[PONTO],0)),0))</f>
        <v/>
      </c>
      <c r="S112" t="str">
        <f t="shared" si="59"/>
        <v/>
      </c>
      <c r="T112" t="str">
        <f>IF(M112="","",IF($B$9&gt;$B$8,IFERROR((INDEX(GERAL[SNAP],99)-$B$8)/($B$9-$B$8),0),0))</f>
        <v/>
      </c>
      <c r="U112" t="str">
        <f t="shared" si="50"/>
        <v/>
      </c>
      <c r="V112" t="str">
        <f>IFERROR(INDEX(GERAL[LADO],99),"")</f>
        <v/>
      </c>
      <c r="X112" t="str">
        <f>IFERROR(INDEX(GERAL[PONTO],79),"")</f>
        <v/>
      </c>
      <c r="Y112" t="str">
        <f>IF(X112="","",IFERROR(INDEX(GERAL[ACUMULADA],79),0))</f>
        <v/>
      </c>
      <c r="Z112" t="str">
        <f t="shared" si="51"/>
        <v/>
      </c>
      <c r="AA112" t="str">
        <f t="shared" si="52"/>
        <v/>
      </c>
      <c r="AB112" t="str">
        <f t="shared" si="53"/>
        <v/>
      </c>
      <c r="AC112" t="str">
        <f>IF(X112="","",IFERROR(INDEX(DIR_ATUAL[QT %],MATCH(X112,DIR_ATUAL[PONTO],0)),0))</f>
        <v/>
      </c>
      <c r="AD112" t="str">
        <f t="shared" si="54"/>
        <v/>
      </c>
      <c r="AE112" t="str">
        <f>IF(X112="","",IF($E$9&gt;$E$8,IFERROR((INDEX(GERAL[SNAP],79)-$E$8)/($E$9-$E$8),0),0))</f>
        <v/>
      </c>
      <c r="AF112" t="str">
        <f t="shared" si="55"/>
        <v/>
      </c>
      <c r="AG112" t="str">
        <f>IFERROR(INDEX(GERAL[LADO],79),"")</f>
        <v/>
      </c>
    </row>
    <row r="113" spans="13:33" x14ac:dyDescent="0.3">
      <c r="M113" t="str">
        <f>IFERROR(INDEX(GERAL[PONTO],100),"")</f>
        <v/>
      </c>
      <c r="N113" t="str">
        <f>IF(M113="","",IFERROR(INDEX(GERAL[ACUMULADA],100),0))</f>
        <v/>
      </c>
      <c r="O113" t="str">
        <f t="shared" si="56"/>
        <v/>
      </c>
      <c r="P113" t="str">
        <f t="shared" si="57"/>
        <v/>
      </c>
      <c r="Q113" t="str">
        <f t="shared" si="58"/>
        <v/>
      </c>
      <c r="R113" t="str">
        <f>IF(M113="","",IFERROR(INDEX(Tabela7[QT %],MATCH(M113,Tabela7[PONTO],0)),0))</f>
        <v/>
      </c>
      <c r="S113" t="str">
        <f t="shared" si="59"/>
        <v/>
      </c>
      <c r="T113" t="str">
        <f>IF(M113="","",IF($B$9&gt;$B$8,IFERROR((INDEX(GERAL[SNAP],100)-$B$8)/($B$9-$B$8),0),0))</f>
        <v/>
      </c>
      <c r="U113" t="str">
        <f t="shared" si="50"/>
        <v/>
      </c>
      <c r="V113" t="str">
        <f>IFERROR(INDEX(GERAL[LADO],100),"")</f>
        <v/>
      </c>
      <c r="X113" t="str">
        <f>IFERROR(INDEX(GERAL[PONTO],80),"")</f>
        <v/>
      </c>
      <c r="Y113" t="str">
        <f>IF(X113="","",IFERROR(INDEX(GERAL[ACUMULADA],80),0))</f>
        <v/>
      </c>
      <c r="Z113" t="str">
        <f t="shared" si="51"/>
        <v/>
      </c>
      <c r="AA113" t="str">
        <f t="shared" si="52"/>
        <v/>
      </c>
      <c r="AB113" t="str">
        <f t="shared" si="53"/>
        <v/>
      </c>
      <c r="AC113" t="str">
        <f>IF(X113="","",IFERROR(INDEX(DIR_ATUAL[QT %],MATCH(X113,DIR_ATUAL[PONTO],0)),0))</f>
        <v/>
      </c>
      <c r="AD113" t="str">
        <f t="shared" si="54"/>
        <v/>
      </c>
      <c r="AE113" t="str">
        <f>IF(X113="","",IF($E$9&gt;$E$8,IFERROR((INDEX(GERAL[SNAP],80)-$E$8)/($E$9-$E$8),0),0))</f>
        <v/>
      </c>
      <c r="AF113" t="str">
        <f t="shared" si="55"/>
        <v/>
      </c>
      <c r="AG113" t="str">
        <f>IFERROR(INDEX(GERAL[LADO],80),"")</f>
        <v/>
      </c>
    </row>
    <row r="114" spans="13:33" x14ac:dyDescent="0.3">
      <c r="M114" t="str">
        <f>IFERROR(INDEX(GERAL[PONTO],101),"")</f>
        <v/>
      </c>
      <c r="N114" t="str">
        <f>IF(M114="","",IFERROR(INDEX(GERAL[ACUMULADA],101),0))</f>
        <v/>
      </c>
      <c r="O114" t="str">
        <f t="shared" si="56"/>
        <v/>
      </c>
      <c r="P114" t="str">
        <f t="shared" si="57"/>
        <v/>
      </c>
      <c r="Q114" t="str">
        <f t="shared" si="58"/>
        <v/>
      </c>
      <c r="R114" t="str">
        <f>IF(M114="","",IFERROR(INDEX(Tabela7[QT %],MATCH(M114,Tabela7[PONTO],0)),0))</f>
        <v/>
      </c>
      <c r="S114" t="str">
        <f t="shared" si="59"/>
        <v/>
      </c>
      <c r="T114" t="str">
        <f>IF(M114="","",IF($B$9&gt;$B$8,IFERROR((INDEX(GERAL[SNAP],101)-$B$8)/($B$9-$B$8),0),0))</f>
        <v/>
      </c>
      <c r="U114" t="str">
        <f t="shared" si="50"/>
        <v/>
      </c>
      <c r="V114" t="str">
        <f>IFERROR(INDEX(GERAL[LADO],101),"")</f>
        <v/>
      </c>
      <c r="X114" t="str">
        <f>IFERROR(INDEX(GERAL[PONTO],81),"")</f>
        <v/>
      </c>
      <c r="Y114" t="str">
        <f>IF(X114="","",IFERROR(INDEX(GERAL[ACUMULADA],81),0))</f>
        <v/>
      </c>
      <c r="Z114" t="str">
        <f t="shared" si="51"/>
        <v/>
      </c>
      <c r="AA114" t="str">
        <f t="shared" si="52"/>
        <v/>
      </c>
      <c r="AB114" t="str">
        <f t="shared" si="53"/>
        <v/>
      </c>
      <c r="AC114" t="str">
        <f>IF(X114="","",IFERROR(INDEX(DIR_ATUAL[QT %],MATCH(X114,DIR_ATUAL[PONTO],0)),0))</f>
        <v/>
      </c>
      <c r="AD114" t="str">
        <f t="shared" si="54"/>
        <v/>
      </c>
      <c r="AE114" t="str">
        <f>IF(X114="","",IF($E$9&gt;$E$8,IFERROR((INDEX(GERAL[SNAP],81)-$E$8)/($E$9-$E$8),0),0))</f>
        <v/>
      </c>
      <c r="AF114" t="str">
        <f t="shared" si="55"/>
        <v/>
      </c>
      <c r="AG114" t="str">
        <f>IFERROR(INDEX(GERAL[LADO],81),"")</f>
        <v/>
      </c>
    </row>
    <row r="115" spans="13:33" x14ac:dyDescent="0.3">
      <c r="M115" t="str">
        <f>IFERROR(INDEX(GERAL[PONTO],102),"")</f>
        <v/>
      </c>
      <c r="N115" t="str">
        <f>IF(M115="","",IFERROR(INDEX(GERAL[ACUMULADA],102),0))</f>
        <v/>
      </c>
      <c r="O115" t="str">
        <f t="shared" si="56"/>
        <v/>
      </c>
      <c r="P115" t="str">
        <f t="shared" si="57"/>
        <v/>
      </c>
      <c r="Q115" t="str">
        <f t="shared" si="58"/>
        <v/>
      </c>
      <c r="R115" t="str">
        <f>IF(M115="","",IFERROR(INDEX(Tabela7[QT %],MATCH(M115,Tabela7[PONTO],0)),0))</f>
        <v/>
      </c>
      <c r="S115" t="str">
        <f t="shared" si="59"/>
        <v/>
      </c>
      <c r="T115" t="str">
        <f>IF(M115="","",IF($B$9&gt;$B$8,IFERROR((INDEX(GERAL[SNAP],102)-$B$8)/($B$9-$B$8),0),0))</f>
        <v/>
      </c>
      <c r="U115" t="str">
        <f t="shared" si="50"/>
        <v/>
      </c>
      <c r="V115" t="str">
        <f>IFERROR(INDEX(GERAL[LADO],102),"")</f>
        <v/>
      </c>
      <c r="X115" t="str">
        <f>IFERROR(INDEX(GERAL[PONTO],82),"")</f>
        <v/>
      </c>
      <c r="Y115" t="str">
        <f>IF(X115="","",IFERROR(INDEX(GERAL[ACUMULADA],82),0))</f>
        <v/>
      </c>
      <c r="Z115" t="str">
        <f t="shared" si="51"/>
        <v/>
      </c>
      <c r="AA115" t="str">
        <f t="shared" si="52"/>
        <v/>
      </c>
      <c r="AB115" t="str">
        <f t="shared" si="53"/>
        <v/>
      </c>
      <c r="AC115" t="str">
        <f>IF(X115="","",IFERROR(INDEX(DIR_ATUAL[QT %],MATCH(X115,DIR_ATUAL[PONTO],0)),0))</f>
        <v/>
      </c>
      <c r="AD115" t="str">
        <f t="shared" si="54"/>
        <v/>
      </c>
      <c r="AE115" t="str">
        <f>IF(X115="","",IF($E$9&gt;$E$8,IFERROR((INDEX(GERAL[SNAP],82)-$E$8)/($E$9-$E$8),0),0))</f>
        <v/>
      </c>
      <c r="AF115" t="str">
        <f t="shared" si="55"/>
        <v/>
      </c>
      <c r="AG115" t="str">
        <f>IFERROR(INDEX(GERAL[LADO],82),"")</f>
        <v/>
      </c>
    </row>
    <row r="116" spans="13:33" x14ac:dyDescent="0.3">
      <c r="M116" t="str">
        <f>IFERROR(INDEX(GERAL[PONTO],103),"")</f>
        <v/>
      </c>
      <c r="N116" t="str">
        <f>IF(M116="","",IFERROR(INDEX(GERAL[ACUMULADA],103),0))</f>
        <v/>
      </c>
      <c r="O116" t="str">
        <f t="shared" si="56"/>
        <v/>
      </c>
      <c r="P116" t="str">
        <f t="shared" si="57"/>
        <v/>
      </c>
      <c r="Q116" t="str">
        <f t="shared" si="58"/>
        <v/>
      </c>
      <c r="R116" t="str">
        <f>IF(M116="","",IFERROR(INDEX(Tabela7[QT %],MATCH(M116,Tabela7[PONTO],0)),0))</f>
        <v/>
      </c>
      <c r="S116" t="str">
        <f t="shared" si="59"/>
        <v/>
      </c>
      <c r="T116" t="str">
        <f>IF(M116="","",IF($B$9&gt;$B$8,IFERROR((INDEX(GERAL[SNAP],103)-$B$8)/($B$9-$B$8),0),0))</f>
        <v/>
      </c>
      <c r="U116" t="str">
        <f t="shared" si="50"/>
        <v/>
      </c>
      <c r="V116" t="str">
        <f>IFERROR(INDEX(GERAL[LADO],103),"")</f>
        <v/>
      </c>
      <c r="X116" t="str">
        <f>IFERROR(INDEX(GERAL[PONTO],83),"")</f>
        <v/>
      </c>
      <c r="Y116" t="str">
        <f>IF(X116="","",IFERROR(INDEX(GERAL[ACUMULADA],83),0))</f>
        <v/>
      </c>
      <c r="Z116" t="str">
        <f t="shared" si="51"/>
        <v/>
      </c>
      <c r="AA116" t="str">
        <f t="shared" si="52"/>
        <v/>
      </c>
      <c r="AB116" t="str">
        <f t="shared" si="53"/>
        <v/>
      </c>
      <c r="AC116" t="str">
        <f>IF(X116="","",IFERROR(INDEX(DIR_ATUAL[QT %],MATCH(X116,DIR_ATUAL[PONTO],0)),0))</f>
        <v/>
      </c>
      <c r="AD116" t="str">
        <f t="shared" si="54"/>
        <v/>
      </c>
      <c r="AE116" t="str">
        <f>IF(X116="","",IF($E$9&gt;$E$8,IFERROR((INDEX(GERAL[SNAP],83)-$E$8)/($E$9-$E$8),0),0))</f>
        <v/>
      </c>
      <c r="AF116" t="str">
        <f t="shared" si="55"/>
        <v/>
      </c>
      <c r="AG116" t="str">
        <f>IFERROR(INDEX(GERAL[LADO],83),"")</f>
        <v/>
      </c>
    </row>
    <row r="117" spans="13:33" x14ac:dyDescent="0.3">
      <c r="M117" t="str">
        <f>IFERROR(INDEX(GERAL[PONTO],104),"")</f>
        <v/>
      </c>
      <c r="N117" t="str">
        <f>IF(M117="","",IFERROR(INDEX(GERAL[ACUMULADA],104),0))</f>
        <v/>
      </c>
      <c r="O117" t="str">
        <f t="shared" si="56"/>
        <v/>
      </c>
      <c r="P117" t="str">
        <f t="shared" si="57"/>
        <v/>
      </c>
      <c r="Q117" t="str">
        <f t="shared" si="58"/>
        <v/>
      </c>
      <c r="R117" t="str">
        <f>IF(M117="","",IFERROR(INDEX(Tabela7[QT %],MATCH(M117,Tabela7[PONTO],0)),0))</f>
        <v/>
      </c>
      <c r="S117" t="str">
        <f t="shared" si="59"/>
        <v/>
      </c>
      <c r="T117" t="str">
        <f>IF(M117="","",IF($B$9&gt;$B$8,IFERROR((INDEX(GERAL[SNAP],104)-$B$8)/($B$9-$B$8),0),0))</f>
        <v/>
      </c>
      <c r="U117" t="str">
        <f t="shared" si="50"/>
        <v/>
      </c>
      <c r="V117" t="str">
        <f>IFERROR(INDEX(GERAL[LADO],104),"")</f>
        <v/>
      </c>
      <c r="X117" t="str">
        <f>IFERROR(INDEX(GERAL[PONTO],84),"")</f>
        <v/>
      </c>
      <c r="Y117" t="str">
        <f>IF(X117="","",IFERROR(INDEX(GERAL[ACUMULADA],84),0))</f>
        <v/>
      </c>
      <c r="Z117" t="str">
        <f t="shared" si="51"/>
        <v/>
      </c>
      <c r="AA117" t="str">
        <f t="shared" si="52"/>
        <v/>
      </c>
      <c r="AB117" t="str">
        <f t="shared" si="53"/>
        <v/>
      </c>
      <c r="AC117" t="str">
        <f>IF(X117="","",IFERROR(INDEX(DIR_ATUAL[QT %],MATCH(X117,DIR_ATUAL[PONTO],0)),0))</f>
        <v/>
      </c>
      <c r="AD117" t="str">
        <f t="shared" si="54"/>
        <v/>
      </c>
      <c r="AE117" t="str">
        <f>IF(X117="","",IF($E$9&gt;$E$8,IFERROR((INDEX(GERAL[SNAP],84)-$E$8)/($E$9-$E$8),0),0))</f>
        <v/>
      </c>
      <c r="AF117" t="str">
        <f t="shared" si="55"/>
        <v/>
      </c>
      <c r="AG117" t="str">
        <f>IFERROR(INDEX(GERAL[LADO],84),"")</f>
        <v/>
      </c>
    </row>
    <row r="118" spans="13:33" x14ac:dyDescent="0.3">
      <c r="M118" t="str">
        <f>IFERROR(INDEX(GERAL[PONTO],105),"")</f>
        <v/>
      </c>
      <c r="N118" t="str">
        <f>IF(M118="","",IFERROR(INDEX(GERAL[ACUMULADA],105),0))</f>
        <v/>
      </c>
      <c r="O118" t="str">
        <f t="shared" si="56"/>
        <v/>
      </c>
      <c r="P118" t="str">
        <f t="shared" si="57"/>
        <v/>
      </c>
      <c r="Q118" t="str">
        <f t="shared" si="58"/>
        <v/>
      </c>
      <c r="R118" t="str">
        <f>IF(M118="","",IFERROR(INDEX(Tabela7[QT %],MATCH(M118,Tabela7[PONTO],0)),0))</f>
        <v/>
      </c>
      <c r="S118" t="str">
        <f t="shared" si="59"/>
        <v/>
      </c>
      <c r="T118" t="str">
        <f>IF(M118="","",IF($B$9&gt;$B$8,IFERROR((INDEX(GERAL[SNAP],105)-$B$8)/($B$9-$B$8),0),0))</f>
        <v/>
      </c>
      <c r="U118" t="str">
        <f t="shared" si="50"/>
        <v/>
      </c>
      <c r="V118" t="str">
        <f>IFERROR(INDEX(GERAL[LADO],105),"")</f>
        <v/>
      </c>
      <c r="X118" t="str">
        <f>IFERROR(INDEX(GERAL[PONTO],85),"")</f>
        <v/>
      </c>
      <c r="Y118" t="str">
        <f>IF(X118="","",IFERROR(INDEX(GERAL[ACUMULADA],85),0))</f>
        <v/>
      </c>
      <c r="Z118" t="str">
        <f t="shared" si="51"/>
        <v/>
      </c>
      <c r="AA118" t="str">
        <f t="shared" si="52"/>
        <v/>
      </c>
      <c r="AB118" t="str">
        <f t="shared" si="53"/>
        <v/>
      </c>
      <c r="AC118" t="str">
        <f>IF(X118="","",IFERROR(INDEX(DIR_ATUAL[QT %],MATCH(X118,DIR_ATUAL[PONTO],0)),0))</f>
        <v/>
      </c>
      <c r="AD118" t="str">
        <f t="shared" si="54"/>
        <v/>
      </c>
      <c r="AE118" t="str">
        <f>IF(X118="","",IF($E$9&gt;$E$8,IFERROR((INDEX(GERAL[SNAP],85)-$E$8)/($E$9-$E$8),0),0))</f>
        <v/>
      </c>
      <c r="AF118" t="str">
        <f t="shared" si="55"/>
        <v/>
      </c>
      <c r="AG118" t="str">
        <f>IFERROR(INDEX(GERAL[LADO],85),"")</f>
        <v/>
      </c>
    </row>
    <row r="119" spans="13:33" x14ac:dyDescent="0.3">
      <c r="M119" t="str">
        <f>IFERROR(INDEX(GERAL[PONTO],106),"")</f>
        <v/>
      </c>
      <c r="N119" t="str">
        <f>IF(M119="","",IFERROR(INDEX(GERAL[ACUMULADA],106),0))</f>
        <v/>
      </c>
      <c r="O119" t="str">
        <f t="shared" si="56"/>
        <v/>
      </c>
      <c r="P119" t="str">
        <f t="shared" si="57"/>
        <v/>
      </c>
      <c r="Q119" t="str">
        <f t="shared" si="58"/>
        <v/>
      </c>
      <c r="R119" t="str">
        <f>IF(M119="","",IFERROR(INDEX(Tabela7[QT %],MATCH(M119,Tabela7[PONTO],0)),0))</f>
        <v/>
      </c>
      <c r="S119" t="str">
        <f t="shared" si="59"/>
        <v/>
      </c>
      <c r="T119" t="str">
        <f>IF(M119="","",IF($B$9&gt;$B$8,IFERROR((INDEX(GERAL[SNAP],106)-$B$8)/($B$9-$B$8),0),0))</f>
        <v/>
      </c>
      <c r="U119" t="str">
        <f t="shared" si="50"/>
        <v/>
      </c>
      <c r="V119" t="str">
        <f>IFERROR(INDEX(GERAL[LADO],106),"")</f>
        <v/>
      </c>
      <c r="X119" t="str">
        <f>IFERROR(INDEX(GERAL[PONTO],86),"")</f>
        <v/>
      </c>
      <c r="Y119" t="str">
        <f>IF(X119="","",IFERROR(INDEX(GERAL[ACUMULADA],86),0))</f>
        <v/>
      </c>
      <c r="Z119" t="str">
        <f t="shared" si="51"/>
        <v/>
      </c>
      <c r="AA119" t="str">
        <f t="shared" si="52"/>
        <v/>
      </c>
      <c r="AB119" t="str">
        <f t="shared" si="53"/>
        <v/>
      </c>
      <c r="AC119" t="str">
        <f>IF(X119="","",IFERROR(INDEX(DIR_ATUAL[QT %],MATCH(X119,DIR_ATUAL[PONTO],0)),0))</f>
        <v/>
      </c>
      <c r="AD119" t="str">
        <f t="shared" si="54"/>
        <v/>
      </c>
      <c r="AE119" t="str">
        <f>IF(X119="","",IF($E$9&gt;$E$8,IFERROR((INDEX(GERAL[SNAP],86)-$E$8)/($E$9-$E$8),0),0))</f>
        <v/>
      </c>
      <c r="AF119" t="str">
        <f t="shared" si="55"/>
        <v/>
      </c>
      <c r="AG119" t="str">
        <f>IFERROR(INDEX(GERAL[LADO],86),"")</f>
        <v/>
      </c>
    </row>
    <row r="120" spans="13:33" x14ac:dyDescent="0.3">
      <c r="M120" t="str">
        <f>IFERROR(INDEX(GERAL[PONTO],107),"")</f>
        <v/>
      </c>
      <c r="N120" t="str">
        <f>IF(M120="","",IFERROR(INDEX(GERAL[ACUMULADA],107),0))</f>
        <v/>
      </c>
      <c r="O120" t="str">
        <f t="shared" si="56"/>
        <v/>
      </c>
      <c r="P120" t="str">
        <f t="shared" si="57"/>
        <v/>
      </c>
      <c r="Q120" t="str">
        <f t="shared" si="58"/>
        <v/>
      </c>
      <c r="R120" t="str">
        <f>IF(M120="","",IFERROR(INDEX(Tabela7[QT %],MATCH(M120,Tabela7[PONTO],0)),0))</f>
        <v/>
      </c>
      <c r="S120" t="str">
        <f t="shared" si="59"/>
        <v/>
      </c>
      <c r="T120" t="str">
        <f>IF(M120="","",IF($B$9&gt;$B$8,IFERROR((INDEX(GERAL[SNAP],107)-$B$8)/($B$9-$B$8),0),0))</f>
        <v/>
      </c>
      <c r="U120" t="str">
        <f t="shared" si="50"/>
        <v/>
      </c>
      <c r="V120" t="str">
        <f>IFERROR(INDEX(GERAL[LADO],107),"")</f>
        <v/>
      </c>
      <c r="X120" t="str">
        <f>IFERROR(INDEX(GERAL[PONTO],87),"")</f>
        <v/>
      </c>
      <c r="Y120" t="str">
        <f>IF(X120="","",IFERROR(INDEX(GERAL[ACUMULADA],87),0))</f>
        <v/>
      </c>
      <c r="Z120" t="str">
        <f t="shared" si="51"/>
        <v/>
      </c>
      <c r="AA120" t="str">
        <f t="shared" si="52"/>
        <v/>
      </c>
      <c r="AB120" t="str">
        <f t="shared" si="53"/>
        <v/>
      </c>
      <c r="AC120" t="str">
        <f>IF(X120="","",IFERROR(INDEX(DIR_ATUAL[QT %],MATCH(X120,DIR_ATUAL[PONTO],0)),0))</f>
        <v/>
      </c>
      <c r="AD120" t="str">
        <f t="shared" si="54"/>
        <v/>
      </c>
      <c r="AE120" t="str">
        <f>IF(X120="","",IF($E$9&gt;$E$8,IFERROR((INDEX(GERAL[SNAP],87)-$E$8)/($E$9-$E$8),0),0))</f>
        <v/>
      </c>
      <c r="AF120" t="str">
        <f t="shared" si="55"/>
        <v/>
      </c>
      <c r="AG120" t="str">
        <f>IFERROR(INDEX(GERAL[LADO],87),"")</f>
        <v/>
      </c>
    </row>
    <row r="121" spans="13:33" x14ac:dyDescent="0.3">
      <c r="M121" t="str">
        <f>IFERROR(INDEX(GERAL[PONTO],108),"")</f>
        <v/>
      </c>
      <c r="N121" t="str">
        <f>IF(M121="","",IFERROR(INDEX(GERAL[ACUMULADA],108),0))</f>
        <v/>
      </c>
      <c r="O121" t="str">
        <f t="shared" si="56"/>
        <v/>
      </c>
      <c r="P121" t="str">
        <f t="shared" si="57"/>
        <v/>
      </c>
      <c r="Q121" t="str">
        <f t="shared" si="58"/>
        <v/>
      </c>
      <c r="R121" t="str">
        <f>IF(M121="","",IFERROR(INDEX(Tabela7[QT %],MATCH(M121,Tabela7[PONTO],0)),0))</f>
        <v/>
      </c>
      <c r="S121" t="str">
        <f t="shared" si="59"/>
        <v/>
      </c>
      <c r="T121" t="str">
        <f>IF(M121="","",IF($B$9&gt;$B$8,IFERROR((INDEX(GERAL[SNAP],108)-$B$8)/($B$9-$B$8),0),0))</f>
        <v/>
      </c>
      <c r="U121" t="str">
        <f t="shared" si="50"/>
        <v/>
      </c>
      <c r="V121" t="str">
        <f>IFERROR(INDEX(GERAL[LADO],108),"")</f>
        <v/>
      </c>
      <c r="X121" t="str">
        <f>IFERROR(INDEX(GERAL[PONTO],88),"")</f>
        <v/>
      </c>
      <c r="Y121" t="str">
        <f>IF(X121="","",IFERROR(INDEX(GERAL[ACUMULADA],88),0))</f>
        <v/>
      </c>
      <c r="Z121" t="str">
        <f t="shared" si="51"/>
        <v/>
      </c>
      <c r="AA121" t="str">
        <f t="shared" si="52"/>
        <v/>
      </c>
      <c r="AB121" t="str">
        <f t="shared" si="53"/>
        <v/>
      </c>
      <c r="AC121" t="str">
        <f>IF(X121="","",IFERROR(INDEX(DIR_ATUAL[QT %],MATCH(X121,DIR_ATUAL[PONTO],0)),0))</f>
        <v/>
      </c>
      <c r="AD121" t="str">
        <f t="shared" si="54"/>
        <v/>
      </c>
      <c r="AE121" t="str">
        <f>IF(X121="","",IF($E$9&gt;$E$8,IFERROR((INDEX(GERAL[SNAP],88)-$E$8)/($E$9-$E$8),0),0))</f>
        <v/>
      </c>
      <c r="AF121" t="str">
        <f t="shared" si="55"/>
        <v/>
      </c>
      <c r="AG121" t="str">
        <f>IFERROR(INDEX(GERAL[LADO],88),"")</f>
        <v/>
      </c>
    </row>
    <row r="122" spans="13:33" x14ac:dyDescent="0.3">
      <c r="M122" t="str">
        <f>IFERROR(INDEX(GERAL[PONTO],109),"")</f>
        <v/>
      </c>
      <c r="N122" t="str">
        <f>IF(M122="","",IFERROR(INDEX(GERAL[ACUMULADA],109),0))</f>
        <v/>
      </c>
      <c r="O122" t="str">
        <f t="shared" si="56"/>
        <v/>
      </c>
      <c r="P122" t="str">
        <f t="shared" si="57"/>
        <v/>
      </c>
      <c r="Q122" t="str">
        <f t="shared" si="58"/>
        <v/>
      </c>
      <c r="R122" t="str">
        <f>IF(M122="","",IFERROR(INDEX(Tabela7[QT %],MATCH(M122,Tabela7[PONTO],0)),0))</f>
        <v/>
      </c>
      <c r="S122" t="str">
        <f t="shared" si="59"/>
        <v/>
      </c>
      <c r="T122" t="str">
        <f>IF(M122="","",IF($B$9&gt;$B$8,IFERROR((INDEX(GERAL[SNAP],109)-$B$8)/($B$9-$B$8),0),0))</f>
        <v/>
      </c>
      <c r="U122" t="str">
        <f t="shared" si="50"/>
        <v/>
      </c>
      <c r="V122" t="str">
        <f>IFERROR(INDEX(GERAL[LADO],109),"")</f>
        <v/>
      </c>
      <c r="X122" t="str">
        <f>IFERROR(INDEX(GERAL[PONTO],89),"")</f>
        <v/>
      </c>
      <c r="Y122" t="str">
        <f>IF(X122="","",IFERROR(INDEX(GERAL[ACUMULADA],89),0))</f>
        <v/>
      </c>
      <c r="Z122" t="str">
        <f t="shared" si="51"/>
        <v/>
      </c>
      <c r="AA122" t="str">
        <f t="shared" si="52"/>
        <v/>
      </c>
      <c r="AB122" t="str">
        <f t="shared" si="53"/>
        <v/>
      </c>
      <c r="AC122" t="str">
        <f>IF(X122="","",IFERROR(INDEX(DIR_ATUAL[QT %],MATCH(X122,DIR_ATUAL[PONTO],0)),0))</f>
        <v/>
      </c>
      <c r="AD122" t="str">
        <f t="shared" si="54"/>
        <v/>
      </c>
      <c r="AE122" t="str">
        <f>IF(X122="","",IF($E$9&gt;$E$8,IFERROR((INDEX(GERAL[SNAP],89)-$E$8)/($E$9-$E$8),0),0))</f>
        <v/>
      </c>
      <c r="AF122" t="str">
        <f t="shared" si="55"/>
        <v/>
      </c>
      <c r="AG122" t="str">
        <f>IFERROR(INDEX(GERAL[LADO],89),"")</f>
        <v/>
      </c>
    </row>
    <row r="123" spans="13:33" x14ac:dyDescent="0.3">
      <c r="M123" t="str">
        <f>IFERROR(INDEX(GERAL[PONTO],110),"")</f>
        <v/>
      </c>
      <c r="N123" t="str">
        <f>IF(M123="","",IFERROR(INDEX(GERAL[ACUMULADA],110),0))</f>
        <v/>
      </c>
      <c r="O123" t="str">
        <f t="shared" si="56"/>
        <v/>
      </c>
      <c r="P123" t="str">
        <f t="shared" si="57"/>
        <v/>
      </c>
      <c r="Q123" t="str">
        <f t="shared" si="58"/>
        <v/>
      </c>
      <c r="R123" t="str">
        <f>IF(M123="","",IFERROR(INDEX(Tabela7[QT %],MATCH(M123,Tabela7[PONTO],0)),0))</f>
        <v/>
      </c>
      <c r="S123" t="str">
        <f t="shared" si="59"/>
        <v/>
      </c>
      <c r="T123" t="str">
        <f>IF(M123="","",IF($B$9&gt;$B$8,IFERROR((INDEX(GERAL[SNAP],110)-$B$8)/($B$9-$B$8),0),0))</f>
        <v/>
      </c>
      <c r="U123" t="str">
        <f t="shared" si="50"/>
        <v/>
      </c>
      <c r="V123" t="str">
        <f>IFERROR(INDEX(GERAL[LADO],110),"")</f>
        <v/>
      </c>
      <c r="X123" t="str">
        <f>IFERROR(INDEX(GERAL[PONTO],90),"")</f>
        <v/>
      </c>
      <c r="Y123" t="str">
        <f>IF(X123="","",IFERROR(INDEX(GERAL[ACUMULADA],90),0))</f>
        <v/>
      </c>
      <c r="Z123" t="str">
        <f t="shared" si="51"/>
        <v/>
      </c>
      <c r="AA123" t="str">
        <f t="shared" si="52"/>
        <v/>
      </c>
      <c r="AB123" t="str">
        <f t="shared" si="53"/>
        <v/>
      </c>
      <c r="AC123" t="str">
        <f>IF(X123="","",IFERROR(INDEX(DIR_ATUAL[QT %],MATCH(X123,DIR_ATUAL[PONTO],0)),0))</f>
        <v/>
      </c>
      <c r="AD123" t="str">
        <f t="shared" si="54"/>
        <v/>
      </c>
      <c r="AE123" t="str">
        <f>IF(X123="","",IF($E$9&gt;$E$8,IFERROR((INDEX(GERAL[SNAP],90)-$E$8)/($E$9-$E$8),0),0))</f>
        <v/>
      </c>
      <c r="AF123" t="str">
        <f t="shared" si="55"/>
        <v/>
      </c>
      <c r="AG123" t="str">
        <f>IFERROR(INDEX(GERAL[LADO],90),"")</f>
        <v/>
      </c>
    </row>
    <row r="124" spans="13:33" x14ac:dyDescent="0.3">
      <c r="M124" t="str">
        <f>IFERROR(INDEX(GERAL[PONTO],111),"")</f>
        <v/>
      </c>
      <c r="N124" t="str">
        <f>IF(M124="","",IFERROR(INDEX(GERAL[ACUMULADA],111),0))</f>
        <v/>
      </c>
      <c r="O124" t="str">
        <f t="shared" si="56"/>
        <v/>
      </c>
      <c r="P124" t="str">
        <f t="shared" si="57"/>
        <v/>
      </c>
      <c r="Q124" t="str">
        <f t="shared" si="58"/>
        <v/>
      </c>
      <c r="R124" t="str">
        <f>IF(M124="","",IFERROR(INDEX(Tabela7[QT %],MATCH(M124,Tabela7[PONTO],0)),0))</f>
        <v/>
      </c>
      <c r="S124" t="str">
        <f t="shared" si="59"/>
        <v/>
      </c>
      <c r="T124" t="str">
        <f>IF(M124="","",IF($B$9&gt;$B$8,IFERROR((INDEX(GERAL[SNAP],111)-$B$8)/($B$9-$B$8),0),0))</f>
        <v/>
      </c>
      <c r="U124" t="str">
        <f t="shared" si="50"/>
        <v/>
      </c>
      <c r="V124" t="str">
        <f>IFERROR(INDEX(GERAL[LADO],111),"")</f>
        <v/>
      </c>
      <c r="X124" t="str">
        <f>IFERROR(INDEX(GERAL[PONTO],91),"")</f>
        <v/>
      </c>
      <c r="Y124" t="str">
        <f>IF(X124="","",IFERROR(INDEX(GERAL[ACUMULADA],91),0))</f>
        <v/>
      </c>
      <c r="Z124" t="str">
        <f t="shared" si="51"/>
        <v/>
      </c>
      <c r="AA124" t="str">
        <f t="shared" si="52"/>
        <v/>
      </c>
      <c r="AB124" t="str">
        <f t="shared" si="53"/>
        <v/>
      </c>
      <c r="AC124" t="str">
        <f>IF(X124="","",IFERROR(INDEX(DIR_ATUAL[QT %],MATCH(X124,DIR_ATUAL[PONTO],0)),0))</f>
        <v/>
      </c>
      <c r="AD124" t="str">
        <f t="shared" si="54"/>
        <v/>
      </c>
      <c r="AE124" t="str">
        <f>IF(X124="","",IF($E$9&gt;$E$8,IFERROR((INDEX(GERAL[SNAP],91)-$E$8)/($E$9-$E$8),0),0))</f>
        <v/>
      </c>
      <c r="AF124" t="str">
        <f t="shared" si="55"/>
        <v/>
      </c>
      <c r="AG124" t="str">
        <f>IFERROR(INDEX(GERAL[LADO],91),"")</f>
        <v/>
      </c>
    </row>
    <row r="125" spans="13:33" x14ac:dyDescent="0.3">
      <c r="M125" t="str">
        <f>IFERROR(INDEX(GERAL[PONTO],112),"")</f>
        <v/>
      </c>
      <c r="N125" t="str">
        <f>IF(M125="","",IFERROR(INDEX(GERAL[ACUMULADA],112),0))</f>
        <v/>
      </c>
      <c r="O125" t="str">
        <f t="shared" si="56"/>
        <v/>
      </c>
      <c r="P125" t="str">
        <f t="shared" si="57"/>
        <v/>
      </c>
      <c r="Q125" t="str">
        <f t="shared" si="58"/>
        <v/>
      </c>
      <c r="R125" t="str">
        <f>IF(M125="","",IFERROR(INDEX(Tabela7[QT %],MATCH(M125,Tabela7[PONTO],0)),0))</f>
        <v/>
      </c>
      <c r="S125" t="str">
        <f t="shared" si="59"/>
        <v/>
      </c>
      <c r="T125" t="str">
        <f>IF(M125="","",IF($B$9&gt;$B$8,IFERROR((INDEX(GERAL[SNAP],112)-$B$8)/($B$9-$B$8),0),0))</f>
        <v/>
      </c>
      <c r="U125" t="str">
        <f t="shared" si="50"/>
        <v/>
      </c>
      <c r="V125" t="str">
        <f>IFERROR(INDEX(GERAL[LADO],112),"")</f>
        <v/>
      </c>
      <c r="X125" t="str">
        <f>IFERROR(INDEX(GERAL[PONTO],92),"")</f>
        <v/>
      </c>
      <c r="Y125" t="str">
        <f>IF(X125="","",IFERROR(INDEX(GERAL[ACUMULADA],92),0))</f>
        <v/>
      </c>
      <c r="Z125" t="str">
        <f t="shared" si="51"/>
        <v/>
      </c>
      <c r="AA125" t="str">
        <f t="shared" si="52"/>
        <v/>
      </c>
      <c r="AB125" t="str">
        <f t="shared" si="53"/>
        <v/>
      </c>
      <c r="AC125" t="str">
        <f>IF(X125="","",IFERROR(INDEX(DIR_ATUAL[QT %],MATCH(X125,DIR_ATUAL[PONTO],0)),0))</f>
        <v/>
      </c>
      <c r="AD125" t="str">
        <f t="shared" si="54"/>
        <v/>
      </c>
      <c r="AE125" t="str">
        <f>IF(X125="","",IF($E$9&gt;$E$8,IFERROR((INDEX(GERAL[SNAP],92)-$E$8)/($E$9-$E$8),0),0))</f>
        <v/>
      </c>
      <c r="AF125" t="str">
        <f t="shared" si="55"/>
        <v/>
      </c>
      <c r="AG125" t="str">
        <f>IFERROR(INDEX(GERAL[LADO],92),"")</f>
        <v/>
      </c>
    </row>
    <row r="126" spans="13:33" x14ac:dyDescent="0.3">
      <c r="M126" t="str">
        <f>IFERROR(INDEX(GERAL[PONTO],113),"")</f>
        <v/>
      </c>
      <c r="N126" t="str">
        <f>IF(M126="","",IFERROR(INDEX(GERAL[ACUMULADA],113),0))</f>
        <v/>
      </c>
      <c r="O126" t="str">
        <f t="shared" si="56"/>
        <v/>
      </c>
      <c r="P126" t="str">
        <f t="shared" si="57"/>
        <v/>
      </c>
      <c r="Q126" t="str">
        <f t="shared" si="58"/>
        <v/>
      </c>
      <c r="R126" t="str">
        <f>IF(M126="","",IFERROR(INDEX(Tabela7[QT %],MATCH(M126,Tabela7[PONTO],0)),0))</f>
        <v/>
      </c>
      <c r="S126" t="str">
        <f t="shared" si="59"/>
        <v/>
      </c>
      <c r="T126" t="str">
        <f>IF(M126="","",IF($B$9&gt;$B$8,IFERROR((INDEX(GERAL[SNAP],113)-$B$8)/($B$9-$B$8),0),0))</f>
        <v/>
      </c>
      <c r="U126" t="str">
        <f t="shared" si="50"/>
        <v/>
      </c>
      <c r="V126" t="str">
        <f>IFERROR(INDEX(GERAL[LADO],113),"")</f>
        <v/>
      </c>
      <c r="X126" t="str">
        <f>IFERROR(INDEX(GERAL[PONTO],93),"")</f>
        <v/>
      </c>
      <c r="Y126" t="str">
        <f>IF(X126="","",IFERROR(INDEX(GERAL[ACUMULADA],93),0))</f>
        <v/>
      </c>
      <c r="Z126" t="str">
        <f t="shared" si="51"/>
        <v/>
      </c>
      <c r="AA126" t="str">
        <f t="shared" si="52"/>
        <v/>
      </c>
      <c r="AB126" t="str">
        <f t="shared" si="53"/>
        <v/>
      </c>
      <c r="AC126" t="str">
        <f>IF(X126="","",IFERROR(INDEX(DIR_ATUAL[QT %],MATCH(X126,DIR_ATUAL[PONTO],0)),0))</f>
        <v/>
      </c>
      <c r="AD126" t="str">
        <f t="shared" si="54"/>
        <v/>
      </c>
      <c r="AE126" t="str">
        <f>IF(X126="","",IF($E$9&gt;$E$8,IFERROR((INDEX(GERAL[SNAP],93)-$E$8)/($E$9-$E$8),0),0))</f>
        <v/>
      </c>
      <c r="AF126" t="str">
        <f t="shared" si="55"/>
        <v/>
      </c>
      <c r="AG126" t="str">
        <f>IFERROR(INDEX(GERAL[LADO],93),"")</f>
        <v/>
      </c>
    </row>
    <row r="127" spans="13:33" x14ac:dyDescent="0.3">
      <c r="M127" t="str">
        <f>IFERROR(INDEX(GERAL[PONTO],114),"")</f>
        <v/>
      </c>
      <c r="N127" t="str">
        <f>IF(M127="","",IFERROR(INDEX(GERAL[ACUMULADA],114),0))</f>
        <v/>
      </c>
      <c r="O127" t="str">
        <f t="shared" si="56"/>
        <v/>
      </c>
      <c r="P127" t="str">
        <f t="shared" si="57"/>
        <v/>
      </c>
      <c r="Q127" t="str">
        <f t="shared" si="58"/>
        <v/>
      </c>
      <c r="R127" t="str">
        <f>IF(M127="","",IFERROR(INDEX(Tabela7[QT %],MATCH(M127,Tabela7[PONTO],0)),0))</f>
        <v/>
      </c>
      <c r="S127" t="str">
        <f t="shared" si="59"/>
        <v/>
      </c>
      <c r="T127" t="str">
        <f>IF(M127="","",IF($B$9&gt;$B$8,IFERROR((INDEX(GERAL[SNAP],114)-$B$8)/($B$9-$B$8),0),0))</f>
        <v/>
      </c>
      <c r="U127" t="str">
        <f t="shared" si="50"/>
        <v/>
      </c>
      <c r="V127" t="str">
        <f>IFERROR(INDEX(GERAL[LADO],114),"")</f>
        <v/>
      </c>
      <c r="X127" t="str">
        <f>IFERROR(INDEX(GERAL[PONTO],94),"")</f>
        <v/>
      </c>
      <c r="Y127" t="str">
        <f>IF(X127="","",IFERROR(INDEX(GERAL[ACUMULADA],94),0))</f>
        <v/>
      </c>
      <c r="Z127" t="str">
        <f t="shared" si="51"/>
        <v/>
      </c>
      <c r="AA127" t="str">
        <f t="shared" si="52"/>
        <v/>
      </c>
      <c r="AB127" t="str">
        <f t="shared" si="53"/>
        <v/>
      </c>
      <c r="AC127" t="str">
        <f>IF(X127="","",IFERROR(INDEX(DIR_ATUAL[QT %],MATCH(X127,DIR_ATUAL[PONTO],0)),0))</f>
        <v/>
      </c>
      <c r="AD127" t="str">
        <f t="shared" si="54"/>
        <v/>
      </c>
      <c r="AE127" t="str">
        <f>IF(X127="","",IF($E$9&gt;$E$8,IFERROR((INDEX(GERAL[SNAP],94)-$E$8)/($E$9-$E$8),0),0))</f>
        <v/>
      </c>
      <c r="AF127" t="str">
        <f t="shared" si="55"/>
        <v/>
      </c>
      <c r="AG127" t="str">
        <f>IFERROR(INDEX(GERAL[LADO],94),"")</f>
        <v/>
      </c>
    </row>
    <row r="128" spans="13:33" x14ac:dyDescent="0.3">
      <c r="M128" t="str">
        <f>IFERROR(INDEX(GERAL[PONTO],115),"")</f>
        <v/>
      </c>
      <c r="N128" t="str">
        <f>IF(M128="","",IFERROR(INDEX(GERAL[ACUMULADA],115),0))</f>
        <v/>
      </c>
      <c r="O128" t="str">
        <f t="shared" si="56"/>
        <v/>
      </c>
      <c r="P128" t="str">
        <f t="shared" si="57"/>
        <v/>
      </c>
      <c r="Q128" t="str">
        <f t="shared" si="58"/>
        <v/>
      </c>
      <c r="R128" t="str">
        <f>IF(M128="","",IFERROR(INDEX(Tabela7[QT %],MATCH(M128,Tabela7[PONTO],0)),0))</f>
        <v/>
      </c>
      <c r="S128" t="str">
        <f t="shared" si="59"/>
        <v/>
      </c>
      <c r="T128" t="str">
        <f>IF(M128="","",IF($B$9&gt;$B$8,IFERROR((INDEX(GERAL[SNAP],115)-$B$8)/($B$9-$B$8),0),0))</f>
        <v/>
      </c>
      <c r="U128" t="str">
        <f t="shared" si="50"/>
        <v/>
      </c>
      <c r="V128" t="str">
        <f>IFERROR(INDEX(GERAL[LADO],115),"")</f>
        <v/>
      </c>
      <c r="X128" t="str">
        <f>IFERROR(INDEX(GERAL[PONTO],95),"")</f>
        <v/>
      </c>
      <c r="Y128" t="str">
        <f>IF(X128="","",IFERROR(INDEX(GERAL[ACUMULADA],95),0))</f>
        <v/>
      </c>
      <c r="Z128" t="str">
        <f t="shared" si="51"/>
        <v/>
      </c>
      <c r="AA128" t="str">
        <f t="shared" si="52"/>
        <v/>
      </c>
      <c r="AB128" t="str">
        <f t="shared" si="53"/>
        <v/>
      </c>
      <c r="AC128" t="str">
        <f>IF(X128="","",IFERROR(INDEX(DIR_ATUAL[QT %],MATCH(X128,DIR_ATUAL[PONTO],0)),0))</f>
        <v/>
      </c>
      <c r="AD128" t="str">
        <f t="shared" si="54"/>
        <v/>
      </c>
      <c r="AE128" t="str">
        <f>IF(X128="","",IF($E$9&gt;$E$8,IFERROR((INDEX(GERAL[SNAP],95)-$E$8)/($E$9-$E$8),0),0))</f>
        <v/>
      </c>
      <c r="AF128" t="str">
        <f t="shared" si="55"/>
        <v/>
      </c>
      <c r="AG128" t="str">
        <f>IFERROR(INDEX(GERAL[LADO],95),"")</f>
        <v/>
      </c>
    </row>
    <row r="129" spans="13:33" x14ac:dyDescent="0.3">
      <c r="M129" t="str">
        <f>IFERROR(INDEX(GERAL[PONTO],116),"")</f>
        <v/>
      </c>
      <c r="N129" t="str">
        <f>IF(M129="","",IFERROR(INDEX(GERAL[ACUMULADA],116),0))</f>
        <v/>
      </c>
      <c r="O129" t="str">
        <f t="shared" si="56"/>
        <v/>
      </c>
      <c r="P129" t="str">
        <f t="shared" si="57"/>
        <v/>
      </c>
      <c r="Q129" t="str">
        <f t="shared" si="58"/>
        <v/>
      </c>
      <c r="R129" t="str">
        <f>IF(M129="","",IFERROR(INDEX(Tabela7[QT %],MATCH(M129,Tabela7[PONTO],0)),0))</f>
        <v/>
      </c>
      <c r="S129" t="str">
        <f t="shared" si="59"/>
        <v/>
      </c>
      <c r="T129" t="str">
        <f>IF(M129="","",IF($B$9&gt;$B$8,IFERROR((INDEX(GERAL[SNAP],116)-$B$8)/($B$9-$B$8),0),0))</f>
        <v/>
      </c>
      <c r="U129" t="str">
        <f t="shared" si="50"/>
        <v/>
      </c>
      <c r="V129" t="str">
        <f>IFERROR(INDEX(GERAL[LADO],116),"")</f>
        <v/>
      </c>
      <c r="X129" t="str">
        <f>IFERROR(INDEX(GERAL[PONTO],96),"")</f>
        <v/>
      </c>
      <c r="Y129" t="str">
        <f>IF(X129="","",IFERROR(INDEX(GERAL[ACUMULADA],96),0))</f>
        <v/>
      </c>
      <c r="Z129" t="str">
        <f t="shared" si="51"/>
        <v/>
      </c>
      <c r="AA129" t="str">
        <f t="shared" si="52"/>
        <v/>
      </c>
      <c r="AB129" t="str">
        <f t="shared" si="53"/>
        <v/>
      </c>
      <c r="AC129" t="str">
        <f>IF(X129="","",IFERROR(INDEX(DIR_ATUAL[QT %],MATCH(X129,DIR_ATUAL[PONTO],0)),0))</f>
        <v/>
      </c>
      <c r="AD129" t="str">
        <f t="shared" si="54"/>
        <v/>
      </c>
      <c r="AE129" t="str">
        <f>IF(X129="","",IF($E$9&gt;$E$8,IFERROR((INDEX(GERAL[SNAP],96)-$E$8)/($E$9-$E$8),0),0))</f>
        <v/>
      </c>
      <c r="AF129" t="str">
        <f t="shared" si="55"/>
        <v/>
      </c>
      <c r="AG129" t="str">
        <f>IFERROR(INDEX(GERAL[LADO],96),"")</f>
        <v/>
      </c>
    </row>
    <row r="130" spans="13:33" x14ac:dyDescent="0.3">
      <c r="M130" t="str">
        <f>IFERROR(INDEX(GERAL[PONTO],117),"")</f>
        <v/>
      </c>
      <c r="N130" t="str">
        <f>IF(M130="","",IFERROR(INDEX(GERAL[ACUMULADA],117),0))</f>
        <v/>
      </c>
      <c r="O130" t="str">
        <f t="shared" si="56"/>
        <v/>
      </c>
      <c r="P130" t="str">
        <f t="shared" si="57"/>
        <v/>
      </c>
      <c r="Q130" t="str">
        <f t="shared" si="58"/>
        <v/>
      </c>
      <c r="R130" t="str">
        <f>IF(M130="","",IFERROR(INDEX(Tabela7[QT %],MATCH(M130,Tabela7[PONTO],0)),0))</f>
        <v/>
      </c>
      <c r="S130" t="str">
        <f t="shared" si="59"/>
        <v/>
      </c>
      <c r="T130" t="str">
        <f>IF(M130="","",IF($B$9&gt;$B$8,IFERROR((INDEX(GERAL[SNAP],117)-$B$8)/($B$9-$B$8),0),0))</f>
        <v/>
      </c>
      <c r="U130" t="str">
        <f t="shared" si="50"/>
        <v/>
      </c>
      <c r="V130" t="str">
        <f>IFERROR(INDEX(GERAL[LADO],117),"")</f>
        <v/>
      </c>
      <c r="X130" t="str">
        <f>IFERROR(INDEX(GERAL[PONTO],97),"")</f>
        <v/>
      </c>
      <c r="Y130" t="str">
        <f>IF(X130="","",IFERROR(INDEX(GERAL[ACUMULADA],97),0))</f>
        <v/>
      </c>
      <c r="Z130" t="str">
        <f t="shared" ref="Z130:Z161" si="60">IF(Y130="","",$B$31-Y130)</f>
        <v/>
      </c>
      <c r="AA130" t="str">
        <f t="shared" ref="AA130:AA161" si="61">IF(Y130="","",IF(Y130*1.15&lt;=30,30,IF(Y130*1.15&lt;=45,45,IF(Y130*1.15&lt;=75,75,IF(Y130*1.15&lt;=112.5,112.5,IF(Y130*1.15&lt;=150,150,IF(Y130*1.15&lt;=225,225,300)))))))</f>
        <v/>
      </c>
      <c r="AB130" t="str">
        <f t="shared" ref="AB130:AB161" si="62">IF(AA130="","",IFERROR(Y130/AA130,0))</f>
        <v/>
      </c>
      <c r="AC130" t="str">
        <f>IF(X130="","",IFERROR(INDEX(DIR_ATUAL[QT %],MATCH(X130,DIR_ATUAL[PONTO],0)),0))</f>
        <v/>
      </c>
      <c r="AD130" t="str">
        <f t="shared" ref="AD130:AD161" si="63">IF(Y130="","",IFERROR(1-ABS(Y130-Z130)/$B$31,0))</f>
        <v/>
      </c>
      <c r="AE130" t="str">
        <f>IF(X130="","",IF($E$9&gt;$E$8,IFERROR((INDEX(GERAL[SNAP],97)-$E$8)/($E$9-$E$8),0),0))</f>
        <v/>
      </c>
      <c r="AF130" t="str">
        <f t="shared" si="55"/>
        <v/>
      </c>
      <c r="AG130" t="str">
        <f>IFERROR(INDEX(GERAL[LADO],97),"")</f>
        <v/>
      </c>
    </row>
    <row r="131" spans="13:33" x14ac:dyDescent="0.3">
      <c r="M131" t="str">
        <f>IFERROR(INDEX(GERAL[PONTO],118),"")</f>
        <v/>
      </c>
      <c r="N131" t="str">
        <f>IF(M131="","",IFERROR(INDEX(GERAL[ACUMULADA],118),0))</f>
        <v/>
      </c>
      <c r="O131" t="str">
        <f t="shared" si="56"/>
        <v/>
      </c>
      <c r="P131" t="str">
        <f t="shared" si="57"/>
        <v/>
      </c>
      <c r="Q131" t="str">
        <f t="shared" si="58"/>
        <v/>
      </c>
      <c r="R131" t="str">
        <f>IF(M131="","",IFERROR(INDEX(Tabela7[QT %],MATCH(M131,Tabela7[PONTO],0)),0))</f>
        <v/>
      </c>
      <c r="S131" t="str">
        <f t="shared" si="59"/>
        <v/>
      </c>
      <c r="T131" t="str">
        <f>IF(M131="","",IF($B$9&gt;$B$8,IFERROR((INDEX(GERAL[SNAP],118)-$B$8)/($B$9-$B$8),0),0))</f>
        <v/>
      </c>
      <c r="U131" t="str">
        <f t="shared" si="50"/>
        <v/>
      </c>
      <c r="V131" t="str">
        <f>IFERROR(INDEX(GERAL[LADO],118),"")</f>
        <v/>
      </c>
      <c r="X131" t="str">
        <f>IFERROR(INDEX(GERAL[PONTO],98),"")</f>
        <v/>
      </c>
      <c r="Y131" t="str">
        <f>IF(X131="","",IFERROR(INDEX(GERAL[ACUMULADA],98),0))</f>
        <v/>
      </c>
      <c r="Z131" t="str">
        <f t="shared" si="60"/>
        <v/>
      </c>
      <c r="AA131" t="str">
        <f t="shared" si="61"/>
        <v/>
      </c>
      <c r="AB131" t="str">
        <f t="shared" si="62"/>
        <v/>
      </c>
      <c r="AC131" t="str">
        <f>IF(X131="","",IFERROR(INDEX(DIR_ATUAL[QT %],MATCH(X131,DIR_ATUAL[PONTO],0)),0))</f>
        <v/>
      </c>
      <c r="AD131" t="str">
        <f t="shared" si="63"/>
        <v/>
      </c>
      <c r="AE131" t="str">
        <f>IF(X131="","",IF($E$9&gt;$E$8,IFERROR((INDEX(GERAL[SNAP],98)-$E$8)/($E$9-$E$8),0),0))</f>
        <v/>
      </c>
      <c r="AF131" t="str">
        <f t="shared" si="55"/>
        <v/>
      </c>
      <c r="AG131" t="str">
        <f>IFERROR(INDEX(GERAL[LADO],98),"")</f>
        <v/>
      </c>
    </row>
    <row r="132" spans="13:33" x14ac:dyDescent="0.3">
      <c r="M132" t="str">
        <f>IFERROR(INDEX(GERAL[PONTO],119),"")</f>
        <v/>
      </c>
      <c r="N132" t="str">
        <f>IF(M132="","",IFERROR(INDEX(GERAL[ACUMULADA],119),0))</f>
        <v/>
      </c>
      <c r="O132" t="str">
        <f t="shared" si="56"/>
        <v/>
      </c>
      <c r="P132" t="str">
        <f t="shared" si="57"/>
        <v/>
      </c>
      <c r="Q132" t="str">
        <f t="shared" si="58"/>
        <v/>
      </c>
      <c r="R132" t="str">
        <f>IF(M132="","",IFERROR(INDEX(Tabela7[QT %],MATCH(M132,Tabela7[PONTO],0)),0))</f>
        <v/>
      </c>
      <c r="S132" t="str">
        <f t="shared" si="59"/>
        <v/>
      </c>
      <c r="T132" t="str">
        <f>IF(M132="","",IF($B$9&gt;$B$8,IFERROR((INDEX(GERAL[SNAP],119)-$B$8)/($B$9-$B$8),0),0))</f>
        <v/>
      </c>
      <c r="U132" t="str">
        <f t="shared" si="50"/>
        <v/>
      </c>
      <c r="V132" t="str">
        <f>IFERROR(INDEX(GERAL[LADO],119),"")</f>
        <v/>
      </c>
      <c r="X132" t="str">
        <f>IFERROR(INDEX(GERAL[PONTO],99),"")</f>
        <v/>
      </c>
      <c r="Y132" t="str">
        <f>IF(X132="","",IFERROR(INDEX(GERAL[ACUMULADA],99),0))</f>
        <v/>
      </c>
      <c r="Z132" t="str">
        <f t="shared" si="60"/>
        <v/>
      </c>
      <c r="AA132" t="str">
        <f t="shared" si="61"/>
        <v/>
      </c>
      <c r="AB132" t="str">
        <f t="shared" si="62"/>
        <v/>
      </c>
      <c r="AC132" t="str">
        <f>IF(X132="","",IFERROR(INDEX(DIR_ATUAL[QT %],MATCH(X132,DIR_ATUAL[PONTO],0)),0))</f>
        <v/>
      </c>
      <c r="AD132" t="str">
        <f t="shared" si="63"/>
        <v/>
      </c>
      <c r="AE132" t="str">
        <f>IF(X132="","",IF($E$9&gt;$E$8,IFERROR((INDEX(GERAL[SNAP],99)-$E$8)/($E$9-$E$8),0),0))</f>
        <v/>
      </c>
      <c r="AF132" t="str">
        <f t="shared" si="55"/>
        <v/>
      </c>
      <c r="AG132" t="str">
        <f>IFERROR(INDEX(GERAL[LADO],99),"")</f>
        <v/>
      </c>
    </row>
    <row r="133" spans="13:33" x14ac:dyDescent="0.3">
      <c r="M133" t="str">
        <f>IFERROR(INDEX(GERAL[PONTO],120),"")</f>
        <v/>
      </c>
      <c r="N133" t="str">
        <f>IF(M133="","",IFERROR(INDEX(GERAL[ACUMULADA],120),0))</f>
        <v/>
      </c>
      <c r="O133" t="str">
        <f t="shared" si="56"/>
        <v/>
      </c>
      <c r="P133" t="str">
        <f t="shared" si="57"/>
        <v/>
      </c>
      <c r="Q133" t="str">
        <f t="shared" si="58"/>
        <v/>
      </c>
      <c r="R133" t="str">
        <f>IF(M133="","",IFERROR(INDEX(Tabela7[QT %],MATCH(M133,Tabela7[PONTO],0)),0))</f>
        <v/>
      </c>
      <c r="S133" t="str">
        <f t="shared" si="59"/>
        <v/>
      </c>
      <c r="T133" t="str">
        <f>IF(M133="","",IF($B$9&gt;$B$8,IFERROR((INDEX(GERAL[SNAP],120)-$B$8)/($B$9-$B$8),0),0))</f>
        <v/>
      </c>
      <c r="U133" t="str">
        <f t="shared" si="50"/>
        <v/>
      </c>
      <c r="V133" t="str">
        <f>IFERROR(INDEX(GERAL[LADO],120),"")</f>
        <v/>
      </c>
      <c r="X133" t="str">
        <f>IFERROR(INDEX(GERAL[PONTO],100),"")</f>
        <v/>
      </c>
      <c r="Y133" t="str">
        <f>IF(X133="","",IFERROR(INDEX(GERAL[ACUMULADA],100),0))</f>
        <v/>
      </c>
      <c r="Z133" t="str">
        <f t="shared" si="60"/>
        <v/>
      </c>
      <c r="AA133" t="str">
        <f t="shared" si="61"/>
        <v/>
      </c>
      <c r="AB133" t="str">
        <f t="shared" si="62"/>
        <v/>
      </c>
      <c r="AC133" t="str">
        <f>IF(X133="","",IFERROR(INDEX(DIR_ATUAL[QT %],MATCH(X133,DIR_ATUAL[PONTO],0)),0))</f>
        <v/>
      </c>
      <c r="AD133" t="str">
        <f t="shared" si="63"/>
        <v/>
      </c>
      <c r="AE133" t="str">
        <f>IF(X133="","",IF($E$9&gt;$E$8,IFERROR((INDEX(GERAL[SNAP],100)-$E$8)/($E$9-$E$8),0),0))</f>
        <v/>
      </c>
      <c r="AF133" t="str">
        <f t="shared" si="55"/>
        <v/>
      </c>
      <c r="AG133" t="str">
        <f>IFERROR(INDEX(GERAL[LADO],100),"")</f>
        <v/>
      </c>
    </row>
    <row r="134" spans="13:33" x14ac:dyDescent="0.3">
      <c r="M134" t="str">
        <f>IFERROR(INDEX(GERAL[PONTO],121),"")</f>
        <v/>
      </c>
      <c r="N134" t="str">
        <f>IF(M134="","",IFERROR(INDEX(GERAL[ACUMULADA],121),0))</f>
        <v/>
      </c>
      <c r="O134" t="str">
        <f t="shared" si="56"/>
        <v/>
      </c>
      <c r="P134" t="str">
        <f t="shared" si="57"/>
        <v/>
      </c>
      <c r="Q134" t="str">
        <f t="shared" si="58"/>
        <v/>
      </c>
      <c r="R134" t="str">
        <f>IF(M134="","",IFERROR(INDEX(Tabela7[QT %],MATCH(M134,Tabela7[PONTO],0)),0))</f>
        <v/>
      </c>
      <c r="S134" t="str">
        <f t="shared" si="59"/>
        <v/>
      </c>
      <c r="T134" t="str">
        <f>IF(M134="","",IF($B$9&gt;$B$8,IFERROR((INDEX(GERAL[SNAP],121)-$B$8)/($B$9-$B$8),0),0))</f>
        <v/>
      </c>
      <c r="U134" t="str">
        <f t="shared" si="50"/>
        <v/>
      </c>
      <c r="V134" t="str">
        <f>IFERROR(INDEX(GERAL[LADO],121),"")</f>
        <v/>
      </c>
      <c r="X134" t="str">
        <f>IFERROR(INDEX(GERAL[PONTO],101),"")</f>
        <v/>
      </c>
      <c r="Y134" t="str">
        <f>IF(X134="","",IFERROR(INDEX(GERAL[ACUMULADA],101),0))</f>
        <v/>
      </c>
      <c r="Z134" t="str">
        <f t="shared" si="60"/>
        <v/>
      </c>
      <c r="AA134" t="str">
        <f t="shared" si="61"/>
        <v/>
      </c>
      <c r="AB134" t="str">
        <f t="shared" si="62"/>
        <v/>
      </c>
      <c r="AC134" t="str">
        <f>IF(X134="","",IFERROR(INDEX(DIR_ATUAL[QT %],MATCH(X134,DIR_ATUAL[PONTO],0)),0))</f>
        <v/>
      </c>
      <c r="AD134" t="str">
        <f t="shared" si="63"/>
        <v/>
      </c>
      <c r="AE134" t="str">
        <f>IF(X134="","",IF($E$9&gt;$E$8,IFERROR((INDEX(GERAL[SNAP],101)-$E$8)/($E$9-$E$8),0),0))</f>
        <v/>
      </c>
      <c r="AF134" t="str">
        <f t="shared" si="55"/>
        <v/>
      </c>
      <c r="AG134" t="str">
        <f>IFERROR(INDEX(GERAL[LADO],101),"")</f>
        <v/>
      </c>
    </row>
    <row r="135" spans="13:33" x14ac:dyDescent="0.3">
      <c r="M135" t="str">
        <f>IFERROR(INDEX(GERAL[PONTO],122),"")</f>
        <v/>
      </c>
      <c r="N135" t="str">
        <f>IF(M135="","",IFERROR(INDEX(GERAL[ACUMULADA],122),0))</f>
        <v/>
      </c>
      <c r="O135" t="str">
        <f t="shared" si="56"/>
        <v/>
      </c>
      <c r="P135" t="str">
        <f t="shared" si="57"/>
        <v/>
      </c>
      <c r="Q135" t="str">
        <f t="shared" si="58"/>
        <v/>
      </c>
      <c r="R135" t="str">
        <f>IF(M135="","",IFERROR(INDEX(Tabela7[QT %],MATCH(M135,Tabela7[PONTO],0)),0))</f>
        <v/>
      </c>
      <c r="S135" t="str">
        <f t="shared" si="59"/>
        <v/>
      </c>
      <c r="T135" t="str">
        <f>IF(M135="","",IF($B$9&gt;$B$8,IFERROR((INDEX(GERAL[SNAP],122)-$B$8)/($B$9-$B$8),0),0))</f>
        <v/>
      </c>
      <c r="U135" t="str">
        <f t="shared" si="50"/>
        <v/>
      </c>
      <c r="V135" t="str">
        <f>IFERROR(INDEX(GERAL[LADO],122),"")</f>
        <v/>
      </c>
      <c r="X135" t="str">
        <f>IFERROR(INDEX(GERAL[PONTO],102),"")</f>
        <v/>
      </c>
      <c r="Y135" t="str">
        <f>IF(X135="","",IFERROR(INDEX(GERAL[ACUMULADA],102),0))</f>
        <v/>
      </c>
      <c r="Z135" t="str">
        <f t="shared" si="60"/>
        <v/>
      </c>
      <c r="AA135" t="str">
        <f t="shared" si="61"/>
        <v/>
      </c>
      <c r="AB135" t="str">
        <f t="shared" si="62"/>
        <v/>
      </c>
      <c r="AC135" t="str">
        <f>IF(X135="","",IFERROR(INDEX(DIR_ATUAL[QT %],MATCH(X135,DIR_ATUAL[PONTO],0)),0))</f>
        <v/>
      </c>
      <c r="AD135" t="str">
        <f t="shared" si="63"/>
        <v/>
      </c>
      <c r="AE135" t="str">
        <f>IF(X135="","",IF($E$9&gt;$E$8,IFERROR((INDEX(GERAL[SNAP],102)-$E$8)/($E$9-$E$8),0),0))</f>
        <v/>
      </c>
      <c r="AF135" t="str">
        <f t="shared" si="55"/>
        <v/>
      </c>
      <c r="AG135" t="str">
        <f>IFERROR(INDEX(GERAL[LADO],102),"")</f>
        <v/>
      </c>
    </row>
    <row r="136" spans="13:33" x14ac:dyDescent="0.3">
      <c r="M136" t="str">
        <f>IFERROR(INDEX(GERAL[PONTO],123),"")</f>
        <v/>
      </c>
      <c r="N136" t="str">
        <f>IF(M136="","",IFERROR(INDEX(GERAL[ACUMULADA],123),0))</f>
        <v/>
      </c>
      <c r="O136" t="str">
        <f t="shared" si="56"/>
        <v/>
      </c>
      <c r="P136" t="str">
        <f t="shared" si="57"/>
        <v/>
      </c>
      <c r="Q136" t="str">
        <f t="shared" si="58"/>
        <v/>
      </c>
      <c r="R136" t="str">
        <f>IF(M136="","",IFERROR(INDEX(Tabela7[QT %],MATCH(M136,Tabela7[PONTO],0)),0))</f>
        <v/>
      </c>
      <c r="S136" t="str">
        <f t="shared" si="59"/>
        <v/>
      </c>
      <c r="T136" t="str">
        <f>IF(M136="","",IF($B$9&gt;$B$8,IFERROR((INDEX(GERAL[SNAP],123)-$B$8)/($B$9-$B$8),0),0))</f>
        <v/>
      </c>
      <c r="U136" t="str">
        <f t="shared" si="50"/>
        <v/>
      </c>
      <c r="V136" t="str">
        <f>IFERROR(INDEX(GERAL[LADO],123),"")</f>
        <v/>
      </c>
      <c r="X136" t="str">
        <f>IFERROR(INDEX(GERAL[PONTO],103),"")</f>
        <v/>
      </c>
      <c r="Y136" t="str">
        <f>IF(X136="","",IFERROR(INDEX(GERAL[ACUMULADA],103),0))</f>
        <v/>
      </c>
      <c r="Z136" t="str">
        <f t="shared" si="60"/>
        <v/>
      </c>
      <c r="AA136" t="str">
        <f t="shared" si="61"/>
        <v/>
      </c>
      <c r="AB136" t="str">
        <f t="shared" si="62"/>
        <v/>
      </c>
      <c r="AC136" t="str">
        <f>IF(X136="","",IFERROR(INDEX(DIR_ATUAL[QT %],MATCH(X136,DIR_ATUAL[PONTO],0)),0))</f>
        <v/>
      </c>
      <c r="AD136" t="str">
        <f t="shared" si="63"/>
        <v/>
      </c>
      <c r="AE136" t="str">
        <f>IF(X136="","",IF($E$9&gt;$E$8,IFERROR((INDEX(GERAL[SNAP],103)-$E$8)/($E$9-$E$8),0),0))</f>
        <v/>
      </c>
      <c r="AF136" t="str">
        <f t="shared" si="55"/>
        <v/>
      </c>
      <c r="AG136" t="str">
        <f>IFERROR(INDEX(GERAL[LADO],103),"")</f>
        <v/>
      </c>
    </row>
    <row r="137" spans="13:33" x14ac:dyDescent="0.3">
      <c r="M137" t="str">
        <f>IFERROR(INDEX(GERAL[PONTO],124),"")</f>
        <v/>
      </c>
      <c r="N137" t="str">
        <f>IF(M137="","",IFERROR(INDEX(GERAL[ACUMULADA],124),0))</f>
        <v/>
      </c>
      <c r="O137" t="str">
        <f t="shared" si="56"/>
        <v/>
      </c>
      <c r="P137" t="str">
        <f t="shared" si="57"/>
        <v/>
      </c>
      <c r="Q137" t="str">
        <f t="shared" si="58"/>
        <v/>
      </c>
      <c r="R137" t="str">
        <f>IF(M137="","",IFERROR(INDEX(Tabela7[QT %],MATCH(M137,Tabela7[PONTO],0)),0))</f>
        <v/>
      </c>
      <c r="S137" t="str">
        <f t="shared" si="59"/>
        <v/>
      </c>
      <c r="T137" t="str">
        <f>IF(M137="","",IF($B$9&gt;$B$8,IFERROR((INDEX(GERAL[SNAP],124)-$B$8)/($B$9-$B$8),0),0))</f>
        <v/>
      </c>
      <c r="U137" t="str">
        <f t="shared" si="50"/>
        <v/>
      </c>
      <c r="V137" t="str">
        <f>IFERROR(INDEX(GERAL[LADO],124),"")</f>
        <v/>
      </c>
      <c r="X137" t="str">
        <f>IFERROR(INDEX(GERAL[PONTO],104),"")</f>
        <v/>
      </c>
      <c r="Y137" t="str">
        <f>IF(X137="","",IFERROR(INDEX(GERAL[ACUMULADA],104),0))</f>
        <v/>
      </c>
      <c r="Z137" t="str">
        <f t="shared" si="60"/>
        <v/>
      </c>
      <c r="AA137" t="str">
        <f t="shared" si="61"/>
        <v/>
      </c>
      <c r="AB137" t="str">
        <f t="shared" si="62"/>
        <v/>
      </c>
      <c r="AC137" t="str">
        <f>IF(X137="","",IFERROR(INDEX(DIR_ATUAL[QT %],MATCH(X137,DIR_ATUAL[PONTO],0)),0))</f>
        <v/>
      </c>
      <c r="AD137" t="str">
        <f t="shared" si="63"/>
        <v/>
      </c>
      <c r="AE137" t="str">
        <f>IF(X137="","",IF($E$9&gt;$E$8,IFERROR((INDEX(GERAL[SNAP],104)-$E$8)/($E$9-$E$8),0),0))</f>
        <v/>
      </c>
      <c r="AF137" t="str">
        <f t="shared" si="55"/>
        <v/>
      </c>
      <c r="AG137" t="str">
        <f>IFERROR(INDEX(GERAL[LADO],104),"")</f>
        <v/>
      </c>
    </row>
    <row r="138" spans="13:33" x14ac:dyDescent="0.3">
      <c r="M138" t="str">
        <f>IFERROR(INDEX(GERAL[PONTO],125),"")</f>
        <v/>
      </c>
      <c r="N138" t="str">
        <f>IF(M138="","",IFERROR(INDEX(GERAL[ACUMULADA],125),0))</f>
        <v/>
      </c>
      <c r="O138" t="str">
        <f t="shared" si="56"/>
        <v/>
      </c>
      <c r="P138" t="str">
        <f t="shared" si="57"/>
        <v/>
      </c>
      <c r="Q138" t="str">
        <f t="shared" si="58"/>
        <v/>
      </c>
      <c r="R138" t="str">
        <f>IF(M138="","",IFERROR(INDEX(Tabela7[QT %],MATCH(M138,Tabela7[PONTO],0)),0))</f>
        <v/>
      </c>
      <c r="S138" t="str">
        <f t="shared" si="59"/>
        <v/>
      </c>
      <c r="T138" t="str">
        <f>IF(M138="","",IF($B$9&gt;$B$8,IFERROR((INDEX(GERAL[SNAP],125)-$B$8)/($B$9-$B$8),0),0))</f>
        <v/>
      </c>
      <c r="U138" t="str">
        <f t="shared" si="50"/>
        <v/>
      </c>
      <c r="V138" t="str">
        <f>IFERROR(INDEX(GERAL[LADO],125),"")</f>
        <v/>
      </c>
      <c r="X138" t="str">
        <f>IFERROR(INDEX(GERAL[PONTO],105),"")</f>
        <v/>
      </c>
      <c r="Y138" t="str">
        <f>IF(X138="","",IFERROR(INDEX(GERAL[ACUMULADA],105),0))</f>
        <v/>
      </c>
      <c r="Z138" t="str">
        <f t="shared" si="60"/>
        <v/>
      </c>
      <c r="AA138" t="str">
        <f t="shared" si="61"/>
        <v/>
      </c>
      <c r="AB138" t="str">
        <f t="shared" si="62"/>
        <v/>
      </c>
      <c r="AC138" t="str">
        <f>IF(X138="","",IFERROR(INDEX(DIR_ATUAL[QT %],MATCH(X138,DIR_ATUAL[PONTO],0)),0))</f>
        <v/>
      </c>
      <c r="AD138" t="str">
        <f t="shared" si="63"/>
        <v/>
      </c>
      <c r="AE138" t="str">
        <f>IF(X138="","",IF($E$9&gt;$E$8,IFERROR((INDEX(GERAL[SNAP],105)-$E$8)/($E$9-$E$8),0),0))</f>
        <v/>
      </c>
      <c r="AF138" t="str">
        <f t="shared" si="55"/>
        <v/>
      </c>
      <c r="AG138" t="str">
        <f>IFERROR(INDEX(GERAL[LADO],105),"")</f>
        <v/>
      </c>
    </row>
    <row r="139" spans="13:33" x14ac:dyDescent="0.3">
      <c r="M139" t="str">
        <f>IFERROR(INDEX(GERAL[PONTO],126),"")</f>
        <v/>
      </c>
      <c r="N139" t="str">
        <f>IF(M139="","",IFERROR(INDEX(GERAL[ACUMULADA],126),0))</f>
        <v/>
      </c>
      <c r="O139" t="str">
        <f t="shared" si="56"/>
        <v/>
      </c>
      <c r="P139" t="str">
        <f t="shared" si="57"/>
        <v/>
      </c>
      <c r="Q139" t="str">
        <f t="shared" si="58"/>
        <v/>
      </c>
      <c r="R139" t="str">
        <f>IF(M139="","",IFERROR(INDEX(Tabela7[QT %],MATCH(M139,Tabela7[PONTO],0)),0))</f>
        <v/>
      </c>
      <c r="S139" t="str">
        <f t="shared" si="59"/>
        <v/>
      </c>
      <c r="T139" t="str">
        <f>IF(M139="","",IF($B$9&gt;$B$8,IFERROR((INDEX(GERAL[SNAP],126)-$B$8)/($B$9-$B$8),0),0))</f>
        <v/>
      </c>
      <c r="U139" t="str">
        <f t="shared" si="50"/>
        <v/>
      </c>
      <c r="V139" t="str">
        <f>IFERROR(INDEX(GERAL[LADO],126),"")</f>
        <v/>
      </c>
      <c r="X139" t="str">
        <f>IFERROR(INDEX(GERAL[PONTO],106),"")</f>
        <v/>
      </c>
      <c r="Y139" t="str">
        <f>IF(X139="","",IFERROR(INDEX(GERAL[ACUMULADA],106),0))</f>
        <v/>
      </c>
      <c r="Z139" t="str">
        <f t="shared" si="60"/>
        <v/>
      </c>
      <c r="AA139" t="str">
        <f t="shared" si="61"/>
        <v/>
      </c>
      <c r="AB139" t="str">
        <f t="shared" si="62"/>
        <v/>
      </c>
      <c r="AC139" t="str">
        <f>IF(X139="","",IFERROR(INDEX(DIR_ATUAL[QT %],MATCH(X139,DIR_ATUAL[PONTO],0)),0))</f>
        <v/>
      </c>
      <c r="AD139" t="str">
        <f t="shared" si="63"/>
        <v/>
      </c>
      <c r="AE139" t="str">
        <f>IF(X139="","",IF($E$9&gt;$E$8,IFERROR((INDEX(GERAL[SNAP],106)-$E$8)/($E$9-$E$8),0),0))</f>
        <v/>
      </c>
      <c r="AF139" t="str">
        <f t="shared" si="55"/>
        <v/>
      </c>
      <c r="AG139" t="str">
        <f>IFERROR(INDEX(GERAL[LADO],106),"")</f>
        <v/>
      </c>
    </row>
    <row r="140" spans="13:33" x14ac:dyDescent="0.3">
      <c r="M140" t="str">
        <f>IFERROR(INDEX(GERAL[PONTO],127),"")</f>
        <v/>
      </c>
      <c r="N140" t="str">
        <f>IF(M140="","",IFERROR(INDEX(GERAL[ACUMULADA],127),0))</f>
        <v/>
      </c>
      <c r="O140" t="str">
        <f t="shared" si="56"/>
        <v/>
      </c>
      <c r="P140" t="str">
        <f t="shared" si="57"/>
        <v/>
      </c>
      <c r="Q140" t="str">
        <f t="shared" si="58"/>
        <v/>
      </c>
      <c r="R140" t="str">
        <f>IF(M140="","",IFERROR(INDEX(Tabela7[QT %],MATCH(M140,Tabela7[PONTO],0)),0))</f>
        <v/>
      </c>
      <c r="S140" t="str">
        <f t="shared" si="59"/>
        <v/>
      </c>
      <c r="T140" t="str">
        <f>IF(M140="","",IF($B$9&gt;$B$8,IFERROR((INDEX(GERAL[SNAP],127)-$B$8)/($B$9-$B$8),0),0))</f>
        <v/>
      </c>
      <c r="U140" t="str">
        <f t="shared" si="50"/>
        <v/>
      </c>
      <c r="V140" t="str">
        <f>IFERROR(INDEX(GERAL[LADO],127),"")</f>
        <v/>
      </c>
      <c r="X140" t="str">
        <f>IFERROR(INDEX(GERAL[PONTO],107),"")</f>
        <v/>
      </c>
      <c r="Y140" t="str">
        <f>IF(X140="","",IFERROR(INDEX(GERAL[ACUMULADA],107),0))</f>
        <v/>
      </c>
      <c r="Z140" t="str">
        <f t="shared" si="60"/>
        <v/>
      </c>
      <c r="AA140" t="str">
        <f t="shared" si="61"/>
        <v/>
      </c>
      <c r="AB140" t="str">
        <f t="shared" si="62"/>
        <v/>
      </c>
      <c r="AC140" t="str">
        <f>IF(X140="","",IFERROR(INDEX(DIR_ATUAL[QT %],MATCH(X140,DIR_ATUAL[PONTO],0)),0))</f>
        <v/>
      </c>
      <c r="AD140" t="str">
        <f t="shared" si="63"/>
        <v/>
      </c>
      <c r="AE140" t="str">
        <f>IF(X140="","",IF($E$9&gt;$E$8,IFERROR((INDEX(GERAL[SNAP],107)-$E$8)/($E$9-$E$8),0),0))</f>
        <v/>
      </c>
      <c r="AF140" t="str">
        <f t="shared" si="55"/>
        <v/>
      </c>
      <c r="AG140" t="str">
        <f>IFERROR(INDEX(GERAL[LADO],107),"")</f>
        <v/>
      </c>
    </row>
    <row r="141" spans="13:33" x14ac:dyDescent="0.3">
      <c r="M141" t="str">
        <f>IFERROR(INDEX(GERAL[PONTO],128),"")</f>
        <v/>
      </c>
      <c r="N141" t="str">
        <f>IF(M141="","",IFERROR(INDEX(GERAL[ACUMULADA],128),0))</f>
        <v/>
      </c>
      <c r="O141" t="str">
        <f t="shared" si="56"/>
        <v/>
      </c>
      <c r="P141" t="str">
        <f t="shared" si="57"/>
        <v/>
      </c>
      <c r="Q141" t="str">
        <f t="shared" si="58"/>
        <v/>
      </c>
      <c r="R141" t="str">
        <f>IF(M141="","",IFERROR(INDEX(Tabela7[QT %],MATCH(M141,Tabela7[PONTO],0)),0))</f>
        <v/>
      </c>
      <c r="S141" t="str">
        <f t="shared" si="59"/>
        <v/>
      </c>
      <c r="T141" t="str">
        <f>IF(M141="","",IF($B$9&gt;$B$8,IFERROR((INDEX(GERAL[SNAP],128)-$B$8)/($B$9-$B$8),0),0))</f>
        <v/>
      </c>
      <c r="U141" t="str">
        <f t="shared" si="50"/>
        <v/>
      </c>
      <c r="V141" t="str">
        <f>IFERROR(INDEX(GERAL[LADO],128),"")</f>
        <v/>
      </c>
      <c r="X141" t="str">
        <f>IFERROR(INDEX(GERAL[PONTO],108),"")</f>
        <v/>
      </c>
      <c r="Y141" t="str">
        <f>IF(X141="","",IFERROR(INDEX(GERAL[ACUMULADA],108),0))</f>
        <v/>
      </c>
      <c r="Z141" t="str">
        <f t="shared" si="60"/>
        <v/>
      </c>
      <c r="AA141" t="str">
        <f t="shared" si="61"/>
        <v/>
      </c>
      <c r="AB141" t="str">
        <f t="shared" si="62"/>
        <v/>
      </c>
      <c r="AC141" t="str">
        <f>IF(X141="","",IFERROR(INDEX(DIR_ATUAL[QT %],MATCH(X141,DIR_ATUAL[PONTO],0)),0))</f>
        <v/>
      </c>
      <c r="AD141" t="str">
        <f t="shared" si="63"/>
        <v/>
      </c>
      <c r="AE141" t="str">
        <f>IF(X141="","",IF($E$9&gt;$E$8,IFERROR((INDEX(GERAL[SNAP],108)-$E$8)/($E$9-$E$8),0),0))</f>
        <v/>
      </c>
      <c r="AF141" t="str">
        <f t="shared" si="55"/>
        <v/>
      </c>
      <c r="AG141" t="str">
        <f>IFERROR(INDEX(GERAL[LADO],108),"")</f>
        <v/>
      </c>
    </row>
    <row r="142" spans="13:33" x14ac:dyDescent="0.3">
      <c r="M142" t="str">
        <f>IFERROR(INDEX(GERAL[PONTO],129),"")</f>
        <v/>
      </c>
      <c r="N142" t="str">
        <f>IF(M142="","",IFERROR(INDEX(GERAL[ACUMULADA],129),0))</f>
        <v/>
      </c>
      <c r="O142" t="str">
        <f t="shared" ref="O142:O173" si="64">IF(N142="","",$B$11-N142)</f>
        <v/>
      </c>
      <c r="P142" t="str">
        <f t="shared" ref="P142:P173" si="65">IF(N142="","",IF(N142*1.15&lt;=30,30,IF(N142*1.15&lt;=45,45,IF(N142*1.15&lt;=75,75,IF(N142*1.15&lt;=112.5,112.5,IF(N142*1.15&lt;=150,150,IF(N142*1.15&lt;=225,225,300)))))))</f>
        <v/>
      </c>
      <c r="Q142" t="str">
        <f t="shared" ref="Q142:Q173" si="66">IF(P142="","",IFERROR(N142/P142,0))</f>
        <v/>
      </c>
      <c r="R142" t="str">
        <f>IF(M142="","",IFERROR(INDEX(Tabela7[QT %],MATCH(M142,Tabela7[PONTO],0)),0))</f>
        <v/>
      </c>
      <c r="S142" t="str">
        <f t="shared" ref="S142:S173" si="67">IF(N142="","",IFERROR(1-ABS(N142-O142)/$B$11,0))</f>
        <v/>
      </c>
      <c r="T142" t="str">
        <f>IF(M142="","",IF($B$9&gt;$B$8,IFERROR((INDEX(GERAL[SNAP],129)-$B$8)/($B$9-$B$8),0),0))</f>
        <v/>
      </c>
      <c r="U142" t="str">
        <f t="shared" si="50"/>
        <v/>
      </c>
      <c r="V142" t="str">
        <f>IFERROR(INDEX(GERAL[LADO],129),"")</f>
        <v/>
      </c>
      <c r="X142" t="str">
        <f>IFERROR(INDEX(GERAL[PONTO],109),"")</f>
        <v/>
      </c>
      <c r="Y142" t="str">
        <f>IF(X142="","",IFERROR(INDEX(GERAL[ACUMULADA],109),0))</f>
        <v/>
      </c>
      <c r="Z142" t="str">
        <f t="shared" si="60"/>
        <v/>
      </c>
      <c r="AA142" t="str">
        <f t="shared" si="61"/>
        <v/>
      </c>
      <c r="AB142" t="str">
        <f t="shared" si="62"/>
        <v/>
      </c>
      <c r="AC142" t="str">
        <f>IF(X142="","",IFERROR(INDEX(DIR_ATUAL[QT %],MATCH(X142,DIR_ATUAL[PONTO],0)),0))</f>
        <v/>
      </c>
      <c r="AD142" t="str">
        <f t="shared" si="63"/>
        <v/>
      </c>
      <c r="AE142" t="str">
        <f>IF(X142="","",IF($E$9&gt;$E$8,IFERROR((INDEX(GERAL[SNAP],109)-$E$8)/($E$9-$E$8),0),0))</f>
        <v/>
      </c>
      <c r="AF142" t="str">
        <f t="shared" si="55"/>
        <v/>
      </c>
      <c r="AG142" t="str">
        <f>IFERROR(INDEX(GERAL[LADO],109),"")</f>
        <v/>
      </c>
    </row>
    <row r="143" spans="13:33" x14ac:dyDescent="0.3">
      <c r="M143" t="str">
        <f>IFERROR(INDEX(GERAL[PONTO],130),"")</f>
        <v/>
      </c>
      <c r="N143" t="str">
        <f>IF(M143="","",IFERROR(INDEX(GERAL[ACUMULADA],130),0))</f>
        <v/>
      </c>
      <c r="O143" t="str">
        <f t="shared" si="64"/>
        <v/>
      </c>
      <c r="P143" t="str">
        <f t="shared" si="65"/>
        <v/>
      </c>
      <c r="Q143" t="str">
        <f t="shared" si="66"/>
        <v/>
      </c>
      <c r="R143" t="str">
        <f>IF(M143="","",IFERROR(INDEX(Tabela7[QT %],MATCH(M143,Tabela7[PONTO],0)),0))</f>
        <v/>
      </c>
      <c r="S143" t="str">
        <f t="shared" si="67"/>
        <v/>
      </c>
      <c r="T143" t="str">
        <f>IF(M143="","",IF($B$9&gt;$B$8,IFERROR((INDEX(GERAL[SNAP],130)-$B$8)/($B$9-$B$8),0),0))</f>
        <v/>
      </c>
      <c r="U143" t="str">
        <f t="shared" ref="U143:U200" si="68">IF(OR(M143="",V143&lt;&gt;"LADO 1"),"",$L$2*IFERROR(N143/$B$11,0)+$L$3*IF($D$11&gt;0,IFERROR(R143/$D$11,0),0)+$L$4*IFERROR(S143,0)-$L$5*IFERROR(T143,0)-$L$6*MAX(0,IFERROR(Q143,0)-$L$7)+ROW()/1000000)</f>
        <v/>
      </c>
      <c r="V143" t="str">
        <f>IFERROR(INDEX(GERAL[LADO],130),"")</f>
        <v/>
      </c>
      <c r="X143" t="str">
        <f>IFERROR(INDEX(GERAL[PONTO],110),"")</f>
        <v/>
      </c>
      <c r="Y143" t="str">
        <f>IF(X143="","",IFERROR(INDEX(GERAL[ACUMULADA],110),0))</f>
        <v/>
      </c>
      <c r="Z143" t="str">
        <f t="shared" si="60"/>
        <v/>
      </c>
      <c r="AA143" t="str">
        <f t="shared" si="61"/>
        <v/>
      </c>
      <c r="AB143" t="str">
        <f t="shared" si="62"/>
        <v/>
      </c>
      <c r="AC143" t="str">
        <f>IF(X143="","",IFERROR(INDEX(DIR_ATUAL[QT %],MATCH(X143,DIR_ATUAL[PONTO],0)),0))</f>
        <v/>
      </c>
      <c r="AD143" t="str">
        <f t="shared" si="63"/>
        <v/>
      </c>
      <c r="AE143" t="str">
        <f>IF(X143="","",IF($E$9&gt;$E$8,IFERROR((INDEX(GERAL[SNAP],110)-$E$8)/($E$9-$E$8),0),0))</f>
        <v/>
      </c>
      <c r="AF143" t="str">
        <f t="shared" si="55"/>
        <v/>
      </c>
      <c r="AG143" t="str">
        <f>IFERROR(INDEX(GERAL[LADO],110),"")</f>
        <v/>
      </c>
    </row>
    <row r="144" spans="13:33" x14ac:dyDescent="0.3">
      <c r="M144" t="str">
        <f>IFERROR(INDEX(GERAL[PONTO],131),"")</f>
        <v/>
      </c>
      <c r="N144" t="str">
        <f>IF(M144="","",IFERROR(INDEX(GERAL[ACUMULADA],131),0))</f>
        <v/>
      </c>
      <c r="O144" t="str">
        <f t="shared" si="64"/>
        <v/>
      </c>
      <c r="P144" t="str">
        <f t="shared" si="65"/>
        <v/>
      </c>
      <c r="Q144" t="str">
        <f t="shared" si="66"/>
        <v/>
      </c>
      <c r="R144" t="str">
        <f>IF(M144="","",IFERROR(INDEX(Tabela7[QT %],MATCH(M144,Tabela7[PONTO],0)),0))</f>
        <v/>
      </c>
      <c r="S144" t="str">
        <f t="shared" si="67"/>
        <v/>
      </c>
      <c r="T144" t="str">
        <f>IF(M144="","",IF($B$9&gt;$B$8,IFERROR((INDEX(GERAL[SNAP],131)-$B$8)/($B$9-$B$8),0),0))</f>
        <v/>
      </c>
      <c r="U144" t="str">
        <f t="shared" si="68"/>
        <v/>
      </c>
      <c r="V144" t="str">
        <f>IFERROR(INDEX(GERAL[LADO],131),"")</f>
        <v/>
      </c>
      <c r="X144" t="str">
        <f>IFERROR(INDEX(GERAL[PONTO],111),"")</f>
        <v/>
      </c>
      <c r="Y144" t="str">
        <f>IF(X144="","",IFERROR(INDEX(GERAL[ACUMULADA],111),0))</f>
        <v/>
      </c>
      <c r="Z144" t="str">
        <f t="shared" si="60"/>
        <v/>
      </c>
      <c r="AA144" t="str">
        <f t="shared" si="61"/>
        <v/>
      </c>
      <c r="AB144" t="str">
        <f t="shared" si="62"/>
        <v/>
      </c>
      <c r="AC144" t="str">
        <f>IF(X144="","",IFERROR(INDEX(DIR_ATUAL[QT %],MATCH(X144,DIR_ATUAL[PONTO],0)),0))</f>
        <v/>
      </c>
      <c r="AD144" t="str">
        <f t="shared" si="63"/>
        <v/>
      </c>
      <c r="AE144" t="str">
        <f>IF(X144="","",IF($E$9&gt;$E$8,IFERROR((INDEX(GERAL[SNAP],111)-$E$8)/($E$9-$E$8),0),0))</f>
        <v/>
      </c>
      <c r="AF144" t="str">
        <f t="shared" si="55"/>
        <v/>
      </c>
      <c r="AG144" t="str">
        <f>IFERROR(INDEX(GERAL[LADO],111),"")</f>
        <v/>
      </c>
    </row>
    <row r="145" spans="13:33" x14ac:dyDescent="0.3">
      <c r="M145" t="str">
        <f>IFERROR(INDEX(GERAL[PONTO],132),"")</f>
        <v/>
      </c>
      <c r="N145" t="str">
        <f>IF(M145="","",IFERROR(INDEX(GERAL[ACUMULADA],132),0))</f>
        <v/>
      </c>
      <c r="O145" t="str">
        <f t="shared" si="64"/>
        <v/>
      </c>
      <c r="P145" t="str">
        <f t="shared" si="65"/>
        <v/>
      </c>
      <c r="Q145" t="str">
        <f t="shared" si="66"/>
        <v/>
      </c>
      <c r="R145" t="str">
        <f>IF(M145="","",IFERROR(INDEX(Tabela7[QT %],MATCH(M145,Tabela7[PONTO],0)),0))</f>
        <v/>
      </c>
      <c r="S145" t="str">
        <f t="shared" si="67"/>
        <v/>
      </c>
      <c r="T145" t="str">
        <f>IF(M145="","",IF($B$9&gt;$B$8,IFERROR((INDEX(GERAL[SNAP],132)-$B$8)/($B$9-$B$8),0),0))</f>
        <v/>
      </c>
      <c r="U145" t="str">
        <f t="shared" si="68"/>
        <v/>
      </c>
      <c r="V145" t="str">
        <f>IFERROR(INDEX(GERAL[LADO],132),"")</f>
        <v/>
      </c>
      <c r="X145" t="str">
        <f>IFERROR(INDEX(GERAL[PONTO],112),"")</f>
        <v/>
      </c>
      <c r="Y145" t="str">
        <f>IF(X145="","",IFERROR(INDEX(GERAL[ACUMULADA],112),0))</f>
        <v/>
      </c>
      <c r="Z145" t="str">
        <f t="shared" si="60"/>
        <v/>
      </c>
      <c r="AA145" t="str">
        <f t="shared" si="61"/>
        <v/>
      </c>
      <c r="AB145" t="str">
        <f t="shared" si="62"/>
        <v/>
      </c>
      <c r="AC145" t="str">
        <f>IF(X145="","",IFERROR(INDEX(DIR_ATUAL[QT %],MATCH(X145,DIR_ATUAL[PONTO],0)),0))</f>
        <v/>
      </c>
      <c r="AD145" t="str">
        <f t="shared" si="63"/>
        <v/>
      </c>
      <c r="AE145" t="str">
        <f>IF(X145="","",IF($E$9&gt;$E$8,IFERROR((INDEX(GERAL[SNAP],112)-$E$8)/($E$9-$E$8),0),0))</f>
        <v/>
      </c>
      <c r="AF145" t="str">
        <f t="shared" si="55"/>
        <v/>
      </c>
      <c r="AG145" t="str">
        <f>IFERROR(INDEX(GERAL[LADO],112),"")</f>
        <v/>
      </c>
    </row>
    <row r="146" spans="13:33" x14ac:dyDescent="0.3">
      <c r="M146" t="str">
        <f>IFERROR(INDEX(GERAL[PONTO],133),"")</f>
        <v/>
      </c>
      <c r="N146" t="str">
        <f>IF(M146="","",IFERROR(INDEX(GERAL[ACUMULADA],133),0))</f>
        <v/>
      </c>
      <c r="O146" t="str">
        <f t="shared" si="64"/>
        <v/>
      </c>
      <c r="P146" t="str">
        <f t="shared" si="65"/>
        <v/>
      </c>
      <c r="Q146" t="str">
        <f t="shared" si="66"/>
        <v/>
      </c>
      <c r="R146" t="str">
        <f>IF(M146="","",IFERROR(INDEX(Tabela7[QT %],MATCH(M146,Tabela7[PONTO],0)),0))</f>
        <v/>
      </c>
      <c r="S146" t="str">
        <f t="shared" si="67"/>
        <v/>
      </c>
      <c r="T146" t="str">
        <f>IF(M146="","",IF($B$9&gt;$B$8,IFERROR((INDEX(GERAL[SNAP],133)-$B$8)/($B$9-$B$8),0),0))</f>
        <v/>
      </c>
      <c r="U146" t="str">
        <f t="shared" si="68"/>
        <v/>
      </c>
      <c r="V146" t="str">
        <f>IFERROR(INDEX(GERAL[LADO],133),"")</f>
        <v/>
      </c>
      <c r="X146" t="str">
        <f>IFERROR(INDEX(GERAL[PONTO],113),"")</f>
        <v/>
      </c>
      <c r="Y146" t="str">
        <f>IF(X146="","",IFERROR(INDEX(GERAL[ACUMULADA],113),0))</f>
        <v/>
      </c>
      <c r="Z146" t="str">
        <f t="shared" si="60"/>
        <v/>
      </c>
      <c r="AA146" t="str">
        <f t="shared" si="61"/>
        <v/>
      </c>
      <c r="AB146" t="str">
        <f t="shared" si="62"/>
        <v/>
      </c>
      <c r="AC146" t="str">
        <f>IF(X146="","",IFERROR(INDEX(DIR_ATUAL[QT %],MATCH(X146,DIR_ATUAL[PONTO],0)),0))</f>
        <v/>
      </c>
      <c r="AD146" t="str">
        <f t="shared" si="63"/>
        <v/>
      </c>
      <c r="AE146" t="str">
        <f>IF(X146="","",IF($E$9&gt;$E$8,IFERROR((INDEX(GERAL[SNAP],113)-$E$8)/($E$9-$E$8),0),0))</f>
        <v/>
      </c>
      <c r="AF146" t="str">
        <f t="shared" si="55"/>
        <v/>
      </c>
      <c r="AG146" t="str">
        <f>IFERROR(INDEX(GERAL[LADO],113),"")</f>
        <v/>
      </c>
    </row>
    <row r="147" spans="13:33" x14ac:dyDescent="0.3">
      <c r="M147" t="str">
        <f>IFERROR(INDEX(GERAL[PONTO],134),"")</f>
        <v/>
      </c>
      <c r="N147" t="str">
        <f>IF(M147="","",IFERROR(INDEX(GERAL[ACUMULADA],134),0))</f>
        <v/>
      </c>
      <c r="O147" t="str">
        <f t="shared" si="64"/>
        <v/>
      </c>
      <c r="P147" t="str">
        <f t="shared" si="65"/>
        <v/>
      </c>
      <c r="Q147" t="str">
        <f t="shared" si="66"/>
        <v/>
      </c>
      <c r="R147" t="str">
        <f>IF(M147="","",IFERROR(INDEX(Tabela7[QT %],MATCH(M147,Tabela7[PONTO],0)),0))</f>
        <v/>
      </c>
      <c r="S147" t="str">
        <f t="shared" si="67"/>
        <v/>
      </c>
      <c r="T147" t="str">
        <f>IF(M147="","",IF($B$9&gt;$B$8,IFERROR((INDEX(GERAL[SNAP],134)-$B$8)/($B$9-$B$8),0),0))</f>
        <v/>
      </c>
      <c r="U147" t="str">
        <f t="shared" si="68"/>
        <v/>
      </c>
      <c r="V147" t="str">
        <f>IFERROR(INDEX(GERAL[LADO],134),"")</f>
        <v/>
      </c>
      <c r="X147" t="str">
        <f>IFERROR(INDEX(GERAL[PONTO],114),"")</f>
        <v/>
      </c>
      <c r="Y147" t="str">
        <f>IF(X147="","",IFERROR(INDEX(GERAL[ACUMULADA],114),0))</f>
        <v/>
      </c>
      <c r="Z147" t="str">
        <f t="shared" si="60"/>
        <v/>
      </c>
      <c r="AA147" t="str">
        <f t="shared" si="61"/>
        <v/>
      </c>
      <c r="AB147" t="str">
        <f t="shared" si="62"/>
        <v/>
      </c>
      <c r="AC147" t="str">
        <f>IF(X147="","",IFERROR(INDEX(DIR_ATUAL[QT %],MATCH(X147,DIR_ATUAL[PONTO],0)),0))</f>
        <v/>
      </c>
      <c r="AD147" t="str">
        <f t="shared" si="63"/>
        <v/>
      </c>
      <c r="AE147" t="str">
        <f>IF(X147="","",IF($E$9&gt;$E$8,IFERROR((INDEX(GERAL[SNAP],114)-$E$8)/($E$9-$E$8),0),0))</f>
        <v/>
      </c>
      <c r="AF147" t="str">
        <f t="shared" si="55"/>
        <v/>
      </c>
      <c r="AG147" t="str">
        <f>IFERROR(INDEX(GERAL[LADO],114),"")</f>
        <v/>
      </c>
    </row>
    <row r="148" spans="13:33" x14ac:dyDescent="0.3">
      <c r="M148" t="str">
        <f>IFERROR(INDEX(GERAL[PONTO],135),"")</f>
        <v/>
      </c>
      <c r="N148" t="str">
        <f>IF(M148="","",IFERROR(INDEX(GERAL[ACUMULADA],135),0))</f>
        <v/>
      </c>
      <c r="O148" t="str">
        <f t="shared" si="64"/>
        <v/>
      </c>
      <c r="P148" t="str">
        <f t="shared" si="65"/>
        <v/>
      </c>
      <c r="Q148" t="str">
        <f t="shared" si="66"/>
        <v/>
      </c>
      <c r="R148" t="str">
        <f>IF(M148="","",IFERROR(INDEX(Tabela7[QT %],MATCH(M148,Tabela7[PONTO],0)),0))</f>
        <v/>
      </c>
      <c r="S148" t="str">
        <f t="shared" si="67"/>
        <v/>
      </c>
      <c r="T148" t="str">
        <f>IF(M148="","",IF($B$9&gt;$B$8,IFERROR((INDEX(GERAL[SNAP],135)-$B$8)/($B$9-$B$8),0),0))</f>
        <v/>
      </c>
      <c r="U148" t="str">
        <f t="shared" si="68"/>
        <v/>
      </c>
      <c r="V148" t="str">
        <f>IFERROR(INDEX(GERAL[LADO],135),"")</f>
        <v/>
      </c>
      <c r="X148" t="str">
        <f>IFERROR(INDEX(GERAL[PONTO],115),"")</f>
        <v/>
      </c>
      <c r="Y148" t="str">
        <f>IF(X148="","",IFERROR(INDEX(GERAL[ACUMULADA],115),0))</f>
        <v/>
      </c>
      <c r="Z148" t="str">
        <f t="shared" si="60"/>
        <v/>
      </c>
      <c r="AA148" t="str">
        <f t="shared" si="61"/>
        <v/>
      </c>
      <c r="AB148" t="str">
        <f t="shared" si="62"/>
        <v/>
      </c>
      <c r="AC148" t="str">
        <f>IF(X148="","",IFERROR(INDEX(DIR_ATUAL[QT %],MATCH(X148,DIR_ATUAL[PONTO],0)),0))</f>
        <v/>
      </c>
      <c r="AD148" t="str">
        <f t="shared" si="63"/>
        <v/>
      </c>
      <c r="AE148" t="str">
        <f>IF(X148="","",IF($E$9&gt;$E$8,IFERROR((INDEX(GERAL[SNAP],115)-$E$8)/($E$9-$E$8),0),0))</f>
        <v/>
      </c>
      <c r="AF148" t="str">
        <f t="shared" si="55"/>
        <v/>
      </c>
      <c r="AG148" t="str">
        <f>IFERROR(INDEX(GERAL[LADO],115),"")</f>
        <v/>
      </c>
    </row>
    <row r="149" spans="13:33" x14ac:dyDescent="0.3">
      <c r="M149" t="str">
        <f>IFERROR(INDEX(GERAL[PONTO],136),"")</f>
        <v/>
      </c>
      <c r="N149" t="str">
        <f>IF(M149="","",IFERROR(INDEX(GERAL[ACUMULADA],136),0))</f>
        <v/>
      </c>
      <c r="O149" t="str">
        <f t="shared" si="64"/>
        <v/>
      </c>
      <c r="P149" t="str">
        <f t="shared" si="65"/>
        <v/>
      </c>
      <c r="Q149" t="str">
        <f t="shared" si="66"/>
        <v/>
      </c>
      <c r="R149" t="str">
        <f>IF(M149="","",IFERROR(INDEX(Tabela7[QT %],MATCH(M149,Tabela7[PONTO],0)),0))</f>
        <v/>
      </c>
      <c r="S149" t="str">
        <f t="shared" si="67"/>
        <v/>
      </c>
      <c r="T149" t="str">
        <f>IF(M149="","",IF($B$9&gt;$B$8,IFERROR((INDEX(GERAL[SNAP],136)-$B$8)/($B$9-$B$8),0),0))</f>
        <v/>
      </c>
      <c r="U149" t="str">
        <f t="shared" si="68"/>
        <v/>
      </c>
      <c r="V149" t="str">
        <f>IFERROR(INDEX(GERAL[LADO],136),"")</f>
        <v/>
      </c>
      <c r="X149" t="str">
        <f>IFERROR(INDEX(GERAL[PONTO],116),"")</f>
        <v/>
      </c>
      <c r="Y149" t="str">
        <f>IF(X149="","",IFERROR(INDEX(GERAL[ACUMULADA],116),0))</f>
        <v/>
      </c>
      <c r="Z149" t="str">
        <f t="shared" si="60"/>
        <v/>
      </c>
      <c r="AA149" t="str">
        <f t="shared" si="61"/>
        <v/>
      </c>
      <c r="AB149" t="str">
        <f t="shared" si="62"/>
        <v/>
      </c>
      <c r="AC149" t="str">
        <f>IF(X149="","",IFERROR(INDEX(DIR_ATUAL[QT %],MATCH(X149,DIR_ATUAL[PONTO],0)),0))</f>
        <v/>
      </c>
      <c r="AD149" t="str">
        <f t="shared" si="63"/>
        <v/>
      </c>
      <c r="AE149" t="str">
        <f>IF(X149="","",IF($E$9&gt;$E$8,IFERROR((INDEX(GERAL[SNAP],116)-$E$8)/($E$9-$E$8),0),0))</f>
        <v/>
      </c>
      <c r="AF149" t="str">
        <f t="shared" si="55"/>
        <v/>
      </c>
      <c r="AG149" t="str">
        <f>IFERROR(INDEX(GERAL[LADO],116),"")</f>
        <v/>
      </c>
    </row>
    <row r="150" spans="13:33" x14ac:dyDescent="0.3">
      <c r="M150" t="str">
        <f>IFERROR(INDEX(GERAL[PONTO],137),"")</f>
        <v/>
      </c>
      <c r="N150" t="str">
        <f>IF(M150="","",IFERROR(INDEX(GERAL[ACUMULADA],137),0))</f>
        <v/>
      </c>
      <c r="O150" t="str">
        <f t="shared" si="64"/>
        <v/>
      </c>
      <c r="P150" t="str">
        <f t="shared" si="65"/>
        <v/>
      </c>
      <c r="Q150" t="str">
        <f t="shared" si="66"/>
        <v/>
      </c>
      <c r="R150" t="str">
        <f>IF(M150="","",IFERROR(INDEX(Tabela7[QT %],MATCH(M150,Tabela7[PONTO],0)),0))</f>
        <v/>
      </c>
      <c r="S150" t="str">
        <f t="shared" si="67"/>
        <v/>
      </c>
      <c r="T150" t="str">
        <f>IF(M150="","",IF($B$9&gt;$B$8,IFERROR((INDEX(GERAL[SNAP],137)-$B$8)/($B$9-$B$8),0),0))</f>
        <v/>
      </c>
      <c r="U150" t="str">
        <f t="shared" si="68"/>
        <v/>
      </c>
      <c r="V150" t="str">
        <f>IFERROR(INDEX(GERAL[LADO],137),"")</f>
        <v/>
      </c>
      <c r="X150" t="str">
        <f>IFERROR(INDEX(GERAL[PONTO],117),"")</f>
        <v/>
      </c>
      <c r="Y150" t="str">
        <f>IF(X150="","",IFERROR(INDEX(GERAL[ACUMULADA],117),0))</f>
        <v/>
      </c>
      <c r="Z150" t="str">
        <f t="shared" si="60"/>
        <v/>
      </c>
      <c r="AA150" t="str">
        <f t="shared" si="61"/>
        <v/>
      </c>
      <c r="AB150" t="str">
        <f t="shared" si="62"/>
        <v/>
      </c>
      <c r="AC150" t="str">
        <f>IF(X150="","",IFERROR(INDEX(DIR_ATUAL[QT %],MATCH(X150,DIR_ATUAL[PONTO],0)),0))</f>
        <v/>
      </c>
      <c r="AD150" t="str">
        <f t="shared" si="63"/>
        <v/>
      </c>
      <c r="AE150" t="str">
        <f>IF(X150="","",IF($E$9&gt;$E$8,IFERROR((INDEX(GERAL[SNAP],117)-$E$8)/($E$9-$E$8),0),0))</f>
        <v/>
      </c>
      <c r="AF150" t="str">
        <f t="shared" si="55"/>
        <v/>
      </c>
      <c r="AG150" t="str">
        <f>IFERROR(INDEX(GERAL[LADO],117),"")</f>
        <v/>
      </c>
    </row>
    <row r="151" spans="13:33" x14ac:dyDescent="0.3">
      <c r="M151" t="str">
        <f>IFERROR(INDEX(GERAL[PONTO],138),"")</f>
        <v/>
      </c>
      <c r="N151" t="str">
        <f>IF(M151="","",IFERROR(INDEX(GERAL[ACUMULADA],138),0))</f>
        <v/>
      </c>
      <c r="O151" t="str">
        <f t="shared" si="64"/>
        <v/>
      </c>
      <c r="P151" t="str">
        <f t="shared" si="65"/>
        <v/>
      </c>
      <c r="Q151" t="str">
        <f t="shared" si="66"/>
        <v/>
      </c>
      <c r="R151" t="str">
        <f>IF(M151="","",IFERROR(INDEX(Tabela7[QT %],MATCH(M151,Tabela7[PONTO],0)),0))</f>
        <v/>
      </c>
      <c r="S151" t="str">
        <f t="shared" si="67"/>
        <v/>
      </c>
      <c r="T151" t="str">
        <f>IF(M151="","",IF($B$9&gt;$B$8,IFERROR((INDEX(GERAL[SNAP],138)-$B$8)/($B$9-$B$8),0),0))</f>
        <v/>
      </c>
      <c r="U151" t="str">
        <f t="shared" si="68"/>
        <v/>
      </c>
      <c r="V151" t="str">
        <f>IFERROR(INDEX(GERAL[LADO],138),"")</f>
        <v/>
      </c>
      <c r="X151" t="str">
        <f>IFERROR(INDEX(GERAL[PONTO],118),"")</f>
        <v/>
      </c>
      <c r="Y151" t="str">
        <f>IF(X151="","",IFERROR(INDEX(GERAL[ACUMULADA],118),0))</f>
        <v/>
      </c>
      <c r="Z151" t="str">
        <f t="shared" si="60"/>
        <v/>
      </c>
      <c r="AA151" t="str">
        <f t="shared" si="61"/>
        <v/>
      </c>
      <c r="AB151" t="str">
        <f t="shared" si="62"/>
        <v/>
      </c>
      <c r="AC151" t="str">
        <f>IF(X151="","",IFERROR(INDEX(DIR_ATUAL[QT %],MATCH(X151,DIR_ATUAL[PONTO],0)),0))</f>
        <v/>
      </c>
      <c r="AD151" t="str">
        <f t="shared" si="63"/>
        <v/>
      </c>
      <c r="AE151" t="str">
        <f>IF(X151="","",IF($E$9&gt;$E$8,IFERROR((INDEX(GERAL[SNAP],118)-$E$8)/($E$9-$E$8),0),0))</f>
        <v/>
      </c>
      <c r="AF151" t="str">
        <f t="shared" si="55"/>
        <v/>
      </c>
      <c r="AG151" t="str">
        <f>IFERROR(INDEX(GERAL[LADO],118),"")</f>
        <v/>
      </c>
    </row>
    <row r="152" spans="13:33" x14ac:dyDescent="0.3">
      <c r="M152" t="str">
        <f>IFERROR(INDEX(GERAL[PONTO],139),"")</f>
        <v/>
      </c>
      <c r="N152" t="str">
        <f>IF(M152="","",IFERROR(INDEX(GERAL[ACUMULADA],139),0))</f>
        <v/>
      </c>
      <c r="O152" t="str">
        <f t="shared" si="64"/>
        <v/>
      </c>
      <c r="P152" t="str">
        <f t="shared" si="65"/>
        <v/>
      </c>
      <c r="Q152" t="str">
        <f t="shared" si="66"/>
        <v/>
      </c>
      <c r="R152" t="str">
        <f>IF(M152="","",IFERROR(INDEX(Tabela7[QT %],MATCH(M152,Tabela7[PONTO],0)),0))</f>
        <v/>
      </c>
      <c r="S152" t="str">
        <f t="shared" si="67"/>
        <v/>
      </c>
      <c r="T152" t="str">
        <f>IF(M152="","",IF($B$9&gt;$B$8,IFERROR((INDEX(GERAL[SNAP],139)-$B$8)/($B$9-$B$8),0),0))</f>
        <v/>
      </c>
      <c r="U152" t="str">
        <f t="shared" si="68"/>
        <v/>
      </c>
      <c r="V152" t="str">
        <f>IFERROR(INDEX(GERAL[LADO],139),"")</f>
        <v/>
      </c>
      <c r="X152" t="str">
        <f>IFERROR(INDEX(GERAL[PONTO],119),"")</f>
        <v/>
      </c>
      <c r="Y152" t="str">
        <f>IF(X152="","",IFERROR(INDEX(GERAL[ACUMULADA],119),0))</f>
        <v/>
      </c>
      <c r="Z152" t="str">
        <f t="shared" si="60"/>
        <v/>
      </c>
      <c r="AA152" t="str">
        <f t="shared" si="61"/>
        <v/>
      </c>
      <c r="AB152" t="str">
        <f t="shared" si="62"/>
        <v/>
      </c>
      <c r="AC152" t="str">
        <f>IF(X152="","",IFERROR(INDEX(DIR_ATUAL[QT %],MATCH(X152,DIR_ATUAL[PONTO],0)),0))</f>
        <v/>
      </c>
      <c r="AD152" t="str">
        <f t="shared" si="63"/>
        <v/>
      </c>
      <c r="AE152" t="str">
        <f>IF(X152="","",IF($E$9&gt;$E$8,IFERROR((INDEX(GERAL[SNAP],119)-$E$8)/($E$9-$E$8),0),0))</f>
        <v/>
      </c>
      <c r="AF152" t="str">
        <f t="shared" si="55"/>
        <v/>
      </c>
      <c r="AG152" t="str">
        <f>IFERROR(INDEX(GERAL[LADO],119),"")</f>
        <v/>
      </c>
    </row>
    <row r="153" spans="13:33" x14ac:dyDescent="0.3">
      <c r="M153" t="str">
        <f>IFERROR(INDEX(GERAL[PONTO],140),"")</f>
        <v/>
      </c>
      <c r="N153" t="str">
        <f>IF(M153="","",IFERROR(INDEX(GERAL[ACUMULADA],140),0))</f>
        <v/>
      </c>
      <c r="O153" t="str">
        <f t="shared" si="64"/>
        <v/>
      </c>
      <c r="P153" t="str">
        <f t="shared" si="65"/>
        <v/>
      </c>
      <c r="Q153" t="str">
        <f t="shared" si="66"/>
        <v/>
      </c>
      <c r="R153" t="str">
        <f>IF(M153="","",IFERROR(INDEX(Tabela7[QT %],MATCH(M153,Tabela7[PONTO],0)),0))</f>
        <v/>
      </c>
      <c r="S153" t="str">
        <f t="shared" si="67"/>
        <v/>
      </c>
      <c r="T153" t="str">
        <f>IF(M153="","",IF($B$9&gt;$B$8,IFERROR((INDEX(GERAL[SNAP],140)-$B$8)/($B$9-$B$8),0),0))</f>
        <v/>
      </c>
      <c r="U153" t="str">
        <f t="shared" si="68"/>
        <v/>
      </c>
      <c r="V153" t="str">
        <f>IFERROR(INDEX(GERAL[LADO],140),"")</f>
        <v/>
      </c>
      <c r="X153" t="str">
        <f>IFERROR(INDEX(GERAL[PONTO],120),"")</f>
        <v/>
      </c>
      <c r="Y153" t="str">
        <f>IF(X153="","",IFERROR(INDEX(GERAL[ACUMULADA],120),0))</f>
        <v/>
      </c>
      <c r="Z153" t="str">
        <f t="shared" si="60"/>
        <v/>
      </c>
      <c r="AA153" t="str">
        <f t="shared" si="61"/>
        <v/>
      </c>
      <c r="AB153" t="str">
        <f t="shared" si="62"/>
        <v/>
      </c>
      <c r="AC153" t="str">
        <f>IF(X153="","",IFERROR(INDEX(DIR_ATUAL[QT %],MATCH(X153,DIR_ATUAL[PONTO],0)),0))</f>
        <v/>
      </c>
      <c r="AD153" t="str">
        <f t="shared" si="63"/>
        <v/>
      </c>
      <c r="AE153" t="str">
        <f>IF(X153="","",IF($E$9&gt;$E$8,IFERROR((INDEX(GERAL[SNAP],120)-$E$8)/($E$9-$E$8),0),0))</f>
        <v/>
      </c>
      <c r="AF153" t="str">
        <f t="shared" si="55"/>
        <v/>
      </c>
      <c r="AG153" t="str">
        <f>IFERROR(INDEX(GERAL[LADO],120),"")</f>
        <v/>
      </c>
    </row>
    <row r="154" spans="13:33" x14ac:dyDescent="0.3">
      <c r="M154" t="str">
        <f>IFERROR(INDEX(GERAL[PONTO],141),"")</f>
        <v/>
      </c>
      <c r="N154" t="str">
        <f>IF(M154="","",IFERROR(INDEX(GERAL[ACUMULADA],141),0))</f>
        <v/>
      </c>
      <c r="O154" t="str">
        <f t="shared" si="64"/>
        <v/>
      </c>
      <c r="P154" t="str">
        <f t="shared" si="65"/>
        <v/>
      </c>
      <c r="Q154" t="str">
        <f t="shared" si="66"/>
        <v/>
      </c>
      <c r="R154" t="str">
        <f>IF(M154="","",IFERROR(INDEX(Tabela7[QT %],MATCH(M154,Tabela7[PONTO],0)),0))</f>
        <v/>
      </c>
      <c r="S154" t="str">
        <f t="shared" si="67"/>
        <v/>
      </c>
      <c r="T154" t="str">
        <f>IF(M154="","",IF($B$9&gt;$B$8,IFERROR((INDEX(GERAL[SNAP],141)-$B$8)/($B$9-$B$8),0),0))</f>
        <v/>
      </c>
      <c r="U154" t="str">
        <f t="shared" si="68"/>
        <v/>
      </c>
      <c r="V154" t="str">
        <f>IFERROR(INDEX(GERAL[LADO],141),"")</f>
        <v/>
      </c>
      <c r="X154" t="str">
        <f>IFERROR(INDEX(GERAL[PONTO],121),"")</f>
        <v/>
      </c>
      <c r="Y154" t="str">
        <f>IF(X154="","",IFERROR(INDEX(GERAL[ACUMULADA],121),0))</f>
        <v/>
      </c>
      <c r="Z154" t="str">
        <f t="shared" si="60"/>
        <v/>
      </c>
      <c r="AA154" t="str">
        <f t="shared" si="61"/>
        <v/>
      </c>
      <c r="AB154" t="str">
        <f t="shared" si="62"/>
        <v/>
      </c>
      <c r="AC154" t="str">
        <f>IF(X154="","",IFERROR(INDEX(DIR_ATUAL[QT %],MATCH(X154,DIR_ATUAL[PONTO],0)),0))</f>
        <v/>
      </c>
      <c r="AD154" t="str">
        <f t="shared" si="63"/>
        <v/>
      </c>
      <c r="AE154" t="str">
        <f>IF(X154="","",IF($E$9&gt;$E$8,IFERROR((INDEX(GERAL[SNAP],121)-$E$8)/($E$9-$E$8),0),0))</f>
        <v/>
      </c>
      <c r="AF154" t="str">
        <f t="shared" si="55"/>
        <v/>
      </c>
      <c r="AG154" t="str">
        <f>IFERROR(INDEX(GERAL[LADO],121),"")</f>
        <v/>
      </c>
    </row>
    <row r="155" spans="13:33" x14ac:dyDescent="0.3">
      <c r="M155" t="str">
        <f>IFERROR(INDEX(GERAL[PONTO],142),"")</f>
        <v/>
      </c>
      <c r="N155" t="str">
        <f>IF(M155="","",IFERROR(INDEX(GERAL[ACUMULADA],142),0))</f>
        <v/>
      </c>
      <c r="O155" t="str">
        <f t="shared" si="64"/>
        <v/>
      </c>
      <c r="P155" t="str">
        <f t="shared" si="65"/>
        <v/>
      </c>
      <c r="Q155" t="str">
        <f t="shared" si="66"/>
        <v/>
      </c>
      <c r="R155" t="str">
        <f>IF(M155="","",IFERROR(INDEX(Tabela7[QT %],MATCH(M155,Tabela7[PONTO],0)),0))</f>
        <v/>
      </c>
      <c r="S155" t="str">
        <f t="shared" si="67"/>
        <v/>
      </c>
      <c r="T155" t="str">
        <f>IF(M155="","",IF($B$9&gt;$B$8,IFERROR((INDEX(GERAL[SNAP],142)-$B$8)/($B$9-$B$8),0),0))</f>
        <v/>
      </c>
      <c r="U155" t="str">
        <f t="shared" si="68"/>
        <v/>
      </c>
      <c r="V155" t="str">
        <f>IFERROR(INDEX(GERAL[LADO],142),"")</f>
        <v/>
      </c>
      <c r="X155" t="str">
        <f>IFERROR(INDEX(GERAL[PONTO],122),"")</f>
        <v/>
      </c>
      <c r="Y155" t="str">
        <f>IF(X155="","",IFERROR(INDEX(GERAL[ACUMULADA],122),0))</f>
        <v/>
      </c>
      <c r="Z155" t="str">
        <f t="shared" si="60"/>
        <v/>
      </c>
      <c r="AA155" t="str">
        <f t="shared" si="61"/>
        <v/>
      </c>
      <c r="AB155" t="str">
        <f t="shared" si="62"/>
        <v/>
      </c>
      <c r="AC155" t="str">
        <f>IF(X155="","",IFERROR(INDEX(DIR_ATUAL[QT %],MATCH(X155,DIR_ATUAL[PONTO],0)),0))</f>
        <v/>
      </c>
      <c r="AD155" t="str">
        <f t="shared" si="63"/>
        <v/>
      </c>
      <c r="AE155" t="str">
        <f>IF(X155="","",IF($E$9&gt;$E$8,IFERROR((INDEX(GERAL[SNAP],122)-$E$8)/($E$9-$E$8),0),0))</f>
        <v/>
      </c>
      <c r="AF155" t="str">
        <f t="shared" si="55"/>
        <v/>
      </c>
      <c r="AG155" t="str">
        <f>IFERROR(INDEX(GERAL[LADO],122),"")</f>
        <v/>
      </c>
    </row>
    <row r="156" spans="13:33" x14ac:dyDescent="0.3">
      <c r="M156" t="str">
        <f>IFERROR(INDEX(GERAL[PONTO],143),"")</f>
        <v/>
      </c>
      <c r="N156" t="str">
        <f>IF(M156="","",IFERROR(INDEX(GERAL[ACUMULADA],143),0))</f>
        <v/>
      </c>
      <c r="O156" t="str">
        <f t="shared" si="64"/>
        <v/>
      </c>
      <c r="P156" t="str">
        <f t="shared" si="65"/>
        <v/>
      </c>
      <c r="Q156" t="str">
        <f t="shared" si="66"/>
        <v/>
      </c>
      <c r="R156" t="str">
        <f>IF(M156="","",IFERROR(INDEX(Tabela7[QT %],MATCH(M156,Tabela7[PONTO],0)),0))</f>
        <v/>
      </c>
      <c r="S156" t="str">
        <f t="shared" si="67"/>
        <v/>
      </c>
      <c r="T156" t="str">
        <f>IF(M156="","",IF($B$9&gt;$B$8,IFERROR((INDEX(GERAL[SNAP],143)-$B$8)/($B$9-$B$8),0),0))</f>
        <v/>
      </c>
      <c r="U156" t="str">
        <f t="shared" si="68"/>
        <v/>
      </c>
      <c r="V156" t="str">
        <f>IFERROR(INDEX(GERAL[LADO],143),"")</f>
        <v/>
      </c>
      <c r="X156" t="str">
        <f>IFERROR(INDEX(GERAL[PONTO],123),"")</f>
        <v/>
      </c>
      <c r="Y156" t="str">
        <f>IF(X156="","",IFERROR(INDEX(GERAL[ACUMULADA],123),0))</f>
        <v/>
      </c>
      <c r="Z156" t="str">
        <f t="shared" si="60"/>
        <v/>
      </c>
      <c r="AA156" t="str">
        <f t="shared" si="61"/>
        <v/>
      </c>
      <c r="AB156" t="str">
        <f t="shared" si="62"/>
        <v/>
      </c>
      <c r="AC156" t="str">
        <f>IF(X156="","",IFERROR(INDEX(DIR_ATUAL[QT %],MATCH(X156,DIR_ATUAL[PONTO],0)),0))</f>
        <v/>
      </c>
      <c r="AD156" t="str">
        <f t="shared" si="63"/>
        <v/>
      </c>
      <c r="AE156" t="str">
        <f>IF(X156="","",IF($E$9&gt;$E$8,IFERROR((INDEX(GERAL[SNAP],123)-$E$8)/($E$9-$E$8),0),0))</f>
        <v/>
      </c>
      <c r="AF156" t="str">
        <f t="shared" si="55"/>
        <v/>
      </c>
      <c r="AG156" t="str">
        <f>IFERROR(INDEX(GERAL[LADO],123),"")</f>
        <v/>
      </c>
    </row>
    <row r="157" spans="13:33" x14ac:dyDescent="0.3">
      <c r="M157" t="str">
        <f>IFERROR(INDEX(GERAL[PONTO],144),"")</f>
        <v/>
      </c>
      <c r="N157" t="str">
        <f>IF(M157="","",IFERROR(INDEX(GERAL[ACUMULADA],144),0))</f>
        <v/>
      </c>
      <c r="O157" t="str">
        <f t="shared" si="64"/>
        <v/>
      </c>
      <c r="P157" t="str">
        <f t="shared" si="65"/>
        <v/>
      </c>
      <c r="Q157" t="str">
        <f t="shared" si="66"/>
        <v/>
      </c>
      <c r="R157" t="str">
        <f>IF(M157="","",IFERROR(INDEX(Tabela7[QT %],MATCH(M157,Tabela7[PONTO],0)),0))</f>
        <v/>
      </c>
      <c r="S157" t="str">
        <f t="shared" si="67"/>
        <v/>
      </c>
      <c r="T157" t="str">
        <f>IF(M157="","",IF($B$9&gt;$B$8,IFERROR((INDEX(GERAL[SNAP],144)-$B$8)/($B$9-$B$8),0),0))</f>
        <v/>
      </c>
      <c r="U157" t="str">
        <f t="shared" si="68"/>
        <v/>
      </c>
      <c r="V157" t="str">
        <f>IFERROR(INDEX(GERAL[LADO],144),"")</f>
        <v/>
      </c>
      <c r="X157" t="str">
        <f>IFERROR(INDEX(GERAL[PONTO],124),"")</f>
        <v/>
      </c>
      <c r="Y157" t="str">
        <f>IF(X157="","",IFERROR(INDEX(GERAL[ACUMULADA],124),0))</f>
        <v/>
      </c>
      <c r="Z157" t="str">
        <f t="shared" si="60"/>
        <v/>
      </c>
      <c r="AA157" t="str">
        <f t="shared" si="61"/>
        <v/>
      </c>
      <c r="AB157" t="str">
        <f t="shared" si="62"/>
        <v/>
      </c>
      <c r="AC157" t="str">
        <f>IF(X157="","",IFERROR(INDEX(DIR_ATUAL[QT %],MATCH(X157,DIR_ATUAL[PONTO],0)),0))</f>
        <v/>
      </c>
      <c r="AD157" t="str">
        <f t="shared" si="63"/>
        <v/>
      </c>
      <c r="AE157" t="str">
        <f>IF(X157="","",IF($E$9&gt;$E$8,IFERROR((INDEX(GERAL[SNAP],124)-$E$8)/($E$9-$E$8),0),0))</f>
        <v/>
      </c>
      <c r="AF157" t="str">
        <f t="shared" si="55"/>
        <v/>
      </c>
      <c r="AG157" t="str">
        <f>IFERROR(INDEX(GERAL[LADO],124),"")</f>
        <v/>
      </c>
    </row>
    <row r="158" spans="13:33" x14ac:dyDescent="0.3">
      <c r="M158" t="str">
        <f>IFERROR(INDEX(GERAL[PONTO],145),"")</f>
        <v/>
      </c>
      <c r="N158" t="str">
        <f>IF(M158="","",IFERROR(INDEX(GERAL[ACUMULADA],145),0))</f>
        <v/>
      </c>
      <c r="O158" t="str">
        <f t="shared" si="64"/>
        <v/>
      </c>
      <c r="P158" t="str">
        <f t="shared" si="65"/>
        <v/>
      </c>
      <c r="Q158" t="str">
        <f t="shared" si="66"/>
        <v/>
      </c>
      <c r="R158" t="str">
        <f>IF(M158="","",IFERROR(INDEX(Tabela7[QT %],MATCH(M158,Tabela7[PONTO],0)),0))</f>
        <v/>
      </c>
      <c r="S158" t="str">
        <f t="shared" si="67"/>
        <v/>
      </c>
      <c r="T158" t="str">
        <f>IF(M158="","",IF($B$9&gt;$B$8,IFERROR((INDEX(GERAL[SNAP],145)-$B$8)/($B$9-$B$8),0),0))</f>
        <v/>
      </c>
      <c r="U158" t="str">
        <f t="shared" si="68"/>
        <v/>
      </c>
      <c r="V158" t="str">
        <f>IFERROR(INDEX(GERAL[LADO],145),"")</f>
        <v/>
      </c>
      <c r="X158" t="str">
        <f>IFERROR(INDEX(GERAL[PONTO],125),"")</f>
        <v/>
      </c>
      <c r="Y158" t="str">
        <f>IF(X158="","",IFERROR(INDEX(GERAL[ACUMULADA],125),0))</f>
        <v/>
      </c>
      <c r="Z158" t="str">
        <f t="shared" si="60"/>
        <v/>
      </c>
      <c r="AA158" t="str">
        <f t="shared" si="61"/>
        <v/>
      </c>
      <c r="AB158" t="str">
        <f t="shared" si="62"/>
        <v/>
      </c>
      <c r="AC158" t="str">
        <f>IF(X158="","",IFERROR(INDEX(DIR_ATUAL[QT %],MATCH(X158,DIR_ATUAL[PONTO],0)),0))</f>
        <v/>
      </c>
      <c r="AD158" t="str">
        <f t="shared" si="63"/>
        <v/>
      </c>
      <c r="AE158" t="str">
        <f>IF(X158="","",IF($E$9&gt;$E$8,IFERROR((INDEX(GERAL[SNAP],125)-$E$8)/($E$9-$E$8),0),0))</f>
        <v/>
      </c>
      <c r="AF158" t="str">
        <f t="shared" si="55"/>
        <v/>
      </c>
      <c r="AG158" t="str">
        <f>IFERROR(INDEX(GERAL[LADO],125),"")</f>
        <v/>
      </c>
    </row>
    <row r="159" spans="13:33" x14ac:dyDescent="0.3">
      <c r="M159" t="str">
        <f>IFERROR(INDEX(GERAL[PONTO],146),"")</f>
        <v/>
      </c>
      <c r="N159" t="str">
        <f>IF(M159="","",IFERROR(INDEX(GERAL[ACUMULADA],146),0))</f>
        <v/>
      </c>
      <c r="O159" t="str">
        <f t="shared" si="64"/>
        <v/>
      </c>
      <c r="P159" t="str">
        <f t="shared" si="65"/>
        <v/>
      </c>
      <c r="Q159" t="str">
        <f t="shared" si="66"/>
        <v/>
      </c>
      <c r="R159" t="str">
        <f>IF(M159="","",IFERROR(INDEX(Tabela7[QT %],MATCH(M159,Tabela7[PONTO],0)),0))</f>
        <v/>
      </c>
      <c r="S159" t="str">
        <f t="shared" si="67"/>
        <v/>
      </c>
      <c r="T159" t="str">
        <f>IF(M159="","",IF($B$9&gt;$B$8,IFERROR((INDEX(GERAL[SNAP],146)-$B$8)/($B$9-$B$8),0),0))</f>
        <v/>
      </c>
      <c r="U159" t="str">
        <f t="shared" si="68"/>
        <v/>
      </c>
      <c r="V159" t="str">
        <f>IFERROR(INDEX(GERAL[LADO],146),"")</f>
        <v/>
      </c>
      <c r="X159" t="str">
        <f>IFERROR(INDEX(GERAL[PONTO],126),"")</f>
        <v/>
      </c>
      <c r="Y159" t="str">
        <f>IF(X159="","",IFERROR(INDEX(GERAL[ACUMULADA],126),0))</f>
        <v/>
      </c>
      <c r="Z159" t="str">
        <f t="shared" si="60"/>
        <v/>
      </c>
      <c r="AA159" t="str">
        <f t="shared" si="61"/>
        <v/>
      </c>
      <c r="AB159" t="str">
        <f t="shared" si="62"/>
        <v/>
      </c>
      <c r="AC159" t="str">
        <f>IF(X159="","",IFERROR(INDEX(DIR_ATUAL[QT %],MATCH(X159,DIR_ATUAL[PONTO],0)),0))</f>
        <v/>
      </c>
      <c r="AD159" t="str">
        <f t="shared" si="63"/>
        <v/>
      </c>
      <c r="AE159" t="str">
        <f>IF(X159="","",IF($E$9&gt;$E$8,IFERROR((INDEX(GERAL[SNAP],126)-$E$8)/($E$9-$E$8),0),0))</f>
        <v/>
      </c>
      <c r="AF159" t="str">
        <f t="shared" si="55"/>
        <v/>
      </c>
      <c r="AG159" t="str">
        <f>IFERROR(INDEX(GERAL[LADO],126),"")</f>
        <v/>
      </c>
    </row>
    <row r="160" spans="13:33" x14ac:dyDescent="0.3">
      <c r="M160" t="str">
        <f>IFERROR(INDEX(GERAL[PONTO],147),"")</f>
        <v/>
      </c>
      <c r="N160" t="str">
        <f>IF(M160="","",IFERROR(INDEX(GERAL[ACUMULADA],147),0))</f>
        <v/>
      </c>
      <c r="O160" t="str">
        <f t="shared" si="64"/>
        <v/>
      </c>
      <c r="P160" t="str">
        <f t="shared" si="65"/>
        <v/>
      </c>
      <c r="Q160" t="str">
        <f t="shared" si="66"/>
        <v/>
      </c>
      <c r="R160" t="str">
        <f>IF(M160="","",IFERROR(INDEX(Tabela7[QT %],MATCH(M160,Tabela7[PONTO],0)),0))</f>
        <v/>
      </c>
      <c r="S160" t="str">
        <f t="shared" si="67"/>
        <v/>
      </c>
      <c r="T160" t="str">
        <f>IF(M160="","",IF($B$9&gt;$B$8,IFERROR((INDEX(GERAL[SNAP],147)-$B$8)/($B$9-$B$8),0),0))</f>
        <v/>
      </c>
      <c r="U160" t="str">
        <f t="shared" si="68"/>
        <v/>
      </c>
      <c r="V160" t="str">
        <f>IFERROR(INDEX(GERAL[LADO],147),"")</f>
        <v/>
      </c>
      <c r="X160" t="str">
        <f>IFERROR(INDEX(GERAL[PONTO],127),"")</f>
        <v/>
      </c>
      <c r="Y160" t="str">
        <f>IF(X160="","",IFERROR(INDEX(GERAL[ACUMULADA],127),0))</f>
        <v/>
      </c>
      <c r="Z160" t="str">
        <f t="shared" si="60"/>
        <v/>
      </c>
      <c r="AA160" t="str">
        <f t="shared" si="61"/>
        <v/>
      </c>
      <c r="AB160" t="str">
        <f t="shared" si="62"/>
        <v/>
      </c>
      <c r="AC160" t="str">
        <f>IF(X160="","",IFERROR(INDEX(DIR_ATUAL[QT %],MATCH(X160,DIR_ATUAL[PONTO],0)),0))</f>
        <v/>
      </c>
      <c r="AD160" t="str">
        <f t="shared" si="63"/>
        <v/>
      </c>
      <c r="AE160" t="str">
        <f>IF(X160="","",IF($E$9&gt;$E$8,IFERROR((INDEX(GERAL[SNAP],127)-$E$8)/($E$9-$E$8),0),0))</f>
        <v/>
      </c>
      <c r="AF160" t="str">
        <f t="shared" si="55"/>
        <v/>
      </c>
      <c r="AG160" t="str">
        <f>IFERROR(INDEX(GERAL[LADO],127),"")</f>
        <v/>
      </c>
    </row>
    <row r="161" spans="13:33" x14ac:dyDescent="0.3">
      <c r="M161" t="str">
        <f>IFERROR(INDEX(GERAL[PONTO],148),"")</f>
        <v/>
      </c>
      <c r="N161" t="str">
        <f>IF(M161="","",IFERROR(INDEX(GERAL[ACUMULADA],148),0))</f>
        <v/>
      </c>
      <c r="O161" t="str">
        <f t="shared" si="64"/>
        <v/>
      </c>
      <c r="P161" t="str">
        <f t="shared" si="65"/>
        <v/>
      </c>
      <c r="Q161" t="str">
        <f t="shared" si="66"/>
        <v/>
      </c>
      <c r="R161" t="str">
        <f>IF(M161="","",IFERROR(INDEX(Tabela7[QT %],MATCH(M161,Tabela7[PONTO],0)),0))</f>
        <v/>
      </c>
      <c r="S161" t="str">
        <f t="shared" si="67"/>
        <v/>
      </c>
      <c r="T161" t="str">
        <f>IF(M161="","",IF($B$9&gt;$B$8,IFERROR((INDEX(GERAL[SNAP],148)-$B$8)/($B$9-$B$8),0),0))</f>
        <v/>
      </c>
      <c r="U161" t="str">
        <f t="shared" si="68"/>
        <v/>
      </c>
      <c r="V161" t="str">
        <f>IFERROR(INDEX(GERAL[LADO],148),"")</f>
        <v/>
      </c>
      <c r="X161" t="str">
        <f>IFERROR(INDEX(GERAL[PONTO],128),"")</f>
        <v/>
      </c>
      <c r="Y161" t="str">
        <f>IF(X161="","",IFERROR(INDEX(GERAL[ACUMULADA],128),0))</f>
        <v/>
      </c>
      <c r="Z161" t="str">
        <f t="shared" si="60"/>
        <v/>
      </c>
      <c r="AA161" t="str">
        <f t="shared" si="61"/>
        <v/>
      </c>
      <c r="AB161" t="str">
        <f t="shared" si="62"/>
        <v/>
      </c>
      <c r="AC161" t="str">
        <f>IF(X161="","",IFERROR(INDEX(DIR_ATUAL[QT %],MATCH(X161,DIR_ATUAL[PONTO],0)),0))</f>
        <v/>
      </c>
      <c r="AD161" t="str">
        <f t="shared" si="63"/>
        <v/>
      </c>
      <c r="AE161" t="str">
        <f>IF(X161="","",IF($E$9&gt;$E$8,IFERROR((INDEX(GERAL[SNAP],128)-$E$8)/($E$9-$E$8),0),0))</f>
        <v/>
      </c>
      <c r="AF161" t="str">
        <f t="shared" si="55"/>
        <v/>
      </c>
      <c r="AG161" t="str">
        <f>IFERROR(INDEX(GERAL[LADO],128),"")</f>
        <v/>
      </c>
    </row>
    <row r="162" spans="13:33" x14ac:dyDescent="0.3">
      <c r="M162" t="str">
        <f>IFERROR(INDEX(GERAL[PONTO],149),"")</f>
        <v/>
      </c>
      <c r="N162" t="str">
        <f>IF(M162="","",IFERROR(INDEX(GERAL[ACUMULADA],149),0))</f>
        <v/>
      </c>
      <c r="O162" t="str">
        <f t="shared" si="64"/>
        <v/>
      </c>
      <c r="P162" t="str">
        <f t="shared" si="65"/>
        <v/>
      </c>
      <c r="Q162" t="str">
        <f t="shared" si="66"/>
        <v/>
      </c>
      <c r="R162" t="str">
        <f>IF(M162="","",IFERROR(INDEX(Tabela7[QT %],MATCH(M162,Tabela7[PONTO],0)),0))</f>
        <v/>
      </c>
      <c r="S162" t="str">
        <f t="shared" si="67"/>
        <v/>
      </c>
      <c r="T162" t="str">
        <f>IF(M162="","",IF($B$9&gt;$B$8,IFERROR((INDEX(GERAL[SNAP],149)-$B$8)/($B$9-$B$8),0),0))</f>
        <v/>
      </c>
      <c r="U162" t="str">
        <f t="shared" si="68"/>
        <v/>
      </c>
      <c r="V162" t="str">
        <f>IFERROR(INDEX(GERAL[LADO],149),"")</f>
        <v/>
      </c>
      <c r="X162" t="str">
        <f>IFERROR(INDEX(GERAL[PONTO],129),"")</f>
        <v/>
      </c>
      <c r="Y162" t="str">
        <f>IF(X162="","",IFERROR(INDEX(GERAL[ACUMULADA],129),0))</f>
        <v/>
      </c>
      <c r="Z162" t="str">
        <f t="shared" ref="Z162:Z193" si="69">IF(Y162="","",$B$31-Y162)</f>
        <v/>
      </c>
      <c r="AA162" t="str">
        <f t="shared" ref="AA162:AA193" si="70">IF(Y162="","",IF(Y162*1.15&lt;=30,30,IF(Y162*1.15&lt;=45,45,IF(Y162*1.15&lt;=75,75,IF(Y162*1.15&lt;=112.5,112.5,IF(Y162*1.15&lt;=150,150,IF(Y162*1.15&lt;=225,225,300)))))))</f>
        <v/>
      </c>
      <c r="AB162" t="str">
        <f t="shared" ref="AB162:AB193" si="71">IF(AA162="","",IFERROR(Y162/AA162,0))</f>
        <v/>
      </c>
      <c r="AC162" t="str">
        <f>IF(X162="","",IFERROR(INDEX(DIR_ATUAL[QT %],MATCH(X162,DIR_ATUAL[PONTO],0)),0))</f>
        <v/>
      </c>
      <c r="AD162" t="str">
        <f t="shared" ref="AD162:AD193" si="72">IF(Y162="","",IFERROR(1-ABS(Y162-Z162)/$B$31,0))</f>
        <v/>
      </c>
      <c r="AE162" t="str">
        <f>IF(X162="","",IF($E$9&gt;$E$8,IFERROR((INDEX(GERAL[SNAP],129)-$E$8)/($E$9-$E$8),0),0))</f>
        <v/>
      </c>
      <c r="AF162" t="str">
        <f t="shared" si="55"/>
        <v/>
      </c>
      <c r="AG162" t="str">
        <f>IFERROR(INDEX(GERAL[LADO],129),"")</f>
        <v/>
      </c>
    </row>
    <row r="163" spans="13:33" x14ac:dyDescent="0.3">
      <c r="M163" t="str">
        <f>IFERROR(INDEX(GERAL[PONTO],150),"")</f>
        <v/>
      </c>
      <c r="N163" t="str">
        <f>IF(M163="","",IFERROR(INDEX(GERAL[ACUMULADA],150),0))</f>
        <v/>
      </c>
      <c r="O163" t="str">
        <f t="shared" si="64"/>
        <v/>
      </c>
      <c r="P163" t="str">
        <f t="shared" si="65"/>
        <v/>
      </c>
      <c r="Q163" t="str">
        <f t="shared" si="66"/>
        <v/>
      </c>
      <c r="R163" t="str">
        <f>IF(M163="","",IFERROR(INDEX(Tabela7[QT %],MATCH(M163,Tabela7[PONTO],0)),0))</f>
        <v/>
      </c>
      <c r="S163" t="str">
        <f t="shared" si="67"/>
        <v/>
      </c>
      <c r="T163" t="str">
        <f>IF(M163="","",IF($B$9&gt;$B$8,IFERROR((INDEX(GERAL[SNAP],150)-$B$8)/($B$9-$B$8),0),0))</f>
        <v/>
      </c>
      <c r="U163" t="str">
        <f t="shared" si="68"/>
        <v/>
      </c>
      <c r="V163" t="str">
        <f>IFERROR(INDEX(GERAL[LADO],150),"")</f>
        <v/>
      </c>
      <c r="X163" t="str">
        <f>IFERROR(INDEX(GERAL[PONTO],130),"")</f>
        <v/>
      </c>
      <c r="Y163" t="str">
        <f>IF(X163="","",IFERROR(INDEX(GERAL[ACUMULADA],130),0))</f>
        <v/>
      </c>
      <c r="Z163" t="str">
        <f t="shared" si="69"/>
        <v/>
      </c>
      <c r="AA163" t="str">
        <f t="shared" si="70"/>
        <v/>
      </c>
      <c r="AB163" t="str">
        <f t="shared" si="71"/>
        <v/>
      </c>
      <c r="AC163" t="str">
        <f>IF(X163="","",IFERROR(INDEX(DIR_ATUAL[QT %],MATCH(X163,DIR_ATUAL[PONTO],0)),0))</f>
        <v/>
      </c>
      <c r="AD163" t="str">
        <f t="shared" si="72"/>
        <v/>
      </c>
      <c r="AE163" t="str">
        <f>IF(X163="","",IF($E$9&gt;$E$8,IFERROR((INDEX(GERAL[SNAP],130)-$E$8)/($E$9-$E$8),0),0))</f>
        <v/>
      </c>
      <c r="AF163" t="str">
        <f t="shared" ref="AF163:AF220" si="73">IF(OR(X163="",AG163&lt;&gt;"LADO 2"),"",$L$2*IFERROR(Y163/$B$31,0)+$L$3*IF($D$31&gt;0,IFERROR(AC163/$D$31,0),0)+$L$4*IFERROR(AD163,0)-$L$5*IFERROR(AE163,0)-$L$6*MAX(0,IFERROR(AB163,0)-$L$7)+ROW()/1000000)</f>
        <v/>
      </c>
      <c r="AG163" t="str">
        <f>IFERROR(INDEX(GERAL[LADO],130),"")</f>
        <v/>
      </c>
    </row>
    <row r="164" spans="13:33" x14ac:dyDescent="0.3">
      <c r="M164" t="str">
        <f>IFERROR(INDEX(GERAL[PONTO],151),"")</f>
        <v/>
      </c>
      <c r="N164" t="str">
        <f>IF(M164="","",IFERROR(INDEX(GERAL[ACUMULADA],151),0))</f>
        <v/>
      </c>
      <c r="O164" t="str">
        <f t="shared" si="64"/>
        <v/>
      </c>
      <c r="P164" t="str">
        <f t="shared" si="65"/>
        <v/>
      </c>
      <c r="Q164" t="str">
        <f t="shared" si="66"/>
        <v/>
      </c>
      <c r="R164" t="str">
        <f>IF(M164="","",IFERROR(INDEX(Tabela7[QT %],MATCH(M164,Tabela7[PONTO],0)),0))</f>
        <v/>
      </c>
      <c r="S164" t="str">
        <f t="shared" si="67"/>
        <v/>
      </c>
      <c r="T164" t="str">
        <f>IF(M164="","",IF($B$9&gt;$B$8,IFERROR((INDEX(GERAL[SNAP],151)-$B$8)/($B$9-$B$8),0),0))</f>
        <v/>
      </c>
      <c r="U164" t="str">
        <f t="shared" si="68"/>
        <v/>
      </c>
      <c r="V164" t="str">
        <f>IFERROR(INDEX(GERAL[LADO],151),"")</f>
        <v/>
      </c>
      <c r="X164" t="str">
        <f>IFERROR(INDEX(GERAL[PONTO],131),"")</f>
        <v/>
      </c>
      <c r="Y164" t="str">
        <f>IF(X164="","",IFERROR(INDEX(GERAL[ACUMULADA],131),0))</f>
        <v/>
      </c>
      <c r="Z164" t="str">
        <f t="shared" si="69"/>
        <v/>
      </c>
      <c r="AA164" t="str">
        <f t="shared" si="70"/>
        <v/>
      </c>
      <c r="AB164" t="str">
        <f t="shared" si="71"/>
        <v/>
      </c>
      <c r="AC164" t="str">
        <f>IF(X164="","",IFERROR(INDEX(DIR_ATUAL[QT %],MATCH(X164,DIR_ATUAL[PONTO],0)),0))</f>
        <v/>
      </c>
      <c r="AD164" t="str">
        <f t="shared" si="72"/>
        <v/>
      </c>
      <c r="AE164" t="str">
        <f>IF(X164="","",IF($E$9&gt;$E$8,IFERROR((INDEX(GERAL[SNAP],131)-$E$8)/($E$9-$E$8),0),0))</f>
        <v/>
      </c>
      <c r="AF164" t="str">
        <f t="shared" si="73"/>
        <v/>
      </c>
      <c r="AG164" t="str">
        <f>IFERROR(INDEX(GERAL[LADO],131),"")</f>
        <v/>
      </c>
    </row>
    <row r="165" spans="13:33" x14ac:dyDescent="0.3">
      <c r="M165" t="str">
        <f>IFERROR(INDEX(GERAL[PONTO],152),"")</f>
        <v/>
      </c>
      <c r="N165" t="str">
        <f>IF(M165="","",IFERROR(INDEX(GERAL[ACUMULADA],152),0))</f>
        <v/>
      </c>
      <c r="O165" t="str">
        <f t="shared" si="64"/>
        <v/>
      </c>
      <c r="P165" t="str">
        <f t="shared" si="65"/>
        <v/>
      </c>
      <c r="Q165" t="str">
        <f t="shared" si="66"/>
        <v/>
      </c>
      <c r="R165" t="str">
        <f>IF(M165="","",IFERROR(INDEX(Tabela7[QT %],MATCH(M165,Tabela7[PONTO],0)),0))</f>
        <v/>
      </c>
      <c r="S165" t="str">
        <f t="shared" si="67"/>
        <v/>
      </c>
      <c r="T165" t="str">
        <f>IF(M165="","",IF($B$9&gt;$B$8,IFERROR((INDEX(GERAL[SNAP],152)-$B$8)/($B$9-$B$8),0),0))</f>
        <v/>
      </c>
      <c r="U165" t="str">
        <f t="shared" si="68"/>
        <v/>
      </c>
      <c r="V165" t="str">
        <f>IFERROR(INDEX(GERAL[LADO],152),"")</f>
        <v/>
      </c>
      <c r="X165" t="str">
        <f>IFERROR(INDEX(GERAL[PONTO],132),"")</f>
        <v/>
      </c>
      <c r="Y165" t="str">
        <f>IF(X165="","",IFERROR(INDEX(GERAL[ACUMULADA],132),0))</f>
        <v/>
      </c>
      <c r="Z165" t="str">
        <f t="shared" si="69"/>
        <v/>
      </c>
      <c r="AA165" t="str">
        <f t="shared" si="70"/>
        <v/>
      </c>
      <c r="AB165" t="str">
        <f t="shared" si="71"/>
        <v/>
      </c>
      <c r="AC165" t="str">
        <f>IF(X165="","",IFERROR(INDEX(DIR_ATUAL[QT %],MATCH(X165,DIR_ATUAL[PONTO],0)),0))</f>
        <v/>
      </c>
      <c r="AD165" t="str">
        <f t="shared" si="72"/>
        <v/>
      </c>
      <c r="AE165" t="str">
        <f>IF(X165="","",IF($E$9&gt;$E$8,IFERROR((INDEX(GERAL[SNAP],132)-$E$8)/($E$9-$E$8),0),0))</f>
        <v/>
      </c>
      <c r="AF165" t="str">
        <f t="shared" si="73"/>
        <v/>
      </c>
      <c r="AG165" t="str">
        <f>IFERROR(INDEX(GERAL[LADO],132),"")</f>
        <v/>
      </c>
    </row>
    <row r="166" spans="13:33" x14ac:dyDescent="0.3">
      <c r="M166" t="str">
        <f>IFERROR(INDEX(GERAL[PONTO],153),"")</f>
        <v/>
      </c>
      <c r="N166" t="str">
        <f>IF(M166="","",IFERROR(INDEX(GERAL[ACUMULADA],153),0))</f>
        <v/>
      </c>
      <c r="O166" t="str">
        <f t="shared" si="64"/>
        <v/>
      </c>
      <c r="P166" t="str">
        <f t="shared" si="65"/>
        <v/>
      </c>
      <c r="Q166" t="str">
        <f t="shared" si="66"/>
        <v/>
      </c>
      <c r="R166" t="str">
        <f>IF(M166="","",IFERROR(INDEX(Tabela7[QT %],MATCH(M166,Tabela7[PONTO],0)),0))</f>
        <v/>
      </c>
      <c r="S166" t="str">
        <f t="shared" si="67"/>
        <v/>
      </c>
      <c r="T166" t="str">
        <f>IF(M166="","",IF($B$9&gt;$B$8,IFERROR((INDEX(GERAL[SNAP],153)-$B$8)/($B$9-$B$8),0),0))</f>
        <v/>
      </c>
      <c r="U166" t="str">
        <f t="shared" si="68"/>
        <v/>
      </c>
      <c r="V166" t="str">
        <f>IFERROR(INDEX(GERAL[LADO],153),"")</f>
        <v/>
      </c>
      <c r="X166" t="str">
        <f>IFERROR(INDEX(GERAL[PONTO],133),"")</f>
        <v/>
      </c>
      <c r="Y166" t="str">
        <f>IF(X166="","",IFERROR(INDEX(GERAL[ACUMULADA],133),0))</f>
        <v/>
      </c>
      <c r="Z166" t="str">
        <f t="shared" si="69"/>
        <v/>
      </c>
      <c r="AA166" t="str">
        <f t="shared" si="70"/>
        <v/>
      </c>
      <c r="AB166" t="str">
        <f t="shared" si="71"/>
        <v/>
      </c>
      <c r="AC166" t="str">
        <f>IF(X166="","",IFERROR(INDEX(DIR_ATUAL[QT %],MATCH(X166,DIR_ATUAL[PONTO],0)),0))</f>
        <v/>
      </c>
      <c r="AD166" t="str">
        <f t="shared" si="72"/>
        <v/>
      </c>
      <c r="AE166" t="str">
        <f>IF(X166="","",IF($E$9&gt;$E$8,IFERROR((INDEX(GERAL[SNAP],133)-$E$8)/($E$9-$E$8),0),0))</f>
        <v/>
      </c>
      <c r="AF166" t="str">
        <f t="shared" si="73"/>
        <v/>
      </c>
      <c r="AG166" t="str">
        <f>IFERROR(INDEX(GERAL[LADO],133),"")</f>
        <v/>
      </c>
    </row>
    <row r="167" spans="13:33" x14ac:dyDescent="0.3">
      <c r="M167" t="str">
        <f>IFERROR(INDEX(GERAL[PONTO],154),"")</f>
        <v/>
      </c>
      <c r="N167" t="str">
        <f>IF(M167="","",IFERROR(INDEX(GERAL[ACUMULADA],154),0))</f>
        <v/>
      </c>
      <c r="O167" t="str">
        <f t="shared" si="64"/>
        <v/>
      </c>
      <c r="P167" t="str">
        <f t="shared" si="65"/>
        <v/>
      </c>
      <c r="Q167" t="str">
        <f t="shared" si="66"/>
        <v/>
      </c>
      <c r="R167" t="str">
        <f>IF(M167="","",IFERROR(INDEX(Tabela7[QT %],MATCH(M167,Tabela7[PONTO],0)),0))</f>
        <v/>
      </c>
      <c r="S167" t="str">
        <f t="shared" si="67"/>
        <v/>
      </c>
      <c r="T167" t="str">
        <f>IF(M167="","",IF($B$9&gt;$B$8,IFERROR((INDEX(GERAL[SNAP],154)-$B$8)/($B$9-$B$8),0),0))</f>
        <v/>
      </c>
      <c r="U167" t="str">
        <f t="shared" si="68"/>
        <v/>
      </c>
      <c r="V167" t="str">
        <f>IFERROR(INDEX(GERAL[LADO],154),"")</f>
        <v/>
      </c>
      <c r="X167" t="str">
        <f>IFERROR(INDEX(GERAL[PONTO],134),"")</f>
        <v/>
      </c>
      <c r="Y167" t="str">
        <f>IF(X167="","",IFERROR(INDEX(GERAL[ACUMULADA],134),0))</f>
        <v/>
      </c>
      <c r="Z167" t="str">
        <f t="shared" si="69"/>
        <v/>
      </c>
      <c r="AA167" t="str">
        <f t="shared" si="70"/>
        <v/>
      </c>
      <c r="AB167" t="str">
        <f t="shared" si="71"/>
        <v/>
      </c>
      <c r="AC167" t="str">
        <f>IF(X167="","",IFERROR(INDEX(DIR_ATUAL[QT %],MATCH(X167,DIR_ATUAL[PONTO],0)),0))</f>
        <v/>
      </c>
      <c r="AD167" t="str">
        <f t="shared" si="72"/>
        <v/>
      </c>
      <c r="AE167" t="str">
        <f>IF(X167="","",IF($E$9&gt;$E$8,IFERROR((INDEX(GERAL[SNAP],134)-$E$8)/($E$9-$E$8),0),0))</f>
        <v/>
      </c>
      <c r="AF167" t="str">
        <f t="shared" si="73"/>
        <v/>
      </c>
      <c r="AG167" t="str">
        <f>IFERROR(INDEX(GERAL[LADO],134),"")</f>
        <v/>
      </c>
    </row>
    <row r="168" spans="13:33" x14ac:dyDescent="0.3">
      <c r="M168" t="str">
        <f>IFERROR(INDEX(GERAL[PONTO],155),"")</f>
        <v/>
      </c>
      <c r="N168" t="str">
        <f>IF(M168="","",IFERROR(INDEX(GERAL[ACUMULADA],155),0))</f>
        <v/>
      </c>
      <c r="O168" t="str">
        <f t="shared" si="64"/>
        <v/>
      </c>
      <c r="P168" t="str">
        <f t="shared" si="65"/>
        <v/>
      </c>
      <c r="Q168" t="str">
        <f t="shared" si="66"/>
        <v/>
      </c>
      <c r="R168" t="str">
        <f>IF(M168="","",IFERROR(INDEX(Tabela7[QT %],MATCH(M168,Tabela7[PONTO],0)),0))</f>
        <v/>
      </c>
      <c r="S168" t="str">
        <f t="shared" si="67"/>
        <v/>
      </c>
      <c r="T168" t="str">
        <f>IF(M168="","",IF($B$9&gt;$B$8,IFERROR((INDEX(GERAL[SNAP],155)-$B$8)/($B$9-$B$8),0),0))</f>
        <v/>
      </c>
      <c r="U168" t="str">
        <f t="shared" si="68"/>
        <v/>
      </c>
      <c r="V168" t="str">
        <f>IFERROR(INDEX(GERAL[LADO],155),"")</f>
        <v/>
      </c>
      <c r="X168" t="str">
        <f>IFERROR(INDEX(GERAL[PONTO],135),"")</f>
        <v/>
      </c>
      <c r="Y168" t="str">
        <f>IF(X168="","",IFERROR(INDEX(GERAL[ACUMULADA],135),0))</f>
        <v/>
      </c>
      <c r="Z168" t="str">
        <f t="shared" si="69"/>
        <v/>
      </c>
      <c r="AA168" t="str">
        <f t="shared" si="70"/>
        <v/>
      </c>
      <c r="AB168" t="str">
        <f t="shared" si="71"/>
        <v/>
      </c>
      <c r="AC168" t="str">
        <f>IF(X168="","",IFERROR(INDEX(DIR_ATUAL[QT %],MATCH(X168,DIR_ATUAL[PONTO],0)),0))</f>
        <v/>
      </c>
      <c r="AD168" t="str">
        <f t="shared" si="72"/>
        <v/>
      </c>
      <c r="AE168" t="str">
        <f>IF(X168="","",IF($E$9&gt;$E$8,IFERROR((INDEX(GERAL[SNAP],135)-$E$8)/($E$9-$E$8),0),0))</f>
        <v/>
      </c>
      <c r="AF168" t="str">
        <f t="shared" si="73"/>
        <v/>
      </c>
      <c r="AG168" t="str">
        <f>IFERROR(INDEX(GERAL[LADO],135),"")</f>
        <v/>
      </c>
    </row>
    <row r="169" spans="13:33" x14ac:dyDescent="0.3">
      <c r="M169" t="str">
        <f>IFERROR(INDEX(GERAL[PONTO],156),"")</f>
        <v/>
      </c>
      <c r="N169" t="str">
        <f>IF(M169="","",IFERROR(INDEX(GERAL[ACUMULADA],156),0))</f>
        <v/>
      </c>
      <c r="O169" t="str">
        <f t="shared" si="64"/>
        <v/>
      </c>
      <c r="P169" t="str">
        <f t="shared" si="65"/>
        <v/>
      </c>
      <c r="Q169" t="str">
        <f t="shared" si="66"/>
        <v/>
      </c>
      <c r="R169" t="str">
        <f>IF(M169="","",IFERROR(INDEX(Tabela7[QT %],MATCH(M169,Tabela7[PONTO],0)),0))</f>
        <v/>
      </c>
      <c r="S169" t="str">
        <f t="shared" si="67"/>
        <v/>
      </c>
      <c r="T169" t="str">
        <f>IF(M169="","",IF($B$9&gt;$B$8,IFERROR((INDEX(GERAL[SNAP],156)-$B$8)/($B$9-$B$8),0),0))</f>
        <v/>
      </c>
      <c r="U169" t="str">
        <f t="shared" si="68"/>
        <v/>
      </c>
      <c r="V169" t="str">
        <f>IFERROR(INDEX(GERAL[LADO],156),"")</f>
        <v/>
      </c>
      <c r="X169" t="str">
        <f>IFERROR(INDEX(GERAL[PONTO],136),"")</f>
        <v/>
      </c>
      <c r="Y169" t="str">
        <f>IF(X169="","",IFERROR(INDEX(GERAL[ACUMULADA],136),0))</f>
        <v/>
      </c>
      <c r="Z169" t="str">
        <f t="shared" si="69"/>
        <v/>
      </c>
      <c r="AA169" t="str">
        <f t="shared" si="70"/>
        <v/>
      </c>
      <c r="AB169" t="str">
        <f t="shared" si="71"/>
        <v/>
      </c>
      <c r="AC169" t="str">
        <f>IF(X169="","",IFERROR(INDEX(DIR_ATUAL[QT %],MATCH(X169,DIR_ATUAL[PONTO],0)),0))</f>
        <v/>
      </c>
      <c r="AD169" t="str">
        <f t="shared" si="72"/>
        <v/>
      </c>
      <c r="AE169" t="str">
        <f>IF(X169="","",IF($E$9&gt;$E$8,IFERROR((INDEX(GERAL[SNAP],136)-$E$8)/($E$9-$E$8),0),0))</f>
        <v/>
      </c>
      <c r="AF169" t="str">
        <f t="shared" si="73"/>
        <v/>
      </c>
      <c r="AG169" t="str">
        <f>IFERROR(INDEX(GERAL[LADO],136),"")</f>
        <v/>
      </c>
    </row>
    <row r="170" spans="13:33" x14ac:dyDescent="0.3">
      <c r="M170" t="str">
        <f>IFERROR(INDEX(GERAL[PONTO],157),"")</f>
        <v/>
      </c>
      <c r="N170" t="str">
        <f>IF(M170="","",IFERROR(INDEX(GERAL[ACUMULADA],157),0))</f>
        <v/>
      </c>
      <c r="O170" t="str">
        <f t="shared" si="64"/>
        <v/>
      </c>
      <c r="P170" t="str">
        <f t="shared" si="65"/>
        <v/>
      </c>
      <c r="Q170" t="str">
        <f t="shared" si="66"/>
        <v/>
      </c>
      <c r="R170" t="str">
        <f>IF(M170="","",IFERROR(INDEX(Tabela7[QT %],MATCH(M170,Tabela7[PONTO],0)),0))</f>
        <v/>
      </c>
      <c r="S170" t="str">
        <f t="shared" si="67"/>
        <v/>
      </c>
      <c r="T170" t="str">
        <f>IF(M170="","",IF($B$9&gt;$B$8,IFERROR((INDEX(GERAL[SNAP],157)-$B$8)/($B$9-$B$8),0),0))</f>
        <v/>
      </c>
      <c r="U170" t="str">
        <f t="shared" si="68"/>
        <v/>
      </c>
      <c r="V170" t="str">
        <f>IFERROR(INDEX(GERAL[LADO],157),"")</f>
        <v/>
      </c>
      <c r="X170" t="str">
        <f>IFERROR(INDEX(GERAL[PONTO],137),"")</f>
        <v/>
      </c>
      <c r="Y170" t="str">
        <f>IF(X170="","",IFERROR(INDEX(GERAL[ACUMULADA],137),0))</f>
        <v/>
      </c>
      <c r="Z170" t="str">
        <f t="shared" si="69"/>
        <v/>
      </c>
      <c r="AA170" t="str">
        <f t="shared" si="70"/>
        <v/>
      </c>
      <c r="AB170" t="str">
        <f t="shared" si="71"/>
        <v/>
      </c>
      <c r="AC170" t="str">
        <f>IF(X170="","",IFERROR(INDEX(DIR_ATUAL[QT %],MATCH(X170,DIR_ATUAL[PONTO],0)),0))</f>
        <v/>
      </c>
      <c r="AD170" t="str">
        <f t="shared" si="72"/>
        <v/>
      </c>
      <c r="AE170" t="str">
        <f>IF(X170="","",IF($E$9&gt;$E$8,IFERROR((INDEX(GERAL[SNAP],137)-$E$8)/($E$9-$E$8),0),0))</f>
        <v/>
      </c>
      <c r="AF170" t="str">
        <f t="shared" si="73"/>
        <v/>
      </c>
      <c r="AG170" t="str">
        <f>IFERROR(INDEX(GERAL[LADO],137),"")</f>
        <v/>
      </c>
    </row>
    <row r="171" spans="13:33" x14ac:dyDescent="0.3">
      <c r="M171" t="str">
        <f>IFERROR(INDEX(GERAL[PONTO],158),"")</f>
        <v/>
      </c>
      <c r="N171" t="str">
        <f>IF(M171="","",IFERROR(INDEX(GERAL[ACUMULADA],158),0))</f>
        <v/>
      </c>
      <c r="O171" t="str">
        <f t="shared" si="64"/>
        <v/>
      </c>
      <c r="P171" t="str">
        <f t="shared" si="65"/>
        <v/>
      </c>
      <c r="Q171" t="str">
        <f t="shared" si="66"/>
        <v/>
      </c>
      <c r="R171" t="str">
        <f>IF(M171="","",IFERROR(INDEX(Tabela7[QT %],MATCH(M171,Tabela7[PONTO],0)),0))</f>
        <v/>
      </c>
      <c r="S171" t="str">
        <f t="shared" si="67"/>
        <v/>
      </c>
      <c r="T171" t="str">
        <f>IF(M171="","",IF($B$9&gt;$B$8,IFERROR((INDEX(GERAL[SNAP],158)-$B$8)/($B$9-$B$8),0),0))</f>
        <v/>
      </c>
      <c r="U171" t="str">
        <f t="shared" si="68"/>
        <v/>
      </c>
      <c r="V171" t="str">
        <f>IFERROR(INDEX(GERAL[LADO],158),"")</f>
        <v/>
      </c>
      <c r="X171" t="str">
        <f>IFERROR(INDEX(GERAL[PONTO],138),"")</f>
        <v/>
      </c>
      <c r="Y171" t="str">
        <f>IF(X171="","",IFERROR(INDEX(GERAL[ACUMULADA],138),0))</f>
        <v/>
      </c>
      <c r="Z171" t="str">
        <f t="shared" si="69"/>
        <v/>
      </c>
      <c r="AA171" t="str">
        <f t="shared" si="70"/>
        <v/>
      </c>
      <c r="AB171" t="str">
        <f t="shared" si="71"/>
        <v/>
      </c>
      <c r="AC171" t="str">
        <f>IF(X171="","",IFERROR(INDEX(DIR_ATUAL[QT %],MATCH(X171,DIR_ATUAL[PONTO],0)),0))</f>
        <v/>
      </c>
      <c r="AD171" t="str">
        <f t="shared" si="72"/>
        <v/>
      </c>
      <c r="AE171" t="str">
        <f>IF(X171="","",IF($E$9&gt;$E$8,IFERROR((INDEX(GERAL[SNAP],138)-$E$8)/($E$9-$E$8),0),0))</f>
        <v/>
      </c>
      <c r="AF171" t="str">
        <f t="shared" si="73"/>
        <v/>
      </c>
      <c r="AG171" t="str">
        <f>IFERROR(INDEX(GERAL[LADO],138),"")</f>
        <v/>
      </c>
    </row>
    <row r="172" spans="13:33" x14ac:dyDescent="0.3">
      <c r="M172" t="str">
        <f>IFERROR(INDEX(GERAL[PONTO],159),"")</f>
        <v/>
      </c>
      <c r="N172" t="str">
        <f>IF(M172="","",IFERROR(INDEX(GERAL[ACUMULADA],159),0))</f>
        <v/>
      </c>
      <c r="O172" t="str">
        <f t="shared" si="64"/>
        <v/>
      </c>
      <c r="P172" t="str">
        <f t="shared" si="65"/>
        <v/>
      </c>
      <c r="Q172" t="str">
        <f t="shared" si="66"/>
        <v/>
      </c>
      <c r="R172" t="str">
        <f>IF(M172="","",IFERROR(INDEX(Tabela7[QT %],MATCH(M172,Tabela7[PONTO],0)),0))</f>
        <v/>
      </c>
      <c r="S172" t="str">
        <f t="shared" si="67"/>
        <v/>
      </c>
      <c r="T172" t="str">
        <f>IF(M172="","",IF($B$9&gt;$B$8,IFERROR((INDEX(GERAL[SNAP],159)-$B$8)/($B$9-$B$8),0),0))</f>
        <v/>
      </c>
      <c r="U172" t="str">
        <f t="shared" si="68"/>
        <v/>
      </c>
      <c r="V172" t="str">
        <f>IFERROR(INDEX(GERAL[LADO],159),"")</f>
        <v/>
      </c>
      <c r="X172" t="str">
        <f>IFERROR(INDEX(GERAL[PONTO],139),"")</f>
        <v/>
      </c>
      <c r="Y172" t="str">
        <f>IF(X172="","",IFERROR(INDEX(GERAL[ACUMULADA],139),0))</f>
        <v/>
      </c>
      <c r="Z172" t="str">
        <f t="shared" si="69"/>
        <v/>
      </c>
      <c r="AA172" t="str">
        <f t="shared" si="70"/>
        <v/>
      </c>
      <c r="AB172" t="str">
        <f t="shared" si="71"/>
        <v/>
      </c>
      <c r="AC172" t="str">
        <f>IF(X172="","",IFERROR(INDEX(DIR_ATUAL[QT %],MATCH(X172,DIR_ATUAL[PONTO],0)),0))</f>
        <v/>
      </c>
      <c r="AD172" t="str">
        <f t="shared" si="72"/>
        <v/>
      </c>
      <c r="AE172" t="str">
        <f>IF(X172="","",IF($E$9&gt;$E$8,IFERROR((INDEX(GERAL[SNAP],139)-$E$8)/($E$9-$E$8),0),0))</f>
        <v/>
      </c>
      <c r="AF172" t="str">
        <f t="shared" si="73"/>
        <v/>
      </c>
      <c r="AG172" t="str">
        <f>IFERROR(INDEX(GERAL[LADO],139),"")</f>
        <v/>
      </c>
    </row>
    <row r="173" spans="13:33" x14ac:dyDescent="0.3">
      <c r="M173" t="str">
        <f>IFERROR(INDEX(GERAL[PONTO],160),"")</f>
        <v/>
      </c>
      <c r="N173" t="str">
        <f>IF(M173="","",IFERROR(INDEX(GERAL[ACUMULADA],160),0))</f>
        <v/>
      </c>
      <c r="O173" t="str">
        <f t="shared" si="64"/>
        <v/>
      </c>
      <c r="P173" t="str">
        <f t="shared" si="65"/>
        <v/>
      </c>
      <c r="Q173" t="str">
        <f t="shared" si="66"/>
        <v/>
      </c>
      <c r="R173" t="str">
        <f>IF(M173="","",IFERROR(INDEX(Tabela7[QT %],MATCH(M173,Tabela7[PONTO],0)),0))</f>
        <v/>
      </c>
      <c r="S173" t="str">
        <f t="shared" si="67"/>
        <v/>
      </c>
      <c r="T173" t="str">
        <f>IF(M173="","",IF($B$9&gt;$B$8,IFERROR((INDEX(GERAL[SNAP],160)-$B$8)/($B$9-$B$8),0),0))</f>
        <v/>
      </c>
      <c r="U173" t="str">
        <f t="shared" si="68"/>
        <v/>
      </c>
      <c r="V173" t="str">
        <f>IFERROR(INDEX(GERAL[LADO],160),"")</f>
        <v/>
      </c>
      <c r="X173" t="str">
        <f>IFERROR(INDEX(GERAL[PONTO],140),"")</f>
        <v/>
      </c>
      <c r="Y173" t="str">
        <f>IF(X173="","",IFERROR(INDEX(GERAL[ACUMULADA],140),0))</f>
        <v/>
      </c>
      <c r="Z173" t="str">
        <f t="shared" si="69"/>
        <v/>
      </c>
      <c r="AA173" t="str">
        <f t="shared" si="70"/>
        <v/>
      </c>
      <c r="AB173" t="str">
        <f t="shared" si="71"/>
        <v/>
      </c>
      <c r="AC173" t="str">
        <f>IF(X173="","",IFERROR(INDEX(DIR_ATUAL[QT %],MATCH(X173,DIR_ATUAL[PONTO],0)),0))</f>
        <v/>
      </c>
      <c r="AD173" t="str">
        <f t="shared" si="72"/>
        <v/>
      </c>
      <c r="AE173" t="str">
        <f>IF(X173="","",IF($E$9&gt;$E$8,IFERROR((INDEX(GERAL[SNAP],140)-$E$8)/($E$9-$E$8),0),0))</f>
        <v/>
      </c>
      <c r="AF173" t="str">
        <f t="shared" si="73"/>
        <v/>
      </c>
      <c r="AG173" t="str">
        <f>IFERROR(INDEX(GERAL[LADO],140),"")</f>
        <v/>
      </c>
    </row>
    <row r="174" spans="13:33" x14ac:dyDescent="0.3">
      <c r="M174" t="str">
        <f>IFERROR(INDEX(GERAL[PONTO],161),"")</f>
        <v/>
      </c>
      <c r="N174" t="str">
        <f>IF(M174="","",IFERROR(INDEX(GERAL[ACUMULADA],161),0))</f>
        <v/>
      </c>
      <c r="O174" t="str">
        <f t="shared" ref="O174:O200" si="74">IF(N174="","",$B$11-N174)</f>
        <v/>
      </c>
      <c r="P174" t="str">
        <f t="shared" ref="P174:P200" si="75">IF(N174="","",IF(N174*1.15&lt;=30,30,IF(N174*1.15&lt;=45,45,IF(N174*1.15&lt;=75,75,IF(N174*1.15&lt;=112.5,112.5,IF(N174*1.15&lt;=150,150,IF(N174*1.15&lt;=225,225,300)))))))</f>
        <v/>
      </c>
      <c r="Q174" t="str">
        <f t="shared" ref="Q174:Q200" si="76">IF(P174="","",IFERROR(N174/P174,0))</f>
        <v/>
      </c>
      <c r="R174" t="str">
        <f>IF(M174="","",IFERROR(INDEX(Tabela7[QT %],MATCH(M174,Tabela7[PONTO],0)),0))</f>
        <v/>
      </c>
      <c r="S174" t="str">
        <f t="shared" ref="S174:S200" si="77">IF(N174="","",IFERROR(1-ABS(N174-O174)/$B$11,0))</f>
        <v/>
      </c>
      <c r="T174" t="str">
        <f>IF(M174="","",IF($B$9&gt;$B$8,IFERROR((INDEX(GERAL[SNAP],161)-$B$8)/($B$9-$B$8),0),0))</f>
        <v/>
      </c>
      <c r="U174" t="str">
        <f t="shared" si="68"/>
        <v/>
      </c>
      <c r="V174" t="str">
        <f>IFERROR(INDEX(GERAL[LADO],161),"")</f>
        <v/>
      </c>
      <c r="X174" t="str">
        <f>IFERROR(INDEX(GERAL[PONTO],141),"")</f>
        <v/>
      </c>
      <c r="Y174" t="str">
        <f>IF(X174="","",IFERROR(INDEX(GERAL[ACUMULADA],141),0))</f>
        <v/>
      </c>
      <c r="Z174" t="str">
        <f t="shared" si="69"/>
        <v/>
      </c>
      <c r="AA174" t="str">
        <f t="shared" si="70"/>
        <v/>
      </c>
      <c r="AB174" t="str">
        <f t="shared" si="71"/>
        <v/>
      </c>
      <c r="AC174" t="str">
        <f>IF(X174="","",IFERROR(INDEX(DIR_ATUAL[QT %],MATCH(X174,DIR_ATUAL[PONTO],0)),0))</f>
        <v/>
      </c>
      <c r="AD174" t="str">
        <f t="shared" si="72"/>
        <v/>
      </c>
      <c r="AE174" t="str">
        <f>IF(X174="","",IF($E$9&gt;$E$8,IFERROR((INDEX(GERAL[SNAP],141)-$E$8)/($E$9-$E$8),0),0))</f>
        <v/>
      </c>
      <c r="AF174" t="str">
        <f t="shared" si="73"/>
        <v/>
      </c>
      <c r="AG174" t="str">
        <f>IFERROR(INDEX(GERAL[LADO],141),"")</f>
        <v/>
      </c>
    </row>
    <row r="175" spans="13:33" x14ac:dyDescent="0.3">
      <c r="M175" t="str">
        <f>IFERROR(INDEX(GERAL[PONTO],162),"")</f>
        <v/>
      </c>
      <c r="N175" t="str">
        <f>IF(M175="","",IFERROR(INDEX(GERAL[ACUMULADA],162),0))</f>
        <v/>
      </c>
      <c r="O175" t="str">
        <f t="shared" si="74"/>
        <v/>
      </c>
      <c r="P175" t="str">
        <f t="shared" si="75"/>
        <v/>
      </c>
      <c r="Q175" t="str">
        <f t="shared" si="76"/>
        <v/>
      </c>
      <c r="R175" t="str">
        <f>IF(M175="","",IFERROR(INDEX(Tabela7[QT %],MATCH(M175,Tabela7[PONTO],0)),0))</f>
        <v/>
      </c>
      <c r="S175" t="str">
        <f t="shared" si="77"/>
        <v/>
      </c>
      <c r="T175" t="str">
        <f>IF(M175="","",IF($B$9&gt;$B$8,IFERROR((INDEX(GERAL[SNAP],162)-$B$8)/($B$9-$B$8),0),0))</f>
        <v/>
      </c>
      <c r="U175" t="str">
        <f t="shared" si="68"/>
        <v/>
      </c>
      <c r="V175" t="str">
        <f>IFERROR(INDEX(GERAL[LADO],162),"")</f>
        <v/>
      </c>
      <c r="X175" t="str">
        <f>IFERROR(INDEX(GERAL[PONTO],142),"")</f>
        <v/>
      </c>
      <c r="Y175" t="str">
        <f>IF(X175="","",IFERROR(INDEX(GERAL[ACUMULADA],142),0))</f>
        <v/>
      </c>
      <c r="Z175" t="str">
        <f t="shared" si="69"/>
        <v/>
      </c>
      <c r="AA175" t="str">
        <f t="shared" si="70"/>
        <v/>
      </c>
      <c r="AB175" t="str">
        <f t="shared" si="71"/>
        <v/>
      </c>
      <c r="AC175" t="str">
        <f>IF(X175="","",IFERROR(INDEX(DIR_ATUAL[QT %],MATCH(X175,DIR_ATUAL[PONTO],0)),0))</f>
        <v/>
      </c>
      <c r="AD175" t="str">
        <f t="shared" si="72"/>
        <v/>
      </c>
      <c r="AE175" t="str">
        <f>IF(X175="","",IF($E$9&gt;$E$8,IFERROR((INDEX(GERAL[SNAP],142)-$E$8)/($E$9-$E$8),0),0))</f>
        <v/>
      </c>
      <c r="AF175" t="str">
        <f t="shared" si="73"/>
        <v/>
      </c>
      <c r="AG175" t="str">
        <f>IFERROR(INDEX(GERAL[LADO],142),"")</f>
        <v/>
      </c>
    </row>
    <row r="176" spans="13:33" x14ac:dyDescent="0.3">
      <c r="M176" t="str">
        <f>IFERROR(INDEX(GERAL[PONTO],163),"")</f>
        <v/>
      </c>
      <c r="N176" t="str">
        <f>IF(M176="","",IFERROR(INDEX(GERAL[ACUMULADA],163),0))</f>
        <v/>
      </c>
      <c r="O176" t="str">
        <f t="shared" si="74"/>
        <v/>
      </c>
      <c r="P176" t="str">
        <f t="shared" si="75"/>
        <v/>
      </c>
      <c r="Q176" t="str">
        <f t="shared" si="76"/>
        <v/>
      </c>
      <c r="R176" t="str">
        <f>IF(M176="","",IFERROR(INDEX(Tabela7[QT %],MATCH(M176,Tabela7[PONTO],0)),0))</f>
        <v/>
      </c>
      <c r="S176" t="str">
        <f t="shared" si="77"/>
        <v/>
      </c>
      <c r="T176" t="str">
        <f>IF(M176="","",IF($B$9&gt;$B$8,IFERROR((INDEX(GERAL[SNAP],163)-$B$8)/($B$9-$B$8),0),0))</f>
        <v/>
      </c>
      <c r="U176" t="str">
        <f t="shared" si="68"/>
        <v/>
      </c>
      <c r="V176" t="str">
        <f>IFERROR(INDEX(GERAL[LADO],163),"")</f>
        <v/>
      </c>
      <c r="X176" t="str">
        <f>IFERROR(INDEX(GERAL[PONTO],143),"")</f>
        <v/>
      </c>
      <c r="Y176" t="str">
        <f>IF(X176="","",IFERROR(INDEX(GERAL[ACUMULADA],143),0))</f>
        <v/>
      </c>
      <c r="Z176" t="str">
        <f t="shared" si="69"/>
        <v/>
      </c>
      <c r="AA176" t="str">
        <f t="shared" si="70"/>
        <v/>
      </c>
      <c r="AB176" t="str">
        <f t="shared" si="71"/>
        <v/>
      </c>
      <c r="AC176" t="str">
        <f>IF(X176="","",IFERROR(INDEX(DIR_ATUAL[QT %],MATCH(X176,DIR_ATUAL[PONTO],0)),0))</f>
        <v/>
      </c>
      <c r="AD176" t="str">
        <f t="shared" si="72"/>
        <v/>
      </c>
      <c r="AE176" t="str">
        <f>IF(X176="","",IF($E$9&gt;$E$8,IFERROR((INDEX(GERAL[SNAP],143)-$E$8)/($E$9-$E$8),0),0))</f>
        <v/>
      </c>
      <c r="AF176" t="str">
        <f t="shared" si="73"/>
        <v/>
      </c>
      <c r="AG176" t="str">
        <f>IFERROR(INDEX(GERAL[LADO],143),"")</f>
        <v/>
      </c>
    </row>
    <row r="177" spans="13:33" x14ac:dyDescent="0.3">
      <c r="M177" t="str">
        <f>IFERROR(INDEX(GERAL[PONTO],164),"")</f>
        <v/>
      </c>
      <c r="N177" t="str">
        <f>IF(M177="","",IFERROR(INDEX(GERAL[ACUMULADA],164),0))</f>
        <v/>
      </c>
      <c r="O177" t="str">
        <f t="shared" si="74"/>
        <v/>
      </c>
      <c r="P177" t="str">
        <f t="shared" si="75"/>
        <v/>
      </c>
      <c r="Q177" t="str">
        <f t="shared" si="76"/>
        <v/>
      </c>
      <c r="R177" t="str">
        <f>IF(M177="","",IFERROR(INDEX(Tabela7[QT %],MATCH(M177,Tabela7[PONTO],0)),0))</f>
        <v/>
      </c>
      <c r="S177" t="str">
        <f t="shared" si="77"/>
        <v/>
      </c>
      <c r="T177" t="str">
        <f>IF(M177="","",IF($B$9&gt;$B$8,IFERROR((INDEX(GERAL[SNAP],164)-$B$8)/($B$9-$B$8),0),0))</f>
        <v/>
      </c>
      <c r="U177" t="str">
        <f t="shared" si="68"/>
        <v/>
      </c>
      <c r="V177" t="str">
        <f>IFERROR(INDEX(GERAL[LADO],164),"")</f>
        <v/>
      </c>
      <c r="X177" t="str">
        <f>IFERROR(INDEX(GERAL[PONTO],144),"")</f>
        <v/>
      </c>
      <c r="Y177" t="str">
        <f>IF(X177="","",IFERROR(INDEX(GERAL[ACUMULADA],144),0))</f>
        <v/>
      </c>
      <c r="Z177" t="str">
        <f t="shared" si="69"/>
        <v/>
      </c>
      <c r="AA177" t="str">
        <f t="shared" si="70"/>
        <v/>
      </c>
      <c r="AB177" t="str">
        <f t="shared" si="71"/>
        <v/>
      </c>
      <c r="AC177" t="str">
        <f>IF(X177="","",IFERROR(INDEX(DIR_ATUAL[QT %],MATCH(X177,DIR_ATUAL[PONTO],0)),0))</f>
        <v/>
      </c>
      <c r="AD177" t="str">
        <f t="shared" si="72"/>
        <v/>
      </c>
      <c r="AE177" t="str">
        <f>IF(X177="","",IF($E$9&gt;$E$8,IFERROR((INDEX(GERAL[SNAP],144)-$E$8)/($E$9-$E$8),0),0))</f>
        <v/>
      </c>
      <c r="AF177" t="str">
        <f t="shared" si="73"/>
        <v/>
      </c>
      <c r="AG177" t="str">
        <f>IFERROR(INDEX(GERAL[LADO],144),"")</f>
        <v/>
      </c>
    </row>
    <row r="178" spans="13:33" x14ac:dyDescent="0.3">
      <c r="M178" t="str">
        <f>IFERROR(INDEX(GERAL[PONTO],165),"")</f>
        <v/>
      </c>
      <c r="N178" t="str">
        <f>IF(M178="","",IFERROR(INDEX(GERAL[ACUMULADA],165),0))</f>
        <v/>
      </c>
      <c r="O178" t="str">
        <f t="shared" si="74"/>
        <v/>
      </c>
      <c r="P178" t="str">
        <f t="shared" si="75"/>
        <v/>
      </c>
      <c r="Q178" t="str">
        <f t="shared" si="76"/>
        <v/>
      </c>
      <c r="R178" t="str">
        <f>IF(M178="","",IFERROR(INDEX(Tabela7[QT %],MATCH(M178,Tabela7[PONTO],0)),0))</f>
        <v/>
      </c>
      <c r="S178" t="str">
        <f t="shared" si="77"/>
        <v/>
      </c>
      <c r="T178" t="str">
        <f>IF(M178="","",IF($B$9&gt;$B$8,IFERROR((INDEX(GERAL[SNAP],165)-$B$8)/($B$9-$B$8),0),0))</f>
        <v/>
      </c>
      <c r="U178" t="str">
        <f t="shared" si="68"/>
        <v/>
      </c>
      <c r="V178" t="str">
        <f>IFERROR(INDEX(GERAL[LADO],165),"")</f>
        <v/>
      </c>
      <c r="X178" t="str">
        <f>IFERROR(INDEX(GERAL[PONTO],145),"")</f>
        <v/>
      </c>
      <c r="Y178" t="str">
        <f>IF(X178="","",IFERROR(INDEX(GERAL[ACUMULADA],145),0))</f>
        <v/>
      </c>
      <c r="Z178" t="str">
        <f t="shared" si="69"/>
        <v/>
      </c>
      <c r="AA178" t="str">
        <f t="shared" si="70"/>
        <v/>
      </c>
      <c r="AB178" t="str">
        <f t="shared" si="71"/>
        <v/>
      </c>
      <c r="AC178" t="str">
        <f>IF(X178="","",IFERROR(INDEX(DIR_ATUAL[QT %],MATCH(X178,DIR_ATUAL[PONTO],0)),0))</f>
        <v/>
      </c>
      <c r="AD178" t="str">
        <f t="shared" si="72"/>
        <v/>
      </c>
      <c r="AE178" t="str">
        <f>IF(X178="","",IF($E$9&gt;$E$8,IFERROR((INDEX(GERAL[SNAP],145)-$E$8)/($E$9-$E$8),0),0))</f>
        <v/>
      </c>
      <c r="AF178" t="str">
        <f t="shared" si="73"/>
        <v/>
      </c>
      <c r="AG178" t="str">
        <f>IFERROR(INDEX(GERAL[LADO],145),"")</f>
        <v/>
      </c>
    </row>
    <row r="179" spans="13:33" x14ac:dyDescent="0.3">
      <c r="M179" t="str">
        <f>IFERROR(INDEX(GERAL[PONTO],166),"")</f>
        <v/>
      </c>
      <c r="N179" t="str">
        <f>IF(M179="","",IFERROR(INDEX(GERAL[ACUMULADA],166),0))</f>
        <v/>
      </c>
      <c r="O179" t="str">
        <f t="shared" si="74"/>
        <v/>
      </c>
      <c r="P179" t="str">
        <f t="shared" si="75"/>
        <v/>
      </c>
      <c r="Q179" t="str">
        <f t="shared" si="76"/>
        <v/>
      </c>
      <c r="R179" t="str">
        <f>IF(M179="","",IFERROR(INDEX(Tabela7[QT %],MATCH(M179,Tabela7[PONTO],0)),0))</f>
        <v/>
      </c>
      <c r="S179" t="str">
        <f t="shared" si="77"/>
        <v/>
      </c>
      <c r="T179" t="str">
        <f>IF(M179="","",IF($B$9&gt;$B$8,IFERROR((INDEX(GERAL[SNAP],166)-$B$8)/($B$9-$B$8),0),0))</f>
        <v/>
      </c>
      <c r="U179" t="str">
        <f t="shared" si="68"/>
        <v/>
      </c>
      <c r="V179" t="str">
        <f>IFERROR(INDEX(GERAL[LADO],166),"")</f>
        <v/>
      </c>
      <c r="X179" t="str">
        <f>IFERROR(INDEX(GERAL[PONTO],146),"")</f>
        <v/>
      </c>
      <c r="Y179" t="str">
        <f>IF(X179="","",IFERROR(INDEX(GERAL[ACUMULADA],146),0))</f>
        <v/>
      </c>
      <c r="Z179" t="str">
        <f t="shared" si="69"/>
        <v/>
      </c>
      <c r="AA179" t="str">
        <f t="shared" si="70"/>
        <v/>
      </c>
      <c r="AB179" t="str">
        <f t="shared" si="71"/>
        <v/>
      </c>
      <c r="AC179" t="str">
        <f>IF(X179="","",IFERROR(INDEX(DIR_ATUAL[QT %],MATCH(X179,DIR_ATUAL[PONTO],0)),0))</f>
        <v/>
      </c>
      <c r="AD179" t="str">
        <f t="shared" si="72"/>
        <v/>
      </c>
      <c r="AE179" t="str">
        <f>IF(X179="","",IF($E$9&gt;$E$8,IFERROR((INDEX(GERAL[SNAP],146)-$E$8)/($E$9-$E$8),0),0))</f>
        <v/>
      </c>
      <c r="AF179" t="str">
        <f t="shared" si="73"/>
        <v/>
      </c>
      <c r="AG179" t="str">
        <f>IFERROR(INDEX(GERAL[LADO],146),"")</f>
        <v/>
      </c>
    </row>
    <row r="180" spans="13:33" x14ac:dyDescent="0.3">
      <c r="M180" t="str">
        <f>IFERROR(INDEX(GERAL[PONTO],167),"")</f>
        <v/>
      </c>
      <c r="N180" t="str">
        <f>IF(M180="","",IFERROR(INDEX(GERAL[ACUMULADA],167),0))</f>
        <v/>
      </c>
      <c r="O180" t="str">
        <f t="shared" si="74"/>
        <v/>
      </c>
      <c r="P180" t="str">
        <f t="shared" si="75"/>
        <v/>
      </c>
      <c r="Q180" t="str">
        <f t="shared" si="76"/>
        <v/>
      </c>
      <c r="R180" t="str">
        <f>IF(M180="","",IFERROR(INDEX(Tabela7[QT %],MATCH(M180,Tabela7[PONTO],0)),0))</f>
        <v/>
      </c>
      <c r="S180" t="str">
        <f t="shared" si="77"/>
        <v/>
      </c>
      <c r="T180" t="str">
        <f>IF(M180="","",IF($B$9&gt;$B$8,IFERROR((INDEX(GERAL[SNAP],167)-$B$8)/($B$9-$B$8),0),0))</f>
        <v/>
      </c>
      <c r="U180" t="str">
        <f t="shared" si="68"/>
        <v/>
      </c>
      <c r="V180" t="str">
        <f>IFERROR(INDEX(GERAL[LADO],167),"")</f>
        <v/>
      </c>
      <c r="X180" t="str">
        <f>IFERROR(INDEX(GERAL[PONTO],147),"")</f>
        <v/>
      </c>
      <c r="Y180" t="str">
        <f>IF(X180="","",IFERROR(INDEX(GERAL[ACUMULADA],147),0))</f>
        <v/>
      </c>
      <c r="Z180" t="str">
        <f t="shared" si="69"/>
        <v/>
      </c>
      <c r="AA180" t="str">
        <f t="shared" si="70"/>
        <v/>
      </c>
      <c r="AB180" t="str">
        <f t="shared" si="71"/>
        <v/>
      </c>
      <c r="AC180" t="str">
        <f>IF(X180="","",IFERROR(INDEX(DIR_ATUAL[QT %],MATCH(X180,DIR_ATUAL[PONTO],0)),0))</f>
        <v/>
      </c>
      <c r="AD180" t="str">
        <f t="shared" si="72"/>
        <v/>
      </c>
      <c r="AE180" t="str">
        <f>IF(X180="","",IF($E$9&gt;$E$8,IFERROR((INDEX(GERAL[SNAP],147)-$E$8)/($E$9-$E$8),0),0))</f>
        <v/>
      </c>
      <c r="AF180" t="str">
        <f t="shared" si="73"/>
        <v/>
      </c>
      <c r="AG180" t="str">
        <f>IFERROR(INDEX(GERAL[LADO],147),"")</f>
        <v/>
      </c>
    </row>
    <row r="181" spans="13:33" x14ac:dyDescent="0.3">
      <c r="M181" t="str">
        <f>IFERROR(INDEX(GERAL[PONTO],168),"")</f>
        <v/>
      </c>
      <c r="N181" t="str">
        <f>IF(M181="","",IFERROR(INDEX(GERAL[ACUMULADA],168),0))</f>
        <v/>
      </c>
      <c r="O181" t="str">
        <f t="shared" si="74"/>
        <v/>
      </c>
      <c r="P181" t="str">
        <f t="shared" si="75"/>
        <v/>
      </c>
      <c r="Q181" t="str">
        <f t="shared" si="76"/>
        <v/>
      </c>
      <c r="R181" t="str">
        <f>IF(M181="","",IFERROR(INDEX(Tabela7[QT %],MATCH(M181,Tabela7[PONTO],0)),0))</f>
        <v/>
      </c>
      <c r="S181" t="str">
        <f t="shared" si="77"/>
        <v/>
      </c>
      <c r="T181" t="str">
        <f>IF(M181="","",IF($B$9&gt;$B$8,IFERROR((INDEX(GERAL[SNAP],168)-$B$8)/($B$9-$B$8),0),0))</f>
        <v/>
      </c>
      <c r="U181" t="str">
        <f t="shared" si="68"/>
        <v/>
      </c>
      <c r="V181" t="str">
        <f>IFERROR(INDEX(GERAL[LADO],168),"")</f>
        <v/>
      </c>
      <c r="X181" t="str">
        <f>IFERROR(INDEX(GERAL[PONTO],148),"")</f>
        <v/>
      </c>
      <c r="Y181" t="str">
        <f>IF(X181="","",IFERROR(INDEX(GERAL[ACUMULADA],148),0))</f>
        <v/>
      </c>
      <c r="Z181" t="str">
        <f t="shared" si="69"/>
        <v/>
      </c>
      <c r="AA181" t="str">
        <f t="shared" si="70"/>
        <v/>
      </c>
      <c r="AB181" t="str">
        <f t="shared" si="71"/>
        <v/>
      </c>
      <c r="AC181" t="str">
        <f>IF(X181="","",IFERROR(INDEX(DIR_ATUAL[QT %],MATCH(X181,DIR_ATUAL[PONTO],0)),0))</f>
        <v/>
      </c>
      <c r="AD181" t="str">
        <f t="shared" si="72"/>
        <v/>
      </c>
      <c r="AE181" t="str">
        <f>IF(X181="","",IF($E$9&gt;$E$8,IFERROR((INDEX(GERAL[SNAP],148)-$E$8)/($E$9-$E$8),0),0))</f>
        <v/>
      </c>
      <c r="AF181" t="str">
        <f t="shared" si="73"/>
        <v/>
      </c>
      <c r="AG181" t="str">
        <f>IFERROR(INDEX(GERAL[LADO],148),"")</f>
        <v/>
      </c>
    </row>
    <row r="182" spans="13:33" x14ac:dyDescent="0.3">
      <c r="M182" t="str">
        <f>IFERROR(INDEX(GERAL[PONTO],169),"")</f>
        <v/>
      </c>
      <c r="N182" t="str">
        <f>IF(M182="","",IFERROR(INDEX(GERAL[ACUMULADA],169),0))</f>
        <v/>
      </c>
      <c r="O182" t="str">
        <f t="shared" si="74"/>
        <v/>
      </c>
      <c r="P182" t="str">
        <f t="shared" si="75"/>
        <v/>
      </c>
      <c r="Q182" t="str">
        <f t="shared" si="76"/>
        <v/>
      </c>
      <c r="R182" t="str">
        <f>IF(M182="","",IFERROR(INDEX(Tabela7[QT %],MATCH(M182,Tabela7[PONTO],0)),0))</f>
        <v/>
      </c>
      <c r="S182" t="str">
        <f t="shared" si="77"/>
        <v/>
      </c>
      <c r="T182" t="str">
        <f>IF(M182="","",IF($B$9&gt;$B$8,IFERROR((INDEX(GERAL[SNAP],169)-$B$8)/($B$9-$B$8),0),0))</f>
        <v/>
      </c>
      <c r="U182" t="str">
        <f t="shared" si="68"/>
        <v/>
      </c>
      <c r="V182" t="str">
        <f>IFERROR(INDEX(GERAL[LADO],169),"")</f>
        <v/>
      </c>
      <c r="X182" t="str">
        <f>IFERROR(INDEX(GERAL[PONTO],149),"")</f>
        <v/>
      </c>
      <c r="Y182" t="str">
        <f>IF(X182="","",IFERROR(INDEX(GERAL[ACUMULADA],149),0))</f>
        <v/>
      </c>
      <c r="Z182" t="str">
        <f t="shared" si="69"/>
        <v/>
      </c>
      <c r="AA182" t="str">
        <f t="shared" si="70"/>
        <v/>
      </c>
      <c r="AB182" t="str">
        <f t="shared" si="71"/>
        <v/>
      </c>
      <c r="AC182" t="str">
        <f>IF(X182="","",IFERROR(INDEX(DIR_ATUAL[QT %],MATCH(X182,DIR_ATUAL[PONTO],0)),0))</f>
        <v/>
      </c>
      <c r="AD182" t="str">
        <f t="shared" si="72"/>
        <v/>
      </c>
      <c r="AE182" t="str">
        <f>IF(X182="","",IF($E$9&gt;$E$8,IFERROR((INDEX(GERAL[SNAP],149)-$E$8)/($E$9-$E$8),0),0))</f>
        <v/>
      </c>
      <c r="AF182" t="str">
        <f t="shared" si="73"/>
        <v/>
      </c>
      <c r="AG182" t="str">
        <f>IFERROR(INDEX(GERAL[LADO],149),"")</f>
        <v/>
      </c>
    </row>
    <row r="183" spans="13:33" x14ac:dyDescent="0.3">
      <c r="M183" t="str">
        <f>IFERROR(INDEX(GERAL[PONTO],170),"")</f>
        <v/>
      </c>
      <c r="N183" t="str">
        <f>IF(M183="","",IFERROR(INDEX(GERAL[ACUMULADA],170),0))</f>
        <v/>
      </c>
      <c r="O183" t="str">
        <f t="shared" si="74"/>
        <v/>
      </c>
      <c r="P183" t="str">
        <f t="shared" si="75"/>
        <v/>
      </c>
      <c r="Q183" t="str">
        <f t="shared" si="76"/>
        <v/>
      </c>
      <c r="R183" t="str">
        <f>IF(M183="","",IFERROR(INDEX(Tabela7[QT %],MATCH(M183,Tabela7[PONTO],0)),0))</f>
        <v/>
      </c>
      <c r="S183" t="str">
        <f t="shared" si="77"/>
        <v/>
      </c>
      <c r="T183" t="str">
        <f>IF(M183="","",IF($B$9&gt;$B$8,IFERROR((INDEX(GERAL[SNAP],170)-$B$8)/($B$9-$B$8),0),0))</f>
        <v/>
      </c>
      <c r="U183" t="str">
        <f t="shared" si="68"/>
        <v/>
      </c>
      <c r="V183" t="str">
        <f>IFERROR(INDEX(GERAL[LADO],170),"")</f>
        <v/>
      </c>
      <c r="X183" t="str">
        <f>IFERROR(INDEX(GERAL[PONTO],150),"")</f>
        <v/>
      </c>
      <c r="Y183" t="str">
        <f>IF(X183="","",IFERROR(INDEX(GERAL[ACUMULADA],150),0))</f>
        <v/>
      </c>
      <c r="Z183" t="str">
        <f t="shared" si="69"/>
        <v/>
      </c>
      <c r="AA183" t="str">
        <f t="shared" si="70"/>
        <v/>
      </c>
      <c r="AB183" t="str">
        <f t="shared" si="71"/>
        <v/>
      </c>
      <c r="AC183" t="str">
        <f>IF(X183="","",IFERROR(INDEX(DIR_ATUAL[QT %],MATCH(X183,DIR_ATUAL[PONTO],0)),0))</f>
        <v/>
      </c>
      <c r="AD183" t="str">
        <f t="shared" si="72"/>
        <v/>
      </c>
      <c r="AE183" t="str">
        <f>IF(X183="","",IF($E$9&gt;$E$8,IFERROR((INDEX(GERAL[SNAP],150)-$E$8)/($E$9-$E$8),0),0))</f>
        <v/>
      </c>
      <c r="AF183" t="str">
        <f t="shared" si="73"/>
        <v/>
      </c>
      <c r="AG183" t="str">
        <f>IFERROR(INDEX(GERAL[LADO],150),"")</f>
        <v/>
      </c>
    </row>
    <row r="184" spans="13:33" x14ac:dyDescent="0.3">
      <c r="M184" t="str">
        <f>IFERROR(INDEX(GERAL[PONTO],171),"")</f>
        <v/>
      </c>
      <c r="N184" t="str">
        <f>IF(M184="","",IFERROR(INDEX(GERAL[ACUMULADA],171),0))</f>
        <v/>
      </c>
      <c r="O184" t="str">
        <f t="shared" si="74"/>
        <v/>
      </c>
      <c r="P184" t="str">
        <f t="shared" si="75"/>
        <v/>
      </c>
      <c r="Q184" t="str">
        <f t="shared" si="76"/>
        <v/>
      </c>
      <c r="R184" t="str">
        <f>IF(M184="","",IFERROR(INDEX(Tabela7[QT %],MATCH(M184,Tabela7[PONTO],0)),0))</f>
        <v/>
      </c>
      <c r="S184" t="str">
        <f t="shared" si="77"/>
        <v/>
      </c>
      <c r="T184" t="str">
        <f>IF(M184="","",IF($B$9&gt;$B$8,IFERROR((INDEX(GERAL[SNAP],171)-$B$8)/($B$9-$B$8),0),0))</f>
        <v/>
      </c>
      <c r="U184" t="str">
        <f t="shared" si="68"/>
        <v/>
      </c>
      <c r="V184" t="str">
        <f>IFERROR(INDEX(GERAL[LADO],171),"")</f>
        <v/>
      </c>
      <c r="X184" t="str">
        <f>IFERROR(INDEX(GERAL[PONTO],151),"")</f>
        <v/>
      </c>
      <c r="Y184" t="str">
        <f>IF(X184="","",IFERROR(INDEX(GERAL[ACUMULADA],151),0))</f>
        <v/>
      </c>
      <c r="Z184" t="str">
        <f t="shared" si="69"/>
        <v/>
      </c>
      <c r="AA184" t="str">
        <f t="shared" si="70"/>
        <v/>
      </c>
      <c r="AB184" t="str">
        <f t="shared" si="71"/>
        <v/>
      </c>
      <c r="AC184" t="str">
        <f>IF(X184="","",IFERROR(INDEX(DIR_ATUAL[QT %],MATCH(X184,DIR_ATUAL[PONTO],0)),0))</f>
        <v/>
      </c>
      <c r="AD184" t="str">
        <f t="shared" si="72"/>
        <v/>
      </c>
      <c r="AE184" t="str">
        <f>IF(X184="","",IF($E$9&gt;$E$8,IFERROR((INDEX(GERAL[SNAP],151)-$E$8)/($E$9-$E$8),0),0))</f>
        <v/>
      </c>
      <c r="AF184" t="str">
        <f t="shared" si="73"/>
        <v/>
      </c>
      <c r="AG184" t="str">
        <f>IFERROR(INDEX(GERAL[LADO],151),"")</f>
        <v/>
      </c>
    </row>
    <row r="185" spans="13:33" x14ac:dyDescent="0.3">
      <c r="M185" t="str">
        <f>IFERROR(INDEX(GERAL[PONTO],172),"")</f>
        <v/>
      </c>
      <c r="N185" t="str">
        <f>IF(M185="","",IFERROR(INDEX(GERAL[ACUMULADA],172),0))</f>
        <v/>
      </c>
      <c r="O185" t="str">
        <f t="shared" si="74"/>
        <v/>
      </c>
      <c r="P185" t="str">
        <f t="shared" si="75"/>
        <v/>
      </c>
      <c r="Q185" t="str">
        <f t="shared" si="76"/>
        <v/>
      </c>
      <c r="R185" t="str">
        <f>IF(M185="","",IFERROR(INDEX(Tabela7[QT %],MATCH(M185,Tabela7[PONTO],0)),0))</f>
        <v/>
      </c>
      <c r="S185" t="str">
        <f t="shared" si="77"/>
        <v/>
      </c>
      <c r="T185" t="str">
        <f>IF(M185="","",IF($B$9&gt;$B$8,IFERROR((INDEX(GERAL[SNAP],172)-$B$8)/($B$9-$B$8),0),0))</f>
        <v/>
      </c>
      <c r="U185" t="str">
        <f t="shared" si="68"/>
        <v/>
      </c>
      <c r="V185" t="str">
        <f>IFERROR(INDEX(GERAL[LADO],172),"")</f>
        <v/>
      </c>
      <c r="X185" t="str">
        <f>IFERROR(INDEX(GERAL[PONTO],152),"")</f>
        <v/>
      </c>
      <c r="Y185" t="str">
        <f>IF(X185="","",IFERROR(INDEX(GERAL[ACUMULADA],152),0))</f>
        <v/>
      </c>
      <c r="Z185" t="str">
        <f t="shared" si="69"/>
        <v/>
      </c>
      <c r="AA185" t="str">
        <f t="shared" si="70"/>
        <v/>
      </c>
      <c r="AB185" t="str">
        <f t="shared" si="71"/>
        <v/>
      </c>
      <c r="AC185" t="str">
        <f>IF(X185="","",IFERROR(INDEX(DIR_ATUAL[QT %],MATCH(X185,DIR_ATUAL[PONTO],0)),0))</f>
        <v/>
      </c>
      <c r="AD185" t="str">
        <f t="shared" si="72"/>
        <v/>
      </c>
      <c r="AE185" t="str">
        <f>IF(X185="","",IF($E$9&gt;$E$8,IFERROR((INDEX(GERAL[SNAP],152)-$E$8)/($E$9-$E$8),0),0))</f>
        <v/>
      </c>
      <c r="AF185" t="str">
        <f t="shared" si="73"/>
        <v/>
      </c>
      <c r="AG185" t="str">
        <f>IFERROR(INDEX(GERAL[LADO],152),"")</f>
        <v/>
      </c>
    </row>
    <row r="186" spans="13:33" x14ac:dyDescent="0.3">
      <c r="M186" t="str">
        <f>IFERROR(INDEX(GERAL[PONTO],173),"")</f>
        <v/>
      </c>
      <c r="N186" t="str">
        <f>IF(M186="","",IFERROR(INDEX(GERAL[ACUMULADA],173),0))</f>
        <v/>
      </c>
      <c r="O186" t="str">
        <f t="shared" si="74"/>
        <v/>
      </c>
      <c r="P186" t="str">
        <f t="shared" si="75"/>
        <v/>
      </c>
      <c r="Q186" t="str">
        <f t="shared" si="76"/>
        <v/>
      </c>
      <c r="R186" t="str">
        <f>IF(M186="","",IFERROR(INDEX(Tabela7[QT %],MATCH(M186,Tabela7[PONTO],0)),0))</f>
        <v/>
      </c>
      <c r="S186" t="str">
        <f t="shared" si="77"/>
        <v/>
      </c>
      <c r="T186" t="str">
        <f>IF(M186="","",IF($B$9&gt;$B$8,IFERROR((INDEX(GERAL[SNAP],173)-$B$8)/($B$9-$B$8),0),0))</f>
        <v/>
      </c>
      <c r="U186" t="str">
        <f t="shared" si="68"/>
        <v/>
      </c>
      <c r="V186" t="str">
        <f>IFERROR(INDEX(GERAL[LADO],173),"")</f>
        <v/>
      </c>
      <c r="X186" t="str">
        <f>IFERROR(INDEX(GERAL[PONTO],153),"")</f>
        <v/>
      </c>
      <c r="Y186" t="str">
        <f>IF(X186="","",IFERROR(INDEX(GERAL[ACUMULADA],153),0))</f>
        <v/>
      </c>
      <c r="Z186" t="str">
        <f t="shared" si="69"/>
        <v/>
      </c>
      <c r="AA186" t="str">
        <f t="shared" si="70"/>
        <v/>
      </c>
      <c r="AB186" t="str">
        <f t="shared" si="71"/>
        <v/>
      </c>
      <c r="AC186" t="str">
        <f>IF(X186="","",IFERROR(INDEX(DIR_ATUAL[QT %],MATCH(X186,DIR_ATUAL[PONTO],0)),0))</f>
        <v/>
      </c>
      <c r="AD186" t="str">
        <f t="shared" si="72"/>
        <v/>
      </c>
      <c r="AE186" t="str">
        <f>IF(X186="","",IF($E$9&gt;$E$8,IFERROR((INDEX(GERAL[SNAP],153)-$E$8)/($E$9-$E$8),0),0))</f>
        <v/>
      </c>
      <c r="AF186" t="str">
        <f t="shared" si="73"/>
        <v/>
      </c>
      <c r="AG186" t="str">
        <f>IFERROR(INDEX(GERAL[LADO],153),"")</f>
        <v/>
      </c>
    </row>
    <row r="187" spans="13:33" x14ac:dyDescent="0.3">
      <c r="M187" t="str">
        <f>IFERROR(INDEX(GERAL[PONTO],174),"")</f>
        <v/>
      </c>
      <c r="N187" t="str">
        <f>IF(M187="","",IFERROR(INDEX(GERAL[ACUMULADA],174),0))</f>
        <v/>
      </c>
      <c r="O187" t="str">
        <f t="shared" si="74"/>
        <v/>
      </c>
      <c r="P187" t="str">
        <f t="shared" si="75"/>
        <v/>
      </c>
      <c r="Q187" t="str">
        <f t="shared" si="76"/>
        <v/>
      </c>
      <c r="R187" t="str">
        <f>IF(M187="","",IFERROR(INDEX(Tabela7[QT %],MATCH(M187,Tabela7[PONTO],0)),0))</f>
        <v/>
      </c>
      <c r="S187" t="str">
        <f t="shared" si="77"/>
        <v/>
      </c>
      <c r="T187" t="str">
        <f>IF(M187="","",IF($B$9&gt;$B$8,IFERROR((INDEX(GERAL[SNAP],174)-$B$8)/($B$9-$B$8),0),0))</f>
        <v/>
      </c>
      <c r="U187" t="str">
        <f t="shared" si="68"/>
        <v/>
      </c>
      <c r="V187" t="str">
        <f>IFERROR(INDEX(GERAL[LADO],174),"")</f>
        <v/>
      </c>
      <c r="X187" t="str">
        <f>IFERROR(INDEX(GERAL[PONTO],154),"")</f>
        <v/>
      </c>
      <c r="Y187" t="str">
        <f>IF(X187="","",IFERROR(INDEX(GERAL[ACUMULADA],154),0))</f>
        <v/>
      </c>
      <c r="Z187" t="str">
        <f t="shared" si="69"/>
        <v/>
      </c>
      <c r="AA187" t="str">
        <f t="shared" si="70"/>
        <v/>
      </c>
      <c r="AB187" t="str">
        <f t="shared" si="71"/>
        <v/>
      </c>
      <c r="AC187" t="str">
        <f>IF(X187="","",IFERROR(INDEX(DIR_ATUAL[QT %],MATCH(X187,DIR_ATUAL[PONTO],0)),0))</f>
        <v/>
      </c>
      <c r="AD187" t="str">
        <f t="shared" si="72"/>
        <v/>
      </c>
      <c r="AE187" t="str">
        <f>IF(X187="","",IF($E$9&gt;$E$8,IFERROR((INDEX(GERAL[SNAP],154)-$E$8)/($E$9-$E$8),0),0))</f>
        <v/>
      </c>
      <c r="AF187" t="str">
        <f t="shared" si="73"/>
        <v/>
      </c>
      <c r="AG187" t="str">
        <f>IFERROR(INDEX(GERAL[LADO],154),"")</f>
        <v/>
      </c>
    </row>
    <row r="188" spans="13:33" x14ac:dyDescent="0.3">
      <c r="M188" t="str">
        <f>IFERROR(INDEX(GERAL[PONTO],175),"")</f>
        <v/>
      </c>
      <c r="N188" t="str">
        <f>IF(M188="","",IFERROR(INDEX(GERAL[ACUMULADA],175),0))</f>
        <v/>
      </c>
      <c r="O188" t="str">
        <f t="shared" si="74"/>
        <v/>
      </c>
      <c r="P188" t="str">
        <f t="shared" si="75"/>
        <v/>
      </c>
      <c r="Q188" t="str">
        <f t="shared" si="76"/>
        <v/>
      </c>
      <c r="R188" t="str">
        <f>IF(M188="","",IFERROR(INDEX(Tabela7[QT %],MATCH(M188,Tabela7[PONTO],0)),0))</f>
        <v/>
      </c>
      <c r="S188" t="str">
        <f t="shared" si="77"/>
        <v/>
      </c>
      <c r="T188" t="str">
        <f>IF(M188="","",IF($B$9&gt;$B$8,IFERROR((INDEX(GERAL[SNAP],175)-$B$8)/($B$9-$B$8),0),0))</f>
        <v/>
      </c>
      <c r="U188" t="str">
        <f t="shared" si="68"/>
        <v/>
      </c>
      <c r="V188" t="str">
        <f>IFERROR(INDEX(GERAL[LADO],175),"")</f>
        <v/>
      </c>
      <c r="X188" t="str">
        <f>IFERROR(INDEX(GERAL[PONTO],155),"")</f>
        <v/>
      </c>
      <c r="Y188" t="str">
        <f>IF(X188="","",IFERROR(INDEX(GERAL[ACUMULADA],155),0))</f>
        <v/>
      </c>
      <c r="Z188" t="str">
        <f t="shared" si="69"/>
        <v/>
      </c>
      <c r="AA188" t="str">
        <f t="shared" si="70"/>
        <v/>
      </c>
      <c r="AB188" t="str">
        <f t="shared" si="71"/>
        <v/>
      </c>
      <c r="AC188" t="str">
        <f>IF(X188="","",IFERROR(INDEX(DIR_ATUAL[QT %],MATCH(X188,DIR_ATUAL[PONTO],0)),0))</f>
        <v/>
      </c>
      <c r="AD188" t="str">
        <f t="shared" si="72"/>
        <v/>
      </c>
      <c r="AE188" t="str">
        <f>IF(X188="","",IF($E$9&gt;$E$8,IFERROR((INDEX(GERAL[SNAP],155)-$E$8)/($E$9-$E$8),0),0))</f>
        <v/>
      </c>
      <c r="AF188" t="str">
        <f t="shared" si="73"/>
        <v/>
      </c>
      <c r="AG188" t="str">
        <f>IFERROR(INDEX(GERAL[LADO],155),"")</f>
        <v/>
      </c>
    </row>
    <row r="189" spans="13:33" x14ac:dyDescent="0.3">
      <c r="M189" t="str">
        <f>IFERROR(INDEX(GERAL[PONTO],176),"")</f>
        <v/>
      </c>
      <c r="N189" t="str">
        <f>IF(M189="","",IFERROR(INDEX(GERAL[ACUMULADA],176),0))</f>
        <v/>
      </c>
      <c r="O189" t="str">
        <f t="shared" si="74"/>
        <v/>
      </c>
      <c r="P189" t="str">
        <f t="shared" si="75"/>
        <v/>
      </c>
      <c r="Q189" t="str">
        <f t="shared" si="76"/>
        <v/>
      </c>
      <c r="R189" t="str">
        <f>IF(M189="","",IFERROR(INDEX(Tabela7[QT %],MATCH(M189,Tabela7[PONTO],0)),0))</f>
        <v/>
      </c>
      <c r="S189" t="str">
        <f t="shared" si="77"/>
        <v/>
      </c>
      <c r="T189" t="str">
        <f>IF(M189="","",IF($B$9&gt;$B$8,IFERROR((INDEX(GERAL[SNAP],176)-$B$8)/($B$9-$B$8),0),0))</f>
        <v/>
      </c>
      <c r="U189" t="str">
        <f t="shared" si="68"/>
        <v/>
      </c>
      <c r="V189" t="str">
        <f>IFERROR(INDEX(GERAL[LADO],176),"")</f>
        <v/>
      </c>
      <c r="X189" t="str">
        <f>IFERROR(INDEX(GERAL[PONTO],156),"")</f>
        <v/>
      </c>
      <c r="Y189" t="str">
        <f>IF(X189="","",IFERROR(INDEX(GERAL[ACUMULADA],156),0))</f>
        <v/>
      </c>
      <c r="Z189" t="str">
        <f t="shared" si="69"/>
        <v/>
      </c>
      <c r="AA189" t="str">
        <f t="shared" si="70"/>
        <v/>
      </c>
      <c r="AB189" t="str">
        <f t="shared" si="71"/>
        <v/>
      </c>
      <c r="AC189" t="str">
        <f>IF(X189="","",IFERROR(INDEX(DIR_ATUAL[QT %],MATCH(X189,DIR_ATUAL[PONTO],0)),0))</f>
        <v/>
      </c>
      <c r="AD189" t="str">
        <f t="shared" si="72"/>
        <v/>
      </c>
      <c r="AE189" t="str">
        <f>IF(X189="","",IF($E$9&gt;$E$8,IFERROR((INDEX(GERAL[SNAP],156)-$E$8)/($E$9-$E$8),0),0))</f>
        <v/>
      </c>
      <c r="AF189" t="str">
        <f t="shared" si="73"/>
        <v/>
      </c>
      <c r="AG189" t="str">
        <f>IFERROR(INDEX(GERAL[LADO],156),"")</f>
        <v/>
      </c>
    </row>
    <row r="190" spans="13:33" x14ac:dyDescent="0.3">
      <c r="M190" t="str">
        <f>IFERROR(INDEX(GERAL[PONTO],177),"")</f>
        <v/>
      </c>
      <c r="N190" t="str">
        <f>IF(M190="","",IFERROR(INDEX(GERAL[ACUMULADA],177),0))</f>
        <v/>
      </c>
      <c r="O190" t="str">
        <f t="shared" si="74"/>
        <v/>
      </c>
      <c r="P190" t="str">
        <f t="shared" si="75"/>
        <v/>
      </c>
      <c r="Q190" t="str">
        <f t="shared" si="76"/>
        <v/>
      </c>
      <c r="R190" t="str">
        <f>IF(M190="","",IFERROR(INDEX(Tabela7[QT %],MATCH(M190,Tabela7[PONTO],0)),0))</f>
        <v/>
      </c>
      <c r="S190" t="str">
        <f t="shared" si="77"/>
        <v/>
      </c>
      <c r="T190" t="str">
        <f>IF(M190="","",IF($B$9&gt;$B$8,IFERROR((INDEX(GERAL[SNAP],177)-$B$8)/($B$9-$B$8),0),0))</f>
        <v/>
      </c>
      <c r="U190" t="str">
        <f t="shared" si="68"/>
        <v/>
      </c>
      <c r="V190" t="str">
        <f>IFERROR(INDEX(GERAL[LADO],177),"")</f>
        <v/>
      </c>
      <c r="X190" t="str">
        <f>IFERROR(INDEX(GERAL[PONTO],157),"")</f>
        <v/>
      </c>
      <c r="Y190" t="str">
        <f>IF(X190="","",IFERROR(INDEX(GERAL[ACUMULADA],157),0))</f>
        <v/>
      </c>
      <c r="Z190" t="str">
        <f t="shared" si="69"/>
        <v/>
      </c>
      <c r="AA190" t="str">
        <f t="shared" si="70"/>
        <v/>
      </c>
      <c r="AB190" t="str">
        <f t="shared" si="71"/>
        <v/>
      </c>
      <c r="AC190" t="str">
        <f>IF(X190="","",IFERROR(INDEX(DIR_ATUAL[QT %],MATCH(X190,DIR_ATUAL[PONTO],0)),0))</f>
        <v/>
      </c>
      <c r="AD190" t="str">
        <f t="shared" si="72"/>
        <v/>
      </c>
      <c r="AE190" t="str">
        <f>IF(X190="","",IF($E$9&gt;$E$8,IFERROR((INDEX(GERAL[SNAP],157)-$E$8)/($E$9-$E$8),0),0))</f>
        <v/>
      </c>
      <c r="AF190" t="str">
        <f t="shared" si="73"/>
        <v/>
      </c>
      <c r="AG190" t="str">
        <f>IFERROR(INDEX(GERAL[LADO],157),"")</f>
        <v/>
      </c>
    </row>
    <row r="191" spans="13:33" x14ac:dyDescent="0.3">
      <c r="M191" t="str">
        <f>IFERROR(INDEX(GERAL[PONTO],178),"")</f>
        <v/>
      </c>
      <c r="N191" t="str">
        <f>IF(M191="","",IFERROR(INDEX(GERAL[ACUMULADA],178),0))</f>
        <v/>
      </c>
      <c r="O191" t="str">
        <f t="shared" si="74"/>
        <v/>
      </c>
      <c r="P191" t="str">
        <f t="shared" si="75"/>
        <v/>
      </c>
      <c r="Q191" t="str">
        <f t="shared" si="76"/>
        <v/>
      </c>
      <c r="R191" t="str">
        <f>IF(M191="","",IFERROR(INDEX(Tabela7[QT %],MATCH(M191,Tabela7[PONTO],0)),0))</f>
        <v/>
      </c>
      <c r="S191" t="str">
        <f t="shared" si="77"/>
        <v/>
      </c>
      <c r="T191" t="str">
        <f>IF(M191="","",IF($B$9&gt;$B$8,IFERROR((INDEX(GERAL[SNAP],178)-$B$8)/($B$9-$B$8),0),0))</f>
        <v/>
      </c>
      <c r="U191" t="str">
        <f t="shared" si="68"/>
        <v/>
      </c>
      <c r="V191" t="str">
        <f>IFERROR(INDEX(GERAL[LADO],178),"")</f>
        <v/>
      </c>
      <c r="X191" t="str">
        <f>IFERROR(INDEX(GERAL[PONTO],158),"")</f>
        <v/>
      </c>
      <c r="Y191" t="str">
        <f>IF(X191="","",IFERROR(INDEX(GERAL[ACUMULADA],158),0))</f>
        <v/>
      </c>
      <c r="Z191" t="str">
        <f t="shared" si="69"/>
        <v/>
      </c>
      <c r="AA191" t="str">
        <f t="shared" si="70"/>
        <v/>
      </c>
      <c r="AB191" t="str">
        <f t="shared" si="71"/>
        <v/>
      </c>
      <c r="AC191" t="str">
        <f>IF(X191="","",IFERROR(INDEX(DIR_ATUAL[QT %],MATCH(X191,DIR_ATUAL[PONTO],0)),0))</f>
        <v/>
      </c>
      <c r="AD191" t="str">
        <f t="shared" si="72"/>
        <v/>
      </c>
      <c r="AE191" t="str">
        <f>IF(X191="","",IF($E$9&gt;$E$8,IFERROR((INDEX(GERAL[SNAP],158)-$E$8)/($E$9-$E$8),0),0))</f>
        <v/>
      </c>
      <c r="AF191" t="str">
        <f t="shared" si="73"/>
        <v/>
      </c>
      <c r="AG191" t="str">
        <f>IFERROR(INDEX(GERAL[LADO],158),"")</f>
        <v/>
      </c>
    </row>
    <row r="192" spans="13:33" x14ac:dyDescent="0.3">
      <c r="M192" t="str">
        <f>IFERROR(INDEX(GERAL[PONTO],179),"")</f>
        <v/>
      </c>
      <c r="N192" t="str">
        <f>IF(M192="","",IFERROR(INDEX(GERAL[ACUMULADA],179),0))</f>
        <v/>
      </c>
      <c r="O192" t="str">
        <f t="shared" si="74"/>
        <v/>
      </c>
      <c r="P192" t="str">
        <f t="shared" si="75"/>
        <v/>
      </c>
      <c r="Q192" t="str">
        <f t="shared" si="76"/>
        <v/>
      </c>
      <c r="R192" t="str">
        <f>IF(M192="","",IFERROR(INDEX(Tabela7[QT %],MATCH(M192,Tabela7[PONTO],0)),0))</f>
        <v/>
      </c>
      <c r="S192" t="str">
        <f t="shared" si="77"/>
        <v/>
      </c>
      <c r="T192" t="str">
        <f>IF(M192="","",IF($B$9&gt;$B$8,IFERROR((INDEX(GERAL[SNAP],179)-$B$8)/($B$9-$B$8),0),0))</f>
        <v/>
      </c>
      <c r="U192" t="str">
        <f t="shared" si="68"/>
        <v/>
      </c>
      <c r="V192" t="str">
        <f>IFERROR(INDEX(GERAL[LADO],179),"")</f>
        <v/>
      </c>
      <c r="X192" t="str">
        <f>IFERROR(INDEX(GERAL[PONTO],159),"")</f>
        <v/>
      </c>
      <c r="Y192" t="str">
        <f>IF(X192="","",IFERROR(INDEX(GERAL[ACUMULADA],159),0))</f>
        <v/>
      </c>
      <c r="Z192" t="str">
        <f t="shared" si="69"/>
        <v/>
      </c>
      <c r="AA192" t="str">
        <f t="shared" si="70"/>
        <v/>
      </c>
      <c r="AB192" t="str">
        <f t="shared" si="71"/>
        <v/>
      </c>
      <c r="AC192" t="str">
        <f>IF(X192="","",IFERROR(INDEX(DIR_ATUAL[QT %],MATCH(X192,DIR_ATUAL[PONTO],0)),0))</f>
        <v/>
      </c>
      <c r="AD192" t="str">
        <f t="shared" si="72"/>
        <v/>
      </c>
      <c r="AE192" t="str">
        <f>IF(X192="","",IF($E$9&gt;$E$8,IFERROR((INDEX(GERAL[SNAP],159)-$E$8)/($E$9-$E$8),0),0))</f>
        <v/>
      </c>
      <c r="AF192" t="str">
        <f t="shared" si="73"/>
        <v/>
      </c>
      <c r="AG192" t="str">
        <f>IFERROR(INDEX(GERAL[LADO],159),"")</f>
        <v/>
      </c>
    </row>
    <row r="193" spans="13:33" x14ac:dyDescent="0.3">
      <c r="M193" t="str">
        <f>IFERROR(INDEX(GERAL[PONTO],180),"")</f>
        <v/>
      </c>
      <c r="N193" t="str">
        <f>IF(M193="","",IFERROR(INDEX(GERAL[ACUMULADA],180),0))</f>
        <v/>
      </c>
      <c r="O193" t="str">
        <f t="shared" si="74"/>
        <v/>
      </c>
      <c r="P193" t="str">
        <f t="shared" si="75"/>
        <v/>
      </c>
      <c r="Q193" t="str">
        <f t="shared" si="76"/>
        <v/>
      </c>
      <c r="R193" t="str">
        <f>IF(M193="","",IFERROR(INDEX(Tabela7[QT %],MATCH(M193,Tabela7[PONTO],0)),0))</f>
        <v/>
      </c>
      <c r="S193" t="str">
        <f t="shared" si="77"/>
        <v/>
      </c>
      <c r="T193" t="str">
        <f>IF(M193="","",IF($B$9&gt;$B$8,IFERROR((INDEX(GERAL[SNAP],180)-$B$8)/($B$9-$B$8),0),0))</f>
        <v/>
      </c>
      <c r="U193" t="str">
        <f t="shared" si="68"/>
        <v/>
      </c>
      <c r="V193" t="str">
        <f>IFERROR(INDEX(GERAL[LADO],180),"")</f>
        <v/>
      </c>
      <c r="X193" t="str">
        <f>IFERROR(INDEX(GERAL[PONTO],160),"")</f>
        <v/>
      </c>
      <c r="Y193" t="str">
        <f>IF(X193="","",IFERROR(INDEX(GERAL[ACUMULADA],160),0))</f>
        <v/>
      </c>
      <c r="Z193" t="str">
        <f t="shared" si="69"/>
        <v/>
      </c>
      <c r="AA193" t="str">
        <f t="shared" si="70"/>
        <v/>
      </c>
      <c r="AB193" t="str">
        <f t="shared" si="71"/>
        <v/>
      </c>
      <c r="AC193" t="str">
        <f>IF(X193="","",IFERROR(INDEX(DIR_ATUAL[QT %],MATCH(X193,DIR_ATUAL[PONTO],0)),0))</f>
        <v/>
      </c>
      <c r="AD193" t="str">
        <f t="shared" si="72"/>
        <v/>
      </c>
      <c r="AE193" t="str">
        <f>IF(X193="","",IF($E$9&gt;$E$8,IFERROR((INDEX(GERAL[SNAP],160)-$E$8)/($E$9-$E$8),0),0))</f>
        <v/>
      </c>
      <c r="AF193" t="str">
        <f t="shared" si="73"/>
        <v/>
      </c>
      <c r="AG193" t="str">
        <f>IFERROR(INDEX(GERAL[LADO],160),"")</f>
        <v/>
      </c>
    </row>
    <row r="194" spans="13:33" x14ac:dyDescent="0.3">
      <c r="M194" t="str">
        <f>IFERROR(INDEX(GERAL[PONTO],181),"")</f>
        <v/>
      </c>
      <c r="N194" t="str">
        <f>IF(M194="","",IFERROR(INDEX(GERAL[ACUMULADA],181),0))</f>
        <v/>
      </c>
      <c r="O194" t="str">
        <f t="shared" si="74"/>
        <v/>
      </c>
      <c r="P194" t="str">
        <f t="shared" si="75"/>
        <v/>
      </c>
      <c r="Q194" t="str">
        <f t="shared" si="76"/>
        <v/>
      </c>
      <c r="R194" t="str">
        <f>IF(M194="","",IFERROR(INDEX(Tabela7[QT %],MATCH(M194,Tabela7[PONTO],0)),0))</f>
        <v/>
      </c>
      <c r="S194" t="str">
        <f t="shared" si="77"/>
        <v/>
      </c>
      <c r="T194" t="str">
        <f>IF(M194="","",IF($B$9&gt;$B$8,IFERROR((INDEX(GERAL[SNAP],181)-$B$8)/($B$9-$B$8),0),0))</f>
        <v/>
      </c>
      <c r="U194" t="str">
        <f t="shared" si="68"/>
        <v/>
      </c>
      <c r="V194" t="str">
        <f>IFERROR(INDEX(GERAL[LADO],181),"")</f>
        <v/>
      </c>
      <c r="X194" t="str">
        <f>IFERROR(INDEX(GERAL[PONTO],161),"")</f>
        <v/>
      </c>
      <c r="Y194" t="str">
        <f>IF(X194="","",IFERROR(INDEX(GERAL[ACUMULADA],161),0))</f>
        <v/>
      </c>
      <c r="Z194" t="str">
        <f t="shared" ref="Z194:Z220" si="78">IF(Y194="","",$B$31-Y194)</f>
        <v/>
      </c>
      <c r="AA194" t="str">
        <f t="shared" ref="AA194:AA220" si="79">IF(Y194="","",IF(Y194*1.15&lt;=30,30,IF(Y194*1.15&lt;=45,45,IF(Y194*1.15&lt;=75,75,IF(Y194*1.15&lt;=112.5,112.5,IF(Y194*1.15&lt;=150,150,IF(Y194*1.15&lt;=225,225,300)))))))</f>
        <v/>
      </c>
      <c r="AB194" t="str">
        <f t="shared" ref="AB194:AB220" si="80">IF(AA194="","",IFERROR(Y194/AA194,0))</f>
        <v/>
      </c>
      <c r="AC194" t="str">
        <f>IF(X194="","",IFERROR(INDEX(DIR_ATUAL[QT %],MATCH(X194,DIR_ATUAL[PONTO],0)),0))</f>
        <v/>
      </c>
      <c r="AD194" t="str">
        <f t="shared" ref="AD194:AD220" si="81">IF(Y194="","",IFERROR(1-ABS(Y194-Z194)/$B$31,0))</f>
        <v/>
      </c>
      <c r="AE194" t="str">
        <f>IF(X194="","",IF($E$9&gt;$E$8,IFERROR((INDEX(GERAL[SNAP],161)-$E$8)/($E$9-$E$8),0),0))</f>
        <v/>
      </c>
      <c r="AF194" t="str">
        <f t="shared" si="73"/>
        <v/>
      </c>
      <c r="AG194" t="str">
        <f>IFERROR(INDEX(GERAL[LADO],161),"")</f>
        <v/>
      </c>
    </row>
    <row r="195" spans="13:33" x14ac:dyDescent="0.3">
      <c r="M195" t="str">
        <f>IFERROR(INDEX(GERAL[PONTO],182),"")</f>
        <v/>
      </c>
      <c r="N195" t="str">
        <f>IF(M195="","",IFERROR(INDEX(GERAL[ACUMULADA],182),0))</f>
        <v/>
      </c>
      <c r="O195" t="str">
        <f t="shared" si="74"/>
        <v/>
      </c>
      <c r="P195" t="str">
        <f t="shared" si="75"/>
        <v/>
      </c>
      <c r="Q195" t="str">
        <f t="shared" si="76"/>
        <v/>
      </c>
      <c r="R195" t="str">
        <f>IF(M195="","",IFERROR(INDEX(Tabela7[QT %],MATCH(M195,Tabela7[PONTO],0)),0))</f>
        <v/>
      </c>
      <c r="S195" t="str">
        <f t="shared" si="77"/>
        <v/>
      </c>
      <c r="T195" t="str">
        <f>IF(M195="","",IF($B$9&gt;$B$8,IFERROR((INDEX(GERAL[SNAP],182)-$B$8)/($B$9-$B$8),0),0))</f>
        <v/>
      </c>
      <c r="U195" t="str">
        <f t="shared" si="68"/>
        <v/>
      </c>
      <c r="V195" t="str">
        <f>IFERROR(INDEX(GERAL[LADO],182),"")</f>
        <v/>
      </c>
      <c r="X195" t="str">
        <f>IFERROR(INDEX(GERAL[PONTO],162),"")</f>
        <v/>
      </c>
      <c r="Y195" t="str">
        <f>IF(X195="","",IFERROR(INDEX(GERAL[ACUMULADA],162),0))</f>
        <v/>
      </c>
      <c r="Z195" t="str">
        <f t="shared" si="78"/>
        <v/>
      </c>
      <c r="AA195" t="str">
        <f t="shared" si="79"/>
        <v/>
      </c>
      <c r="AB195" t="str">
        <f t="shared" si="80"/>
        <v/>
      </c>
      <c r="AC195" t="str">
        <f>IF(X195="","",IFERROR(INDEX(DIR_ATUAL[QT %],MATCH(X195,DIR_ATUAL[PONTO],0)),0))</f>
        <v/>
      </c>
      <c r="AD195" t="str">
        <f t="shared" si="81"/>
        <v/>
      </c>
      <c r="AE195" t="str">
        <f>IF(X195="","",IF($E$9&gt;$E$8,IFERROR((INDEX(GERAL[SNAP],162)-$E$8)/($E$9-$E$8),0),0))</f>
        <v/>
      </c>
      <c r="AF195" t="str">
        <f t="shared" si="73"/>
        <v/>
      </c>
      <c r="AG195" t="str">
        <f>IFERROR(INDEX(GERAL[LADO],162),"")</f>
        <v/>
      </c>
    </row>
    <row r="196" spans="13:33" x14ac:dyDescent="0.3">
      <c r="M196" t="str">
        <f>IFERROR(INDEX(GERAL[PONTO],183),"")</f>
        <v/>
      </c>
      <c r="N196" t="str">
        <f>IF(M196="","",IFERROR(INDEX(GERAL[ACUMULADA],183),0))</f>
        <v/>
      </c>
      <c r="O196" t="str">
        <f t="shared" si="74"/>
        <v/>
      </c>
      <c r="P196" t="str">
        <f t="shared" si="75"/>
        <v/>
      </c>
      <c r="Q196" t="str">
        <f t="shared" si="76"/>
        <v/>
      </c>
      <c r="R196" t="str">
        <f>IF(M196="","",IFERROR(INDEX(Tabela7[QT %],MATCH(M196,Tabela7[PONTO],0)),0))</f>
        <v/>
      </c>
      <c r="S196" t="str">
        <f t="shared" si="77"/>
        <v/>
      </c>
      <c r="T196" t="str">
        <f>IF(M196="","",IF($B$9&gt;$B$8,IFERROR((INDEX(GERAL[SNAP],183)-$B$8)/($B$9-$B$8),0),0))</f>
        <v/>
      </c>
      <c r="U196" t="str">
        <f t="shared" si="68"/>
        <v/>
      </c>
      <c r="V196" t="str">
        <f>IFERROR(INDEX(GERAL[LADO],183),"")</f>
        <v/>
      </c>
      <c r="X196" t="str">
        <f>IFERROR(INDEX(GERAL[PONTO],163),"")</f>
        <v/>
      </c>
      <c r="Y196" t="str">
        <f>IF(X196="","",IFERROR(INDEX(GERAL[ACUMULADA],163),0))</f>
        <v/>
      </c>
      <c r="Z196" t="str">
        <f t="shared" si="78"/>
        <v/>
      </c>
      <c r="AA196" t="str">
        <f t="shared" si="79"/>
        <v/>
      </c>
      <c r="AB196" t="str">
        <f t="shared" si="80"/>
        <v/>
      </c>
      <c r="AC196" t="str">
        <f>IF(X196="","",IFERROR(INDEX(DIR_ATUAL[QT %],MATCH(X196,DIR_ATUAL[PONTO],0)),0))</f>
        <v/>
      </c>
      <c r="AD196" t="str">
        <f t="shared" si="81"/>
        <v/>
      </c>
      <c r="AE196" t="str">
        <f>IF(X196="","",IF($E$9&gt;$E$8,IFERROR((INDEX(GERAL[SNAP],163)-$E$8)/($E$9-$E$8),0),0))</f>
        <v/>
      </c>
      <c r="AF196" t="str">
        <f t="shared" si="73"/>
        <v/>
      </c>
      <c r="AG196" t="str">
        <f>IFERROR(INDEX(GERAL[LADO],163),"")</f>
        <v/>
      </c>
    </row>
    <row r="197" spans="13:33" x14ac:dyDescent="0.3">
      <c r="M197" t="str">
        <f>IFERROR(INDEX(GERAL[PONTO],184),"")</f>
        <v/>
      </c>
      <c r="N197" t="str">
        <f>IF(M197="","",IFERROR(INDEX(GERAL[ACUMULADA],184),0))</f>
        <v/>
      </c>
      <c r="O197" t="str">
        <f t="shared" si="74"/>
        <v/>
      </c>
      <c r="P197" t="str">
        <f t="shared" si="75"/>
        <v/>
      </c>
      <c r="Q197" t="str">
        <f t="shared" si="76"/>
        <v/>
      </c>
      <c r="R197" t="str">
        <f>IF(M197="","",IFERROR(INDEX(Tabela7[QT %],MATCH(M197,Tabela7[PONTO],0)),0))</f>
        <v/>
      </c>
      <c r="S197" t="str">
        <f t="shared" si="77"/>
        <v/>
      </c>
      <c r="T197" t="str">
        <f>IF(M197="","",IF($B$9&gt;$B$8,IFERROR((INDEX(GERAL[SNAP],184)-$B$8)/($B$9-$B$8),0),0))</f>
        <v/>
      </c>
      <c r="U197" t="str">
        <f t="shared" si="68"/>
        <v/>
      </c>
      <c r="V197" t="str">
        <f>IFERROR(INDEX(GERAL[LADO],184),"")</f>
        <v/>
      </c>
      <c r="X197" t="str">
        <f>IFERROR(INDEX(GERAL[PONTO],164),"")</f>
        <v/>
      </c>
      <c r="Y197" t="str">
        <f>IF(X197="","",IFERROR(INDEX(GERAL[ACUMULADA],164),0))</f>
        <v/>
      </c>
      <c r="Z197" t="str">
        <f t="shared" si="78"/>
        <v/>
      </c>
      <c r="AA197" t="str">
        <f t="shared" si="79"/>
        <v/>
      </c>
      <c r="AB197" t="str">
        <f t="shared" si="80"/>
        <v/>
      </c>
      <c r="AC197" t="str">
        <f>IF(X197="","",IFERROR(INDEX(DIR_ATUAL[QT %],MATCH(X197,DIR_ATUAL[PONTO],0)),0))</f>
        <v/>
      </c>
      <c r="AD197" t="str">
        <f t="shared" si="81"/>
        <v/>
      </c>
      <c r="AE197" t="str">
        <f>IF(X197="","",IF($E$9&gt;$E$8,IFERROR((INDEX(GERAL[SNAP],164)-$E$8)/($E$9-$E$8),0),0))</f>
        <v/>
      </c>
      <c r="AF197" t="str">
        <f t="shared" si="73"/>
        <v/>
      </c>
      <c r="AG197" t="str">
        <f>IFERROR(INDEX(GERAL[LADO],164),"")</f>
        <v/>
      </c>
    </row>
    <row r="198" spans="13:33" x14ac:dyDescent="0.3">
      <c r="M198" t="str">
        <f>IFERROR(INDEX(GERAL[PONTO],185),"")</f>
        <v/>
      </c>
      <c r="N198" t="str">
        <f>IF(M198="","",IFERROR(INDEX(GERAL[ACUMULADA],185),0))</f>
        <v/>
      </c>
      <c r="O198" t="str">
        <f t="shared" si="74"/>
        <v/>
      </c>
      <c r="P198" t="str">
        <f t="shared" si="75"/>
        <v/>
      </c>
      <c r="Q198" t="str">
        <f t="shared" si="76"/>
        <v/>
      </c>
      <c r="R198" t="str">
        <f>IF(M198="","",IFERROR(INDEX(Tabela7[QT %],MATCH(M198,Tabela7[PONTO],0)),0))</f>
        <v/>
      </c>
      <c r="S198" t="str">
        <f t="shared" si="77"/>
        <v/>
      </c>
      <c r="T198" t="str">
        <f>IF(M198="","",IF($B$9&gt;$B$8,IFERROR((INDEX(GERAL[SNAP],185)-$B$8)/($B$9-$B$8),0),0))</f>
        <v/>
      </c>
      <c r="U198" t="str">
        <f t="shared" si="68"/>
        <v/>
      </c>
      <c r="V198" t="str">
        <f>IFERROR(INDEX(GERAL[LADO],185),"")</f>
        <v/>
      </c>
      <c r="X198" t="str">
        <f>IFERROR(INDEX(GERAL[PONTO],165),"")</f>
        <v/>
      </c>
      <c r="Y198" t="str">
        <f>IF(X198="","",IFERROR(INDEX(GERAL[ACUMULADA],165),0))</f>
        <v/>
      </c>
      <c r="Z198" t="str">
        <f t="shared" si="78"/>
        <v/>
      </c>
      <c r="AA198" t="str">
        <f t="shared" si="79"/>
        <v/>
      </c>
      <c r="AB198" t="str">
        <f t="shared" si="80"/>
        <v/>
      </c>
      <c r="AC198" t="str">
        <f>IF(X198="","",IFERROR(INDEX(DIR_ATUAL[QT %],MATCH(X198,DIR_ATUAL[PONTO],0)),0))</f>
        <v/>
      </c>
      <c r="AD198" t="str">
        <f t="shared" si="81"/>
        <v/>
      </c>
      <c r="AE198" t="str">
        <f>IF(X198="","",IF($E$9&gt;$E$8,IFERROR((INDEX(GERAL[SNAP],165)-$E$8)/($E$9-$E$8),0),0))</f>
        <v/>
      </c>
      <c r="AF198" t="str">
        <f t="shared" si="73"/>
        <v/>
      </c>
      <c r="AG198" t="str">
        <f>IFERROR(INDEX(GERAL[LADO],165),"")</f>
        <v/>
      </c>
    </row>
    <row r="199" spans="13:33" x14ac:dyDescent="0.3">
      <c r="M199" t="str">
        <f>IFERROR(INDEX(GERAL[PONTO],186),"")</f>
        <v/>
      </c>
      <c r="N199" t="str">
        <f>IF(M199="","",IFERROR(INDEX(GERAL[ACUMULADA],186),0))</f>
        <v/>
      </c>
      <c r="O199" t="str">
        <f t="shared" si="74"/>
        <v/>
      </c>
      <c r="P199" t="str">
        <f t="shared" si="75"/>
        <v/>
      </c>
      <c r="Q199" t="str">
        <f t="shared" si="76"/>
        <v/>
      </c>
      <c r="R199" t="str">
        <f>IF(M199="","",IFERROR(INDEX(Tabela7[QT %],MATCH(M199,Tabela7[PONTO],0)),0))</f>
        <v/>
      </c>
      <c r="S199" t="str">
        <f t="shared" si="77"/>
        <v/>
      </c>
      <c r="T199" t="str">
        <f>IF(M199="","",IF($B$9&gt;$B$8,IFERROR((INDEX(GERAL[SNAP],186)-$B$8)/($B$9-$B$8),0),0))</f>
        <v/>
      </c>
      <c r="U199" t="str">
        <f t="shared" si="68"/>
        <v/>
      </c>
      <c r="V199" t="str">
        <f>IFERROR(INDEX(GERAL[LADO],186),"")</f>
        <v/>
      </c>
      <c r="X199" t="str">
        <f>IFERROR(INDEX(GERAL[PONTO],166),"")</f>
        <v/>
      </c>
      <c r="Y199" t="str">
        <f>IF(X199="","",IFERROR(INDEX(GERAL[ACUMULADA],166),0))</f>
        <v/>
      </c>
      <c r="Z199" t="str">
        <f t="shared" si="78"/>
        <v/>
      </c>
      <c r="AA199" t="str">
        <f t="shared" si="79"/>
        <v/>
      </c>
      <c r="AB199" t="str">
        <f t="shared" si="80"/>
        <v/>
      </c>
      <c r="AC199" t="str">
        <f>IF(X199="","",IFERROR(INDEX(DIR_ATUAL[QT %],MATCH(X199,DIR_ATUAL[PONTO],0)),0))</f>
        <v/>
      </c>
      <c r="AD199" t="str">
        <f t="shared" si="81"/>
        <v/>
      </c>
      <c r="AE199" t="str">
        <f>IF(X199="","",IF($E$9&gt;$E$8,IFERROR((INDEX(GERAL[SNAP],166)-$E$8)/($E$9-$E$8),0),0))</f>
        <v/>
      </c>
      <c r="AF199" t="str">
        <f t="shared" si="73"/>
        <v/>
      </c>
      <c r="AG199" t="str">
        <f>IFERROR(INDEX(GERAL[LADO],166),"")</f>
        <v/>
      </c>
    </row>
    <row r="200" spans="13:33" x14ac:dyDescent="0.3">
      <c r="M200" t="str">
        <f>IFERROR(INDEX(GERAL[PONTO],187),"")</f>
        <v/>
      </c>
      <c r="N200" t="str">
        <f>IF(M200="","",IFERROR(INDEX(GERAL[ACUMULADA],187),0))</f>
        <v/>
      </c>
      <c r="O200" t="str">
        <f t="shared" si="74"/>
        <v/>
      </c>
      <c r="P200" t="str">
        <f t="shared" si="75"/>
        <v/>
      </c>
      <c r="Q200" t="str">
        <f t="shared" si="76"/>
        <v/>
      </c>
      <c r="R200" t="str">
        <f>IF(M200="","",IFERROR(INDEX(Tabela7[QT %],MATCH(M200,Tabela7[PONTO],0)),0))</f>
        <v/>
      </c>
      <c r="S200" t="str">
        <f t="shared" si="77"/>
        <v/>
      </c>
      <c r="T200" t="str">
        <f>IF(M200="","",IF($B$9&gt;$B$8,IFERROR((INDEX(GERAL[SNAP],187)-$B$8)/($B$9-$B$8),0),0))</f>
        <v/>
      </c>
      <c r="U200" t="str">
        <f t="shared" si="68"/>
        <v/>
      </c>
      <c r="V200" t="str">
        <f>IFERROR(INDEX(GERAL[LADO],187),"")</f>
        <v/>
      </c>
      <c r="X200" t="str">
        <f>IFERROR(INDEX(GERAL[PONTO],167),"")</f>
        <v/>
      </c>
      <c r="Y200" t="str">
        <f>IF(X200="","",IFERROR(INDEX(GERAL[ACUMULADA],167),0))</f>
        <v/>
      </c>
      <c r="Z200" t="str">
        <f t="shared" si="78"/>
        <v/>
      </c>
      <c r="AA200" t="str">
        <f t="shared" si="79"/>
        <v/>
      </c>
      <c r="AB200" t="str">
        <f t="shared" si="80"/>
        <v/>
      </c>
      <c r="AC200" t="str">
        <f>IF(X200="","",IFERROR(INDEX(DIR_ATUAL[QT %],MATCH(X200,DIR_ATUAL[PONTO],0)),0))</f>
        <v/>
      </c>
      <c r="AD200" t="str">
        <f t="shared" si="81"/>
        <v/>
      </c>
      <c r="AE200" t="str">
        <f>IF(X200="","",IF($E$9&gt;$E$8,IFERROR((INDEX(GERAL[SNAP],167)-$E$8)/($E$9-$E$8),0),0))</f>
        <v/>
      </c>
      <c r="AF200" t="str">
        <f t="shared" si="73"/>
        <v/>
      </c>
      <c r="AG200" t="str">
        <f>IFERROR(INDEX(GERAL[LADO],167),"")</f>
        <v/>
      </c>
    </row>
    <row r="201" spans="13:33" x14ac:dyDescent="0.3">
      <c r="X201" t="str">
        <f>IFERROR(INDEX(GERAL[PONTO],168),"")</f>
        <v/>
      </c>
      <c r="Y201" t="str">
        <f>IF(X201="","",IFERROR(INDEX(GERAL[ACUMULADA],168),0))</f>
        <v/>
      </c>
      <c r="Z201" t="str">
        <f t="shared" si="78"/>
        <v/>
      </c>
      <c r="AA201" t="str">
        <f t="shared" si="79"/>
        <v/>
      </c>
      <c r="AB201" t="str">
        <f t="shared" si="80"/>
        <v/>
      </c>
      <c r="AC201" t="str">
        <f>IF(X201="","",IFERROR(INDEX(DIR_ATUAL[QT %],MATCH(X201,DIR_ATUAL[PONTO],0)),0))</f>
        <v/>
      </c>
      <c r="AD201" t="str">
        <f t="shared" si="81"/>
        <v/>
      </c>
      <c r="AE201" t="str">
        <f>IF(X201="","",IF($E$9&gt;$E$8,IFERROR((INDEX(GERAL[SNAP],168)-$E$8)/($E$9-$E$8),0),0))</f>
        <v/>
      </c>
      <c r="AF201" t="str">
        <f t="shared" si="73"/>
        <v/>
      </c>
      <c r="AG201" t="str">
        <f>IFERROR(INDEX(GERAL[LADO],168),"")</f>
        <v/>
      </c>
    </row>
    <row r="202" spans="13:33" x14ac:dyDescent="0.3">
      <c r="X202" t="str">
        <f>IFERROR(INDEX(GERAL[PONTO],169),"")</f>
        <v/>
      </c>
      <c r="Y202" t="str">
        <f>IF(X202="","",IFERROR(INDEX(GERAL[ACUMULADA],169),0))</f>
        <v/>
      </c>
      <c r="Z202" t="str">
        <f t="shared" si="78"/>
        <v/>
      </c>
      <c r="AA202" t="str">
        <f t="shared" si="79"/>
        <v/>
      </c>
      <c r="AB202" t="str">
        <f t="shared" si="80"/>
        <v/>
      </c>
      <c r="AC202" t="str">
        <f>IF(X202="","",IFERROR(INDEX(DIR_ATUAL[QT %],MATCH(X202,DIR_ATUAL[PONTO],0)),0))</f>
        <v/>
      </c>
      <c r="AD202" t="str">
        <f t="shared" si="81"/>
        <v/>
      </c>
      <c r="AE202" t="str">
        <f>IF(X202="","",IF($E$9&gt;$E$8,IFERROR((INDEX(GERAL[SNAP],169)-$E$8)/($E$9-$E$8),0),0))</f>
        <v/>
      </c>
      <c r="AF202" t="str">
        <f t="shared" si="73"/>
        <v/>
      </c>
      <c r="AG202" t="str">
        <f>IFERROR(INDEX(GERAL[LADO],169),"")</f>
        <v/>
      </c>
    </row>
    <row r="203" spans="13:33" x14ac:dyDescent="0.3">
      <c r="X203" t="str">
        <f>IFERROR(INDEX(GERAL[PONTO],170),"")</f>
        <v/>
      </c>
      <c r="Y203" t="str">
        <f>IF(X203="","",IFERROR(INDEX(GERAL[ACUMULADA],170),0))</f>
        <v/>
      </c>
      <c r="Z203" t="str">
        <f t="shared" si="78"/>
        <v/>
      </c>
      <c r="AA203" t="str">
        <f t="shared" si="79"/>
        <v/>
      </c>
      <c r="AB203" t="str">
        <f t="shared" si="80"/>
        <v/>
      </c>
      <c r="AC203" t="str">
        <f>IF(X203="","",IFERROR(INDEX(DIR_ATUAL[QT %],MATCH(X203,DIR_ATUAL[PONTO],0)),0))</f>
        <v/>
      </c>
      <c r="AD203" t="str">
        <f t="shared" si="81"/>
        <v/>
      </c>
      <c r="AE203" t="str">
        <f>IF(X203="","",IF($E$9&gt;$E$8,IFERROR((INDEX(GERAL[SNAP],170)-$E$8)/($E$9-$E$8),0),0))</f>
        <v/>
      </c>
      <c r="AF203" t="str">
        <f t="shared" si="73"/>
        <v/>
      </c>
      <c r="AG203" t="str">
        <f>IFERROR(INDEX(GERAL[LADO],170),"")</f>
        <v/>
      </c>
    </row>
    <row r="204" spans="13:33" x14ac:dyDescent="0.3">
      <c r="X204" t="str">
        <f>IFERROR(INDEX(GERAL[PONTO],171),"")</f>
        <v/>
      </c>
      <c r="Y204" t="str">
        <f>IF(X204="","",IFERROR(INDEX(GERAL[ACUMULADA],171),0))</f>
        <v/>
      </c>
      <c r="Z204" t="str">
        <f t="shared" si="78"/>
        <v/>
      </c>
      <c r="AA204" t="str">
        <f t="shared" si="79"/>
        <v/>
      </c>
      <c r="AB204" t="str">
        <f t="shared" si="80"/>
        <v/>
      </c>
      <c r="AC204" t="str">
        <f>IF(X204="","",IFERROR(INDEX(DIR_ATUAL[QT %],MATCH(X204,DIR_ATUAL[PONTO],0)),0))</f>
        <v/>
      </c>
      <c r="AD204" t="str">
        <f t="shared" si="81"/>
        <v/>
      </c>
      <c r="AE204" t="str">
        <f>IF(X204="","",IF($E$9&gt;$E$8,IFERROR((INDEX(GERAL[SNAP],171)-$E$8)/($E$9-$E$8),0),0))</f>
        <v/>
      </c>
      <c r="AF204" t="str">
        <f t="shared" si="73"/>
        <v/>
      </c>
      <c r="AG204" t="str">
        <f>IFERROR(INDEX(GERAL[LADO],171),"")</f>
        <v/>
      </c>
    </row>
    <row r="205" spans="13:33" x14ac:dyDescent="0.3">
      <c r="X205" t="str">
        <f>IFERROR(INDEX(GERAL[PONTO],172),"")</f>
        <v/>
      </c>
      <c r="Y205" t="str">
        <f>IF(X205="","",IFERROR(INDEX(GERAL[ACUMULADA],172),0))</f>
        <v/>
      </c>
      <c r="Z205" t="str">
        <f t="shared" si="78"/>
        <v/>
      </c>
      <c r="AA205" t="str">
        <f t="shared" si="79"/>
        <v/>
      </c>
      <c r="AB205" t="str">
        <f t="shared" si="80"/>
        <v/>
      </c>
      <c r="AC205" t="str">
        <f>IF(X205="","",IFERROR(INDEX(DIR_ATUAL[QT %],MATCH(X205,DIR_ATUAL[PONTO],0)),0))</f>
        <v/>
      </c>
      <c r="AD205" t="str">
        <f t="shared" si="81"/>
        <v/>
      </c>
      <c r="AE205" t="str">
        <f>IF(X205="","",IF($E$9&gt;$E$8,IFERROR((INDEX(GERAL[SNAP],172)-$E$8)/($E$9-$E$8),0),0))</f>
        <v/>
      </c>
      <c r="AF205" t="str">
        <f t="shared" si="73"/>
        <v/>
      </c>
      <c r="AG205" t="str">
        <f>IFERROR(INDEX(GERAL[LADO],172),"")</f>
        <v/>
      </c>
    </row>
    <row r="206" spans="13:33" x14ac:dyDescent="0.3">
      <c r="X206" t="str">
        <f>IFERROR(INDEX(GERAL[PONTO],173),"")</f>
        <v/>
      </c>
      <c r="Y206" t="str">
        <f>IF(X206="","",IFERROR(INDEX(GERAL[ACUMULADA],173),0))</f>
        <v/>
      </c>
      <c r="Z206" t="str">
        <f t="shared" si="78"/>
        <v/>
      </c>
      <c r="AA206" t="str">
        <f t="shared" si="79"/>
        <v/>
      </c>
      <c r="AB206" t="str">
        <f t="shared" si="80"/>
        <v/>
      </c>
      <c r="AC206" t="str">
        <f>IF(X206="","",IFERROR(INDEX(DIR_ATUAL[QT %],MATCH(X206,DIR_ATUAL[PONTO],0)),0))</f>
        <v/>
      </c>
      <c r="AD206" t="str">
        <f t="shared" si="81"/>
        <v/>
      </c>
      <c r="AE206" t="str">
        <f>IF(X206="","",IF($E$9&gt;$E$8,IFERROR((INDEX(GERAL[SNAP],173)-$E$8)/($E$9-$E$8),0),0))</f>
        <v/>
      </c>
      <c r="AF206" t="str">
        <f t="shared" si="73"/>
        <v/>
      </c>
      <c r="AG206" t="str">
        <f>IFERROR(INDEX(GERAL[LADO],173),"")</f>
        <v/>
      </c>
    </row>
    <row r="207" spans="13:33" x14ac:dyDescent="0.3">
      <c r="X207" t="str">
        <f>IFERROR(INDEX(GERAL[PONTO],174),"")</f>
        <v/>
      </c>
      <c r="Y207" t="str">
        <f>IF(X207="","",IFERROR(INDEX(GERAL[ACUMULADA],174),0))</f>
        <v/>
      </c>
      <c r="Z207" t="str">
        <f t="shared" si="78"/>
        <v/>
      </c>
      <c r="AA207" t="str">
        <f t="shared" si="79"/>
        <v/>
      </c>
      <c r="AB207" t="str">
        <f t="shared" si="80"/>
        <v/>
      </c>
      <c r="AC207" t="str">
        <f>IF(X207="","",IFERROR(INDEX(DIR_ATUAL[QT %],MATCH(X207,DIR_ATUAL[PONTO],0)),0))</f>
        <v/>
      </c>
      <c r="AD207" t="str">
        <f t="shared" si="81"/>
        <v/>
      </c>
      <c r="AE207" t="str">
        <f>IF(X207="","",IF($E$9&gt;$E$8,IFERROR((INDEX(GERAL[SNAP],174)-$E$8)/($E$9-$E$8),0),0))</f>
        <v/>
      </c>
      <c r="AF207" t="str">
        <f t="shared" si="73"/>
        <v/>
      </c>
      <c r="AG207" t="str">
        <f>IFERROR(INDEX(GERAL[LADO],174),"")</f>
        <v/>
      </c>
    </row>
    <row r="208" spans="13:33" x14ac:dyDescent="0.3">
      <c r="X208" t="str">
        <f>IFERROR(INDEX(GERAL[PONTO],175),"")</f>
        <v/>
      </c>
      <c r="Y208" t="str">
        <f>IF(X208="","",IFERROR(INDEX(GERAL[ACUMULADA],175),0))</f>
        <v/>
      </c>
      <c r="Z208" t="str">
        <f t="shared" si="78"/>
        <v/>
      </c>
      <c r="AA208" t="str">
        <f t="shared" si="79"/>
        <v/>
      </c>
      <c r="AB208" t="str">
        <f t="shared" si="80"/>
        <v/>
      </c>
      <c r="AC208" t="str">
        <f>IF(X208="","",IFERROR(INDEX(DIR_ATUAL[QT %],MATCH(X208,DIR_ATUAL[PONTO],0)),0))</f>
        <v/>
      </c>
      <c r="AD208" t="str">
        <f t="shared" si="81"/>
        <v/>
      </c>
      <c r="AE208" t="str">
        <f>IF(X208="","",IF($E$9&gt;$E$8,IFERROR((INDEX(GERAL[SNAP],175)-$E$8)/($E$9-$E$8),0),0))</f>
        <v/>
      </c>
      <c r="AF208" t="str">
        <f t="shared" si="73"/>
        <v/>
      </c>
      <c r="AG208" t="str">
        <f>IFERROR(INDEX(GERAL[LADO],175),"")</f>
        <v/>
      </c>
    </row>
    <row r="209" spans="24:33" x14ac:dyDescent="0.3">
      <c r="X209" t="str">
        <f>IFERROR(INDEX(GERAL[PONTO],176),"")</f>
        <v/>
      </c>
      <c r="Y209" t="str">
        <f>IF(X209="","",IFERROR(INDEX(GERAL[ACUMULADA],176),0))</f>
        <v/>
      </c>
      <c r="Z209" t="str">
        <f t="shared" si="78"/>
        <v/>
      </c>
      <c r="AA209" t="str">
        <f t="shared" si="79"/>
        <v/>
      </c>
      <c r="AB209" t="str">
        <f t="shared" si="80"/>
        <v/>
      </c>
      <c r="AC209" t="str">
        <f>IF(X209="","",IFERROR(INDEX(DIR_ATUAL[QT %],MATCH(X209,DIR_ATUAL[PONTO],0)),0))</f>
        <v/>
      </c>
      <c r="AD209" t="str">
        <f t="shared" si="81"/>
        <v/>
      </c>
      <c r="AE209" t="str">
        <f>IF(X209="","",IF($E$9&gt;$E$8,IFERROR((INDEX(GERAL[SNAP],176)-$E$8)/($E$9-$E$8),0),0))</f>
        <v/>
      </c>
      <c r="AF209" t="str">
        <f t="shared" si="73"/>
        <v/>
      </c>
      <c r="AG209" t="str">
        <f>IFERROR(INDEX(GERAL[LADO],176),"")</f>
        <v/>
      </c>
    </row>
    <row r="210" spans="24:33" x14ac:dyDescent="0.3">
      <c r="X210" t="str">
        <f>IFERROR(INDEX(GERAL[PONTO],177),"")</f>
        <v/>
      </c>
      <c r="Y210" t="str">
        <f>IF(X210="","",IFERROR(INDEX(GERAL[ACUMULADA],177),0))</f>
        <v/>
      </c>
      <c r="Z210" t="str">
        <f t="shared" si="78"/>
        <v/>
      </c>
      <c r="AA210" t="str">
        <f t="shared" si="79"/>
        <v/>
      </c>
      <c r="AB210" t="str">
        <f t="shared" si="80"/>
        <v/>
      </c>
      <c r="AC210" t="str">
        <f>IF(X210="","",IFERROR(INDEX(DIR_ATUAL[QT %],MATCH(X210,DIR_ATUAL[PONTO],0)),0))</f>
        <v/>
      </c>
      <c r="AD210" t="str">
        <f t="shared" si="81"/>
        <v/>
      </c>
      <c r="AE210" t="str">
        <f>IF(X210="","",IF($E$9&gt;$E$8,IFERROR((INDEX(GERAL[SNAP],177)-$E$8)/($E$9-$E$8),0),0))</f>
        <v/>
      </c>
      <c r="AF210" t="str">
        <f t="shared" si="73"/>
        <v/>
      </c>
      <c r="AG210" t="str">
        <f>IFERROR(INDEX(GERAL[LADO],177),"")</f>
        <v/>
      </c>
    </row>
    <row r="211" spans="24:33" x14ac:dyDescent="0.3">
      <c r="X211" t="str">
        <f>IFERROR(INDEX(GERAL[PONTO],178),"")</f>
        <v/>
      </c>
      <c r="Y211" t="str">
        <f>IF(X211="","",IFERROR(INDEX(GERAL[ACUMULADA],178),0))</f>
        <v/>
      </c>
      <c r="Z211" t="str">
        <f t="shared" si="78"/>
        <v/>
      </c>
      <c r="AA211" t="str">
        <f t="shared" si="79"/>
        <v/>
      </c>
      <c r="AB211" t="str">
        <f t="shared" si="80"/>
        <v/>
      </c>
      <c r="AC211" t="str">
        <f>IF(X211="","",IFERROR(INDEX(DIR_ATUAL[QT %],MATCH(X211,DIR_ATUAL[PONTO],0)),0))</f>
        <v/>
      </c>
      <c r="AD211" t="str">
        <f t="shared" si="81"/>
        <v/>
      </c>
      <c r="AE211" t="str">
        <f>IF(X211="","",IF($E$9&gt;$E$8,IFERROR((INDEX(GERAL[SNAP],178)-$E$8)/($E$9-$E$8),0),0))</f>
        <v/>
      </c>
      <c r="AF211" t="str">
        <f t="shared" si="73"/>
        <v/>
      </c>
      <c r="AG211" t="str">
        <f>IFERROR(INDEX(GERAL[LADO],178),"")</f>
        <v/>
      </c>
    </row>
    <row r="212" spans="24:33" x14ac:dyDescent="0.3">
      <c r="X212" t="str">
        <f>IFERROR(INDEX(GERAL[PONTO],179),"")</f>
        <v/>
      </c>
      <c r="Y212" t="str">
        <f>IF(X212="","",IFERROR(INDEX(GERAL[ACUMULADA],179),0))</f>
        <v/>
      </c>
      <c r="Z212" t="str">
        <f t="shared" si="78"/>
        <v/>
      </c>
      <c r="AA212" t="str">
        <f t="shared" si="79"/>
        <v/>
      </c>
      <c r="AB212" t="str">
        <f t="shared" si="80"/>
        <v/>
      </c>
      <c r="AC212" t="str">
        <f>IF(X212="","",IFERROR(INDEX(DIR_ATUAL[QT %],MATCH(X212,DIR_ATUAL[PONTO],0)),0))</f>
        <v/>
      </c>
      <c r="AD212" t="str">
        <f t="shared" si="81"/>
        <v/>
      </c>
      <c r="AE212" t="str">
        <f>IF(X212="","",IF($E$9&gt;$E$8,IFERROR((INDEX(GERAL[SNAP],179)-$E$8)/($E$9-$E$8),0),0))</f>
        <v/>
      </c>
      <c r="AF212" t="str">
        <f t="shared" si="73"/>
        <v/>
      </c>
      <c r="AG212" t="str">
        <f>IFERROR(INDEX(GERAL[LADO],179),"")</f>
        <v/>
      </c>
    </row>
    <row r="213" spans="24:33" x14ac:dyDescent="0.3">
      <c r="X213" t="str">
        <f>IFERROR(INDEX(GERAL[PONTO],180),"")</f>
        <v/>
      </c>
      <c r="Y213" t="str">
        <f>IF(X213="","",IFERROR(INDEX(GERAL[ACUMULADA],180),0))</f>
        <v/>
      </c>
      <c r="Z213" t="str">
        <f t="shared" si="78"/>
        <v/>
      </c>
      <c r="AA213" t="str">
        <f t="shared" si="79"/>
        <v/>
      </c>
      <c r="AB213" t="str">
        <f t="shared" si="80"/>
        <v/>
      </c>
      <c r="AC213" t="str">
        <f>IF(X213="","",IFERROR(INDEX(DIR_ATUAL[QT %],MATCH(X213,DIR_ATUAL[PONTO],0)),0))</f>
        <v/>
      </c>
      <c r="AD213" t="str">
        <f t="shared" si="81"/>
        <v/>
      </c>
      <c r="AE213" t="str">
        <f>IF(X213="","",IF($E$9&gt;$E$8,IFERROR((INDEX(GERAL[SNAP],180)-$E$8)/($E$9-$E$8),0),0))</f>
        <v/>
      </c>
      <c r="AF213" t="str">
        <f t="shared" si="73"/>
        <v/>
      </c>
      <c r="AG213" t="str">
        <f>IFERROR(INDEX(GERAL[LADO],180),"")</f>
        <v/>
      </c>
    </row>
    <row r="214" spans="24:33" x14ac:dyDescent="0.3">
      <c r="X214" t="str">
        <f>IFERROR(INDEX(GERAL[PONTO],181),"")</f>
        <v/>
      </c>
      <c r="Y214" t="str">
        <f>IF(X214="","",IFERROR(INDEX(GERAL[ACUMULADA],181),0))</f>
        <v/>
      </c>
      <c r="Z214" t="str">
        <f t="shared" si="78"/>
        <v/>
      </c>
      <c r="AA214" t="str">
        <f t="shared" si="79"/>
        <v/>
      </c>
      <c r="AB214" t="str">
        <f t="shared" si="80"/>
        <v/>
      </c>
      <c r="AC214" t="str">
        <f>IF(X214="","",IFERROR(INDEX(DIR_ATUAL[QT %],MATCH(X214,DIR_ATUAL[PONTO],0)),0))</f>
        <v/>
      </c>
      <c r="AD214" t="str">
        <f t="shared" si="81"/>
        <v/>
      </c>
      <c r="AE214" t="str">
        <f>IF(X214="","",IF($E$9&gt;$E$8,IFERROR((INDEX(GERAL[SNAP],181)-$E$8)/($E$9-$E$8),0),0))</f>
        <v/>
      </c>
      <c r="AF214" t="str">
        <f t="shared" si="73"/>
        <v/>
      </c>
      <c r="AG214" t="str">
        <f>IFERROR(INDEX(GERAL[LADO],181),"")</f>
        <v/>
      </c>
    </row>
    <row r="215" spans="24:33" x14ac:dyDescent="0.3">
      <c r="X215" t="str">
        <f>IFERROR(INDEX(GERAL[PONTO],182),"")</f>
        <v/>
      </c>
      <c r="Y215" t="str">
        <f>IF(X215="","",IFERROR(INDEX(GERAL[ACUMULADA],182),0))</f>
        <v/>
      </c>
      <c r="Z215" t="str">
        <f t="shared" si="78"/>
        <v/>
      </c>
      <c r="AA215" t="str">
        <f t="shared" si="79"/>
        <v/>
      </c>
      <c r="AB215" t="str">
        <f t="shared" si="80"/>
        <v/>
      </c>
      <c r="AC215" t="str">
        <f>IF(X215="","",IFERROR(INDEX(DIR_ATUAL[QT %],MATCH(X215,DIR_ATUAL[PONTO],0)),0))</f>
        <v/>
      </c>
      <c r="AD215" t="str">
        <f t="shared" si="81"/>
        <v/>
      </c>
      <c r="AE215" t="str">
        <f>IF(X215="","",IF($E$9&gt;$E$8,IFERROR((INDEX(GERAL[SNAP],182)-$E$8)/($E$9-$E$8),0),0))</f>
        <v/>
      </c>
      <c r="AF215" t="str">
        <f t="shared" si="73"/>
        <v/>
      </c>
      <c r="AG215" t="str">
        <f>IFERROR(INDEX(GERAL[LADO],182),"")</f>
        <v/>
      </c>
    </row>
    <row r="216" spans="24:33" x14ac:dyDescent="0.3">
      <c r="X216" t="str">
        <f>IFERROR(INDEX(GERAL[PONTO],183),"")</f>
        <v/>
      </c>
      <c r="Y216" t="str">
        <f>IF(X216="","",IFERROR(INDEX(GERAL[ACUMULADA],183),0))</f>
        <v/>
      </c>
      <c r="Z216" t="str">
        <f t="shared" si="78"/>
        <v/>
      </c>
      <c r="AA216" t="str">
        <f t="shared" si="79"/>
        <v/>
      </c>
      <c r="AB216" t="str">
        <f t="shared" si="80"/>
        <v/>
      </c>
      <c r="AC216" t="str">
        <f>IF(X216="","",IFERROR(INDEX(DIR_ATUAL[QT %],MATCH(X216,DIR_ATUAL[PONTO],0)),0))</f>
        <v/>
      </c>
      <c r="AD216" t="str">
        <f t="shared" si="81"/>
        <v/>
      </c>
      <c r="AE216" t="str">
        <f>IF(X216="","",IF($E$9&gt;$E$8,IFERROR((INDEX(GERAL[SNAP],183)-$E$8)/($E$9-$E$8),0),0))</f>
        <v/>
      </c>
      <c r="AF216" t="str">
        <f t="shared" si="73"/>
        <v/>
      </c>
      <c r="AG216" t="str">
        <f>IFERROR(INDEX(GERAL[LADO],183),"")</f>
        <v/>
      </c>
    </row>
    <row r="217" spans="24:33" x14ac:dyDescent="0.3">
      <c r="X217" t="str">
        <f>IFERROR(INDEX(GERAL[PONTO],184),"")</f>
        <v/>
      </c>
      <c r="Y217" t="str">
        <f>IF(X217="","",IFERROR(INDEX(GERAL[ACUMULADA],184),0))</f>
        <v/>
      </c>
      <c r="Z217" t="str">
        <f t="shared" si="78"/>
        <v/>
      </c>
      <c r="AA217" t="str">
        <f t="shared" si="79"/>
        <v/>
      </c>
      <c r="AB217" t="str">
        <f t="shared" si="80"/>
        <v/>
      </c>
      <c r="AC217" t="str">
        <f>IF(X217="","",IFERROR(INDEX(DIR_ATUAL[QT %],MATCH(X217,DIR_ATUAL[PONTO],0)),0))</f>
        <v/>
      </c>
      <c r="AD217" t="str">
        <f t="shared" si="81"/>
        <v/>
      </c>
      <c r="AE217" t="str">
        <f>IF(X217="","",IF($E$9&gt;$E$8,IFERROR((INDEX(GERAL[SNAP],184)-$E$8)/($E$9-$E$8),0),0))</f>
        <v/>
      </c>
      <c r="AF217" t="str">
        <f t="shared" si="73"/>
        <v/>
      </c>
      <c r="AG217" t="str">
        <f>IFERROR(INDEX(GERAL[LADO],184),"")</f>
        <v/>
      </c>
    </row>
    <row r="218" spans="24:33" x14ac:dyDescent="0.3">
      <c r="X218" t="str">
        <f>IFERROR(INDEX(GERAL[PONTO],185),"")</f>
        <v/>
      </c>
      <c r="Y218" t="str">
        <f>IF(X218="","",IFERROR(INDEX(GERAL[ACUMULADA],185),0))</f>
        <v/>
      </c>
      <c r="Z218" t="str">
        <f t="shared" si="78"/>
        <v/>
      </c>
      <c r="AA218" t="str">
        <f t="shared" si="79"/>
        <v/>
      </c>
      <c r="AB218" t="str">
        <f t="shared" si="80"/>
        <v/>
      </c>
      <c r="AC218" t="str">
        <f>IF(X218="","",IFERROR(INDEX(DIR_ATUAL[QT %],MATCH(X218,DIR_ATUAL[PONTO],0)),0))</f>
        <v/>
      </c>
      <c r="AD218" t="str">
        <f t="shared" si="81"/>
        <v/>
      </c>
      <c r="AE218" t="str">
        <f>IF(X218="","",IF($E$9&gt;$E$8,IFERROR((INDEX(GERAL[SNAP],185)-$E$8)/($E$9-$E$8),0),0))</f>
        <v/>
      </c>
      <c r="AF218" t="str">
        <f t="shared" si="73"/>
        <v/>
      </c>
      <c r="AG218" t="str">
        <f>IFERROR(INDEX(GERAL[LADO],185),"")</f>
        <v/>
      </c>
    </row>
    <row r="219" spans="24:33" x14ac:dyDescent="0.3">
      <c r="X219" t="str">
        <f>IFERROR(INDEX(GERAL[PONTO],186),"")</f>
        <v/>
      </c>
      <c r="Y219" t="str">
        <f>IF(X219="","",IFERROR(INDEX(GERAL[ACUMULADA],186),0))</f>
        <v/>
      </c>
      <c r="Z219" t="str">
        <f t="shared" si="78"/>
        <v/>
      </c>
      <c r="AA219" t="str">
        <f t="shared" si="79"/>
        <v/>
      </c>
      <c r="AB219" t="str">
        <f t="shared" si="80"/>
        <v/>
      </c>
      <c r="AC219" t="str">
        <f>IF(X219="","",IFERROR(INDEX(DIR_ATUAL[QT %],MATCH(X219,DIR_ATUAL[PONTO],0)),0))</f>
        <v/>
      </c>
      <c r="AD219" t="str">
        <f t="shared" si="81"/>
        <v/>
      </c>
      <c r="AE219" t="str">
        <f>IF(X219="","",IF($E$9&gt;$E$8,IFERROR((INDEX(GERAL[SNAP],186)-$E$8)/($E$9-$E$8),0),0))</f>
        <v/>
      </c>
      <c r="AF219" t="str">
        <f t="shared" si="73"/>
        <v/>
      </c>
      <c r="AG219" t="str">
        <f>IFERROR(INDEX(GERAL[LADO],186),"")</f>
        <v/>
      </c>
    </row>
    <row r="220" spans="24:33" x14ac:dyDescent="0.3">
      <c r="X220" t="str">
        <f>IFERROR(INDEX(GERAL[PONTO],187),"")</f>
        <v/>
      </c>
      <c r="Y220" t="str">
        <f>IF(X220="","",IFERROR(INDEX(GERAL[ACUMULADA],187),0))</f>
        <v/>
      </c>
      <c r="Z220" t="str">
        <f t="shared" si="78"/>
        <v/>
      </c>
      <c r="AA220" t="str">
        <f t="shared" si="79"/>
        <v/>
      </c>
      <c r="AB220" t="str">
        <f t="shared" si="80"/>
        <v/>
      </c>
      <c r="AC220" t="str">
        <f>IF(X220="","",IFERROR(INDEX(DIR_ATUAL[QT %],MATCH(X220,DIR_ATUAL[PONTO],0)),0))</f>
        <v/>
      </c>
      <c r="AD220" t="str">
        <f t="shared" si="81"/>
        <v/>
      </c>
      <c r="AE220" t="str">
        <f>IF(X220="","",IF($E$9&gt;$E$8,IFERROR((INDEX(GERAL[SNAP],187)-$E$8)/($E$9-$E$8),0),0))</f>
        <v/>
      </c>
      <c r="AF220" t="str">
        <f t="shared" si="73"/>
        <v/>
      </c>
      <c r="AG220" t="str">
        <f>IFERROR(INDEX(GERAL[LADO],187),"")</f>
        <v/>
      </c>
    </row>
  </sheetData>
  <conditionalFormatting sqref="J14:J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J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2"/>
  <dimension ref="A1:AF217"/>
  <sheetViews>
    <sheetView zoomScale="85" zoomScaleNormal="85" workbookViewId="0">
      <pane ySplit="17" topLeftCell="A18" activePane="bottomLeft" state="frozen"/>
      <selection activeCell="A14" sqref="A14"/>
      <selection pane="bottomLeft" activeCell="U27" sqref="U27"/>
    </sheetView>
  </sheetViews>
  <sheetFormatPr defaultColWidth="12.21875" defaultRowHeight="14.4" x14ac:dyDescent="0.3"/>
  <cols>
    <col min="1" max="1" width="13.6640625" bestFit="1" customWidth="1"/>
    <col min="2" max="2" width="4.6640625" hidden="1" customWidth="1"/>
    <col min="3" max="9" width="4.5546875" hidden="1" customWidth="1"/>
    <col min="10" max="11" width="5.5546875" hidden="1" customWidth="1"/>
    <col min="12" max="12" width="6.44140625" hidden="1" customWidth="1"/>
    <col min="13" max="13" width="11.5546875" bestFit="1" customWidth="1"/>
    <col min="14" max="15" width="13.5546875" bestFit="1" customWidth="1"/>
    <col min="16" max="16" width="11.5546875" bestFit="1" customWidth="1"/>
    <col min="17" max="17" width="9.33203125" customWidth="1"/>
    <col min="18" max="18" width="9.21875" customWidth="1"/>
    <col min="19" max="19" width="9.6640625" customWidth="1"/>
    <col min="20" max="20" width="10.109375" customWidth="1"/>
    <col min="21" max="21" width="9" customWidth="1"/>
    <col min="22" max="22" width="16" customWidth="1"/>
    <col min="23" max="23" width="19.109375" customWidth="1"/>
    <col min="24" max="24" width="12.21875" style="9" customWidth="1"/>
    <col min="25" max="25" width="16" style="9" customWidth="1"/>
    <col min="26" max="26" width="2.44140625" customWidth="1"/>
    <col min="27" max="27" width="16.5546875" customWidth="1"/>
  </cols>
  <sheetData>
    <row r="1" spans="1:32" ht="16.2" hidden="1" customHeight="1" thickBot="1" x14ac:dyDescent="0.35">
      <c r="A1" s="243" t="s">
        <v>175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5"/>
    </row>
    <row r="2" spans="1:32" ht="16.2" hidden="1" customHeight="1" thickBot="1" x14ac:dyDescent="0.35">
      <c r="A2" s="15" t="s">
        <v>176</v>
      </c>
      <c r="B2" s="252" t="s">
        <v>177</v>
      </c>
      <c r="C2" s="244"/>
      <c r="D2" s="244"/>
      <c r="E2" s="244"/>
      <c r="F2" s="244"/>
      <c r="G2" s="244"/>
      <c r="H2" s="244"/>
      <c r="I2" s="244"/>
      <c r="J2" s="244"/>
      <c r="K2" s="244"/>
      <c r="L2" s="253"/>
      <c r="M2" s="248" t="s">
        <v>178</v>
      </c>
      <c r="N2" s="244"/>
      <c r="O2" s="244"/>
      <c r="P2" s="244"/>
      <c r="Q2" s="244"/>
      <c r="R2" s="244"/>
      <c r="S2" s="244"/>
      <c r="T2" s="244"/>
      <c r="U2" s="245"/>
    </row>
    <row r="3" spans="1:32" hidden="1" x14ac:dyDescent="0.3">
      <c r="A3" s="250" t="s">
        <v>179</v>
      </c>
      <c r="B3" s="16">
        <v>5</v>
      </c>
      <c r="C3" s="17">
        <v>8</v>
      </c>
      <c r="D3" s="17">
        <v>13</v>
      </c>
      <c r="E3" s="17">
        <v>21</v>
      </c>
      <c r="F3" s="17">
        <v>33</v>
      </c>
      <c r="G3" s="17">
        <v>53</v>
      </c>
      <c r="H3" s="17">
        <v>67</v>
      </c>
      <c r="I3" s="17">
        <v>85</v>
      </c>
      <c r="J3" s="17">
        <v>107</v>
      </c>
      <c r="K3" s="17">
        <v>127</v>
      </c>
      <c r="L3" s="18">
        <v>253</v>
      </c>
      <c r="M3" s="19" t="s">
        <v>180</v>
      </c>
      <c r="N3" s="17" t="s">
        <v>181</v>
      </c>
      <c r="O3" s="17" t="s">
        <v>182</v>
      </c>
      <c r="P3" s="17" t="s">
        <v>183</v>
      </c>
      <c r="Q3" s="17" t="s">
        <v>184</v>
      </c>
      <c r="R3" s="17" t="s">
        <v>185</v>
      </c>
      <c r="S3" s="17" t="s">
        <v>186</v>
      </c>
      <c r="T3" s="17">
        <v>70</v>
      </c>
      <c r="U3" s="18">
        <v>185</v>
      </c>
    </row>
    <row r="4" spans="1:32" hidden="1" x14ac:dyDescent="0.3">
      <c r="A4" s="251"/>
      <c r="B4" s="20" t="s">
        <v>187</v>
      </c>
      <c r="C4" s="21" t="s">
        <v>187</v>
      </c>
      <c r="D4" s="21" t="s">
        <v>187</v>
      </c>
      <c r="E4" s="21" t="s">
        <v>187</v>
      </c>
      <c r="F4" s="21" t="s">
        <v>187</v>
      </c>
      <c r="G4" s="21" t="s">
        <v>187</v>
      </c>
      <c r="H4" s="21" t="s">
        <v>187</v>
      </c>
      <c r="I4" s="21" t="s">
        <v>187</v>
      </c>
      <c r="J4" s="21" t="s">
        <v>187</v>
      </c>
      <c r="K4" s="21" t="s">
        <v>187</v>
      </c>
      <c r="L4" s="22" t="s">
        <v>187</v>
      </c>
      <c r="M4" s="23" t="s">
        <v>106</v>
      </c>
      <c r="N4" s="21" t="s">
        <v>106</v>
      </c>
      <c r="O4" s="21" t="s">
        <v>106</v>
      </c>
      <c r="P4" s="21" t="s">
        <v>188</v>
      </c>
      <c r="Q4" s="21" t="s">
        <v>189</v>
      </c>
      <c r="R4" s="21" t="s">
        <v>190</v>
      </c>
      <c r="S4" s="21" t="s">
        <v>191</v>
      </c>
      <c r="T4" s="21" t="s">
        <v>192</v>
      </c>
      <c r="U4" s="22" t="s">
        <v>192</v>
      </c>
    </row>
    <row r="5" spans="1:32" ht="14.4" hidden="1" customHeight="1" thickBot="1" x14ac:dyDescent="0.35">
      <c r="A5" s="24" t="s">
        <v>193</v>
      </c>
      <c r="B5" s="25">
        <v>66</v>
      </c>
      <c r="C5" s="26">
        <v>88</v>
      </c>
      <c r="D5" s="26">
        <v>116</v>
      </c>
      <c r="E5" s="26">
        <v>151</v>
      </c>
      <c r="F5" s="26">
        <v>205</v>
      </c>
      <c r="G5" s="26">
        <v>272</v>
      </c>
      <c r="H5" s="26">
        <v>313</v>
      </c>
      <c r="I5" s="26">
        <v>366</v>
      </c>
      <c r="J5" s="26">
        <v>418</v>
      </c>
      <c r="K5" s="26">
        <v>466</v>
      </c>
      <c r="L5" s="27">
        <v>710</v>
      </c>
      <c r="M5" s="28">
        <v>78</v>
      </c>
      <c r="N5" s="26">
        <v>80</v>
      </c>
      <c r="O5" s="26">
        <v>72</v>
      </c>
      <c r="P5" s="26">
        <v>95</v>
      </c>
      <c r="Q5" s="26">
        <v>165</v>
      </c>
      <c r="R5" s="26">
        <v>220</v>
      </c>
      <c r="S5" s="26">
        <v>254</v>
      </c>
      <c r="T5" s="26">
        <v>227</v>
      </c>
      <c r="U5" s="27">
        <v>423</v>
      </c>
    </row>
    <row r="6" spans="1:32" ht="14.4" hidden="1" customHeight="1" thickBot="1" x14ac:dyDescent="0.35"/>
    <row r="7" spans="1:32" hidden="1" x14ac:dyDescent="0.3">
      <c r="A7" s="254" t="s">
        <v>194</v>
      </c>
      <c r="B7" s="29">
        <v>33</v>
      </c>
      <c r="C7" s="29">
        <v>33</v>
      </c>
      <c r="D7" s="29">
        <v>53</v>
      </c>
      <c r="E7" s="29">
        <v>53</v>
      </c>
      <c r="F7" s="29">
        <v>107</v>
      </c>
      <c r="G7" s="29">
        <v>107</v>
      </c>
      <c r="H7" s="29">
        <v>201</v>
      </c>
      <c r="I7" s="29">
        <v>201</v>
      </c>
      <c r="J7" s="29" t="s">
        <v>184</v>
      </c>
      <c r="K7" s="29" t="s">
        <v>185</v>
      </c>
      <c r="L7" s="29" t="s">
        <v>186</v>
      </c>
      <c r="M7" s="29">
        <v>70</v>
      </c>
      <c r="N7" s="30">
        <v>185</v>
      </c>
    </row>
    <row r="8" spans="1:32" ht="14.4" hidden="1" customHeight="1" thickBot="1" x14ac:dyDescent="0.35">
      <c r="A8" s="255"/>
      <c r="B8" s="31" t="s">
        <v>195</v>
      </c>
      <c r="C8" s="31" t="s">
        <v>196</v>
      </c>
      <c r="D8" s="31" t="s">
        <v>195</v>
      </c>
      <c r="E8" s="31" t="s">
        <v>196</v>
      </c>
      <c r="F8" s="31" t="s">
        <v>197</v>
      </c>
      <c r="G8" s="31" t="s">
        <v>196</v>
      </c>
      <c r="H8" s="31" t="s">
        <v>197</v>
      </c>
      <c r="I8" s="31" t="s">
        <v>196</v>
      </c>
      <c r="J8" s="31" t="s">
        <v>189</v>
      </c>
      <c r="K8" s="31" t="s">
        <v>190</v>
      </c>
      <c r="L8" s="31" t="s">
        <v>191</v>
      </c>
      <c r="M8" s="31" t="s">
        <v>192</v>
      </c>
      <c r="N8" s="32" t="s">
        <v>192</v>
      </c>
    </row>
    <row r="9" spans="1:32" hidden="1" x14ac:dyDescent="0.3">
      <c r="A9" s="20" t="s">
        <v>198</v>
      </c>
      <c r="B9" s="33">
        <v>1.0903</v>
      </c>
      <c r="C9" s="33">
        <v>1.0254000000000001</v>
      </c>
      <c r="D9" s="33">
        <v>0.70589999999999997</v>
      </c>
      <c r="E9" s="33">
        <v>0.64559999999999995</v>
      </c>
      <c r="F9" s="33">
        <v>0.32250000000000001</v>
      </c>
      <c r="G9" s="33">
        <v>0.32250000000000001</v>
      </c>
      <c r="H9" s="33">
        <v>0.1731</v>
      </c>
      <c r="I9" s="33">
        <v>0.1731</v>
      </c>
      <c r="J9" s="33">
        <v>0.66410000000000002</v>
      </c>
      <c r="K9" s="33">
        <v>0.41799999999999998</v>
      </c>
      <c r="L9" s="33">
        <v>0.33129999999999998</v>
      </c>
      <c r="M9" s="33">
        <v>0.56969999999999998</v>
      </c>
      <c r="N9" s="34">
        <v>0.21490000000000001</v>
      </c>
    </row>
    <row r="10" spans="1:32" hidden="1" x14ac:dyDescent="0.3">
      <c r="A10" s="35" t="s">
        <v>199</v>
      </c>
      <c r="B10" s="36">
        <v>0.40339999999999998</v>
      </c>
      <c r="C10" s="36">
        <v>0.34189999999999998</v>
      </c>
      <c r="D10" s="36">
        <v>0.3705</v>
      </c>
      <c r="E10" s="36">
        <v>0.32350000000000001</v>
      </c>
      <c r="F10" s="36">
        <v>0.29680000000000001</v>
      </c>
      <c r="G10" s="36">
        <v>0.29680000000000001</v>
      </c>
      <c r="H10" s="36">
        <v>0.26860000000000001</v>
      </c>
      <c r="I10" s="36">
        <v>0.26860000000000001</v>
      </c>
      <c r="J10" s="36">
        <v>0.13109999999999999</v>
      </c>
      <c r="K10" s="36">
        <v>0.12790000000000001</v>
      </c>
      <c r="L10" s="36">
        <v>0.129</v>
      </c>
      <c r="M10" s="36">
        <v>0.126</v>
      </c>
      <c r="N10" s="37">
        <v>0.1178</v>
      </c>
    </row>
    <row r="11" spans="1:32" hidden="1" x14ac:dyDescent="0.3">
      <c r="A11" s="35" t="s">
        <v>200</v>
      </c>
      <c r="B11" s="36">
        <f t="shared" ref="B11:N11" si="0">B9*0.85+B10*0.5268</f>
        <v>1.13926612</v>
      </c>
      <c r="C11" s="36">
        <f t="shared" si="0"/>
        <v>1.0517029200000001</v>
      </c>
      <c r="D11" s="36">
        <f t="shared" si="0"/>
        <v>0.79519439999999997</v>
      </c>
      <c r="E11" s="36">
        <f t="shared" si="0"/>
        <v>0.71917979999999992</v>
      </c>
      <c r="F11" s="36">
        <f t="shared" si="0"/>
        <v>0.43047924000000004</v>
      </c>
      <c r="G11" s="36">
        <f t="shared" si="0"/>
        <v>0.43047924000000004</v>
      </c>
      <c r="H11" s="36">
        <f t="shared" si="0"/>
        <v>0.28863348</v>
      </c>
      <c r="I11" s="36">
        <f t="shared" si="0"/>
        <v>0.28863348</v>
      </c>
      <c r="J11" s="36">
        <f t="shared" si="0"/>
        <v>0.63354847999999997</v>
      </c>
      <c r="K11" s="36">
        <f t="shared" si="0"/>
        <v>0.42267771999999998</v>
      </c>
      <c r="L11" s="36">
        <f t="shared" si="0"/>
        <v>0.34956219999999999</v>
      </c>
      <c r="M11" s="36">
        <f t="shared" si="0"/>
        <v>0.55062179999999994</v>
      </c>
      <c r="N11" s="37">
        <f t="shared" si="0"/>
        <v>0.24472204</v>
      </c>
    </row>
    <row r="12" spans="1:32" hidden="1" x14ac:dyDescent="0.3">
      <c r="A12" s="35" t="s">
        <v>201</v>
      </c>
      <c r="B12" s="36">
        <f t="shared" ref="B12:N12" si="1">B9*0.95+B10*0.3122</f>
        <v>1.16172648</v>
      </c>
      <c r="C12" s="36">
        <f t="shared" si="1"/>
        <v>1.0808711799999999</v>
      </c>
      <c r="D12" s="36">
        <f t="shared" si="1"/>
        <v>0.78627509999999989</v>
      </c>
      <c r="E12" s="36">
        <f t="shared" si="1"/>
        <v>0.71431669999999992</v>
      </c>
      <c r="F12" s="36">
        <f t="shared" si="1"/>
        <v>0.39903596000000002</v>
      </c>
      <c r="G12" s="36">
        <f t="shared" si="1"/>
        <v>0.39903596000000002</v>
      </c>
      <c r="H12" s="36">
        <f t="shared" si="1"/>
        <v>0.24830192000000001</v>
      </c>
      <c r="I12" s="36">
        <f t="shared" si="1"/>
        <v>0.24830192000000001</v>
      </c>
      <c r="J12" s="36">
        <f t="shared" si="1"/>
        <v>0.67182441999999998</v>
      </c>
      <c r="K12" s="36">
        <f t="shared" si="1"/>
        <v>0.43703037999999994</v>
      </c>
      <c r="L12" s="36">
        <f t="shared" si="1"/>
        <v>0.35500880000000001</v>
      </c>
      <c r="M12" s="36">
        <f t="shared" si="1"/>
        <v>0.58055219999999996</v>
      </c>
      <c r="N12" s="37">
        <f t="shared" si="1"/>
        <v>0.24093216000000001</v>
      </c>
    </row>
    <row r="13" spans="1:32" ht="14.4" hidden="1" customHeight="1" thickBot="1" x14ac:dyDescent="0.35">
      <c r="A13" s="38" t="s">
        <v>202</v>
      </c>
      <c r="B13" s="39">
        <f t="shared" ref="B13:N13" si="2">B9*0.9+B10*0.4359</f>
        <v>1.15711206</v>
      </c>
      <c r="C13" s="39">
        <f t="shared" si="2"/>
        <v>1.0718942100000002</v>
      </c>
      <c r="D13" s="39">
        <f t="shared" si="2"/>
        <v>0.79681095000000002</v>
      </c>
      <c r="E13" s="39">
        <f t="shared" si="2"/>
        <v>0.72205364999999999</v>
      </c>
      <c r="F13" s="39">
        <f t="shared" si="2"/>
        <v>0.41962512000000002</v>
      </c>
      <c r="G13" s="39">
        <f t="shared" si="2"/>
        <v>0.41962512000000002</v>
      </c>
      <c r="H13" s="39">
        <f t="shared" si="2"/>
        <v>0.27287274</v>
      </c>
      <c r="I13" s="39">
        <f t="shared" si="2"/>
        <v>0.27287274</v>
      </c>
      <c r="J13" s="39">
        <f t="shared" si="2"/>
        <v>0.6548364900000001</v>
      </c>
      <c r="K13" s="39">
        <f t="shared" si="2"/>
        <v>0.43195160999999999</v>
      </c>
      <c r="L13" s="39">
        <f t="shared" si="2"/>
        <v>0.35440110000000002</v>
      </c>
      <c r="M13" s="39">
        <f t="shared" si="2"/>
        <v>0.56765339999999997</v>
      </c>
      <c r="N13" s="40">
        <f t="shared" si="2"/>
        <v>0.24475901999999999</v>
      </c>
    </row>
    <row r="14" spans="1:32" ht="14.4" customHeight="1" thickBot="1" x14ac:dyDescent="0.35">
      <c r="M14" s="9" t="s">
        <v>203</v>
      </c>
      <c r="N14" s="9" t="s">
        <v>204</v>
      </c>
      <c r="O14" s="9" t="s">
        <v>205</v>
      </c>
    </row>
    <row r="15" spans="1:32" ht="16.2" customHeight="1" thickBot="1" x14ac:dyDescent="0.35">
      <c r="A15" s="249" t="s">
        <v>206</v>
      </c>
      <c r="B15" s="209"/>
      <c r="C15" s="209"/>
      <c r="D15" s="209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W15" s="125"/>
      <c r="X15" s="125" t="s">
        <v>5</v>
      </c>
      <c r="Y15" s="246" t="s">
        <v>207</v>
      </c>
      <c r="AA15" s="234" t="s">
        <v>208</v>
      </c>
      <c r="AB15" s="231"/>
      <c r="AC15" s="234" t="s">
        <v>209</v>
      </c>
      <c r="AD15" s="231"/>
      <c r="AE15" s="234" t="s">
        <v>210</v>
      </c>
      <c r="AF15" s="231"/>
    </row>
    <row r="16" spans="1:32" ht="14.4" customHeight="1" thickBot="1" x14ac:dyDescent="0.35">
      <c r="A16" s="120"/>
      <c r="B16" s="41">
        <v>5</v>
      </c>
      <c r="C16" s="29">
        <v>8</v>
      </c>
      <c r="D16" s="29">
        <v>13</v>
      </c>
      <c r="E16" s="29">
        <v>21</v>
      </c>
      <c r="F16" s="29">
        <v>33</v>
      </c>
      <c r="G16" s="29">
        <v>53</v>
      </c>
      <c r="H16" s="29">
        <v>67</v>
      </c>
      <c r="I16" s="29">
        <v>85</v>
      </c>
      <c r="J16" s="29">
        <v>107</v>
      </c>
      <c r="K16" s="29">
        <v>127</v>
      </c>
      <c r="L16" s="29">
        <v>253</v>
      </c>
      <c r="M16" s="29" t="s">
        <v>180</v>
      </c>
      <c r="N16" s="29" t="s">
        <v>181</v>
      </c>
      <c r="O16" s="29" t="s">
        <v>182</v>
      </c>
      <c r="P16" s="29" t="s">
        <v>183</v>
      </c>
      <c r="Q16" s="29" t="s">
        <v>184</v>
      </c>
      <c r="R16" s="29" t="s">
        <v>185</v>
      </c>
      <c r="S16" s="42" t="s">
        <v>186</v>
      </c>
      <c r="T16" s="29">
        <v>70</v>
      </c>
      <c r="U16" s="30">
        <v>185</v>
      </c>
      <c r="V16" s="44" t="s">
        <v>211</v>
      </c>
      <c r="W16" s="173">
        <f>SUM(V18:V217)</f>
        <v>38070</v>
      </c>
      <c r="X16" s="9">
        <f>SUM(X18:X217)</f>
        <v>90</v>
      </c>
      <c r="Y16" s="247"/>
      <c r="AA16" s="235"/>
      <c r="AB16" s="236"/>
      <c r="AC16" s="235"/>
      <c r="AD16" s="236"/>
      <c r="AE16" s="235"/>
      <c r="AF16" s="236"/>
    </row>
    <row r="17" spans="1:32" x14ac:dyDescent="0.3">
      <c r="A17" s="121" t="s">
        <v>212</v>
      </c>
      <c r="B17" s="46" t="s">
        <v>187</v>
      </c>
      <c r="C17" s="47" t="s">
        <v>213</v>
      </c>
      <c r="D17" s="47" t="s">
        <v>214</v>
      </c>
      <c r="E17" s="47" t="s">
        <v>215</v>
      </c>
      <c r="F17" s="47" t="s">
        <v>216</v>
      </c>
      <c r="G17" s="47" t="s">
        <v>217</v>
      </c>
      <c r="H17" s="47" t="s">
        <v>218</v>
      </c>
      <c r="I17" s="47" t="s">
        <v>219</v>
      </c>
      <c r="J17" s="47" t="s">
        <v>220</v>
      </c>
      <c r="K17" s="47" t="s">
        <v>221</v>
      </c>
      <c r="L17" s="47" t="s">
        <v>222</v>
      </c>
      <c r="M17" s="47" t="s">
        <v>301</v>
      </c>
      <c r="N17" s="47" t="s">
        <v>294</v>
      </c>
      <c r="O17" s="47" t="s">
        <v>295</v>
      </c>
      <c r="P17" s="47" t="s">
        <v>296</v>
      </c>
      <c r="Q17" s="47" t="s">
        <v>189</v>
      </c>
      <c r="R17" s="47" t="s">
        <v>190</v>
      </c>
      <c r="S17" s="44" t="s">
        <v>191</v>
      </c>
      <c r="T17" s="47" t="s">
        <v>192</v>
      </c>
      <c r="U17" s="48" t="s">
        <v>223</v>
      </c>
      <c r="V17" s="44" t="s">
        <v>224</v>
      </c>
      <c r="W17" s="45" t="s">
        <v>225</v>
      </c>
      <c r="X17" s="45" t="s">
        <v>28</v>
      </c>
      <c r="Y17" s="45" t="s">
        <v>226</v>
      </c>
      <c r="AA17" s="230" t="s">
        <v>227</v>
      </c>
      <c r="AB17" s="231"/>
      <c r="AC17" s="230" t="s">
        <v>227</v>
      </c>
      <c r="AD17" s="231"/>
      <c r="AE17" s="230" t="s">
        <v>227</v>
      </c>
      <c r="AF17" s="231"/>
    </row>
    <row r="18" spans="1:32" ht="14.4" customHeight="1" thickBot="1" x14ac:dyDescent="0.35">
      <c r="A18" s="122">
        <v>1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51"/>
      <c r="N18" s="51"/>
      <c r="O18" s="51"/>
      <c r="P18" s="51"/>
      <c r="Q18" s="51"/>
      <c r="R18" s="51"/>
      <c r="S18" s="51"/>
      <c r="T18" s="51"/>
      <c r="U18" s="126">
        <v>4</v>
      </c>
      <c r="V18" s="49">
        <f t="shared" ref="V18:V49" si="3">B18*$B$5+C18*$C$5+D18*$D$5+E18*$E$5+F18*$F$5+G18*$G$5+H18*$H$5+I18*$I$5+J18*$J$5+K18*$K$5+L18*$L$5+M18*$M$5+N18*$N$5+O18*$O$5+P18*$P$5+Q18*$Q$5+R18*$R$5+S18*$S$5+T18*$T$5+U18*$U$5</f>
        <v>1692</v>
      </c>
      <c r="W18" s="89">
        <f t="shared" ref="W18:W49" si="4">IFERROR($AA$24*(V18/($W$16)),0)</f>
        <v>7.155555555555555</v>
      </c>
      <c r="X18" s="87">
        <f>SUM(B18:U18)</f>
        <v>4</v>
      </c>
      <c r="Y18" s="89">
        <f t="shared" ref="Y18:Y49" si="5">IFERROR(VLOOKUP(X18,AUX_CLAN,4,),0)</f>
        <v>7.2943999999999996</v>
      </c>
      <c r="AA18" s="240">
        <v>357.77777777777777</v>
      </c>
      <c r="AB18" s="241"/>
      <c r="AC18" s="242" t="e">
        <f>AC20/0.375</f>
        <v>#VALUE!</v>
      </c>
      <c r="AD18" s="241"/>
      <c r="AE18" s="242" t="e">
        <f>AE20/0.375</f>
        <v>#VALUE!</v>
      </c>
      <c r="AF18" s="241"/>
    </row>
    <row r="19" spans="1:32" x14ac:dyDescent="0.3">
      <c r="A19" s="122">
        <v>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51"/>
      <c r="N19" s="51"/>
      <c r="O19" s="51"/>
      <c r="P19" s="51"/>
      <c r="Q19" s="51"/>
      <c r="R19" s="51"/>
      <c r="S19" s="51"/>
      <c r="T19" s="51"/>
      <c r="U19" s="126">
        <v>0</v>
      </c>
      <c r="V19" s="49">
        <f t="shared" si="3"/>
        <v>0</v>
      </c>
      <c r="W19" s="89">
        <f t="shared" si="4"/>
        <v>0</v>
      </c>
      <c r="X19" s="87">
        <f t="shared" ref="X19:X82" si="6">SUM(B19:U19)</f>
        <v>0</v>
      </c>
      <c r="Y19" s="89">
        <f t="shared" si="5"/>
        <v>0</v>
      </c>
      <c r="AA19" s="230" t="s">
        <v>228</v>
      </c>
      <c r="AB19" s="231"/>
      <c r="AC19" s="230" t="s">
        <v>228</v>
      </c>
      <c r="AD19" s="231"/>
      <c r="AE19" s="257" t="s">
        <v>228</v>
      </c>
      <c r="AF19" s="258"/>
    </row>
    <row r="20" spans="1:32" ht="14.4" customHeight="1" thickBot="1" x14ac:dyDescent="0.35">
      <c r="A20" s="122">
        <v>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51"/>
      <c r="N20" s="51"/>
      <c r="O20" s="51"/>
      <c r="P20" s="51"/>
      <c r="Q20" s="51"/>
      <c r="R20" s="51"/>
      <c r="S20" s="51"/>
      <c r="T20" s="51"/>
      <c r="U20" s="126">
        <v>10</v>
      </c>
      <c r="V20" s="49">
        <f t="shared" si="3"/>
        <v>4230</v>
      </c>
      <c r="W20" s="89">
        <f t="shared" si="4"/>
        <v>17.888888888888886</v>
      </c>
      <c r="X20" s="87">
        <f t="shared" si="6"/>
        <v>10</v>
      </c>
      <c r="Y20" s="89">
        <f t="shared" si="5"/>
        <v>18.123200000000001</v>
      </c>
      <c r="AA20" s="237">
        <f>IF(AA18="","",AA18*0.375)</f>
        <v>134.16666666666666</v>
      </c>
      <c r="AB20" s="233"/>
      <c r="AC20" s="237" t="e">
        <f>AC24/AC22</f>
        <v>#VALUE!</v>
      </c>
      <c r="AD20" s="233"/>
      <c r="AE20" s="237" t="e">
        <f>AE24/AE22</f>
        <v>#VALUE!</v>
      </c>
      <c r="AF20" s="233"/>
    </row>
    <row r="21" spans="1:32" x14ac:dyDescent="0.3">
      <c r="A21" s="122">
        <v>4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51"/>
      <c r="N21" s="51"/>
      <c r="O21" s="51"/>
      <c r="P21" s="51"/>
      <c r="Q21" s="51"/>
      <c r="R21" s="51"/>
      <c r="S21" s="51"/>
      <c r="T21" s="51"/>
      <c r="U21" s="126">
        <v>13</v>
      </c>
      <c r="V21" s="49">
        <f t="shared" si="3"/>
        <v>5499</v>
      </c>
      <c r="W21" s="89">
        <f t="shared" si="4"/>
        <v>23.255555555555549</v>
      </c>
      <c r="X21" s="87">
        <f t="shared" si="6"/>
        <v>13</v>
      </c>
      <c r="Y21" s="89">
        <f t="shared" si="5"/>
        <v>22.522400000000001</v>
      </c>
      <c r="AA21" s="230" t="s">
        <v>229</v>
      </c>
      <c r="AB21" s="231"/>
      <c r="AC21" s="230" t="s">
        <v>229</v>
      </c>
      <c r="AD21" s="231"/>
      <c r="AE21" s="230" t="s">
        <v>229</v>
      </c>
      <c r="AF21" s="231"/>
    </row>
    <row r="22" spans="1:32" ht="14.4" customHeight="1" thickBot="1" x14ac:dyDescent="0.35">
      <c r="A22" s="122">
        <v>5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51"/>
      <c r="N22" s="51"/>
      <c r="O22" s="51"/>
      <c r="P22" s="51"/>
      <c r="Q22" s="51"/>
      <c r="R22" s="51"/>
      <c r="S22" s="51"/>
      <c r="T22" s="51"/>
      <c r="U22" s="126">
        <v>17</v>
      </c>
      <c r="V22" s="49">
        <f t="shared" si="3"/>
        <v>7191</v>
      </c>
      <c r="W22" s="89">
        <f t="shared" si="4"/>
        <v>30.411111111111104</v>
      </c>
      <c r="X22" s="87">
        <f t="shared" si="6"/>
        <v>17</v>
      </c>
      <c r="Y22" s="89">
        <f t="shared" si="5"/>
        <v>28.387999999999998</v>
      </c>
      <c r="AA22" s="240">
        <v>1.2</v>
      </c>
      <c r="AB22" s="241"/>
      <c r="AC22" s="242">
        <f>AA22</f>
        <v>1.2</v>
      </c>
      <c r="AD22" s="241"/>
      <c r="AE22" s="242">
        <f>AA22</f>
        <v>1.2</v>
      </c>
      <c r="AF22" s="241"/>
    </row>
    <row r="23" spans="1:32" ht="14.4" customHeight="1" x14ac:dyDescent="0.3">
      <c r="A23" s="122">
        <v>6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51"/>
      <c r="N23" s="51"/>
      <c r="O23" s="51"/>
      <c r="P23" s="51"/>
      <c r="Q23" s="51"/>
      <c r="R23" s="51"/>
      <c r="S23" s="51"/>
      <c r="T23" s="51"/>
      <c r="U23" s="126">
        <v>0</v>
      </c>
      <c r="V23" s="49">
        <f t="shared" si="3"/>
        <v>0</v>
      </c>
      <c r="W23" s="89">
        <f t="shared" si="4"/>
        <v>0</v>
      </c>
      <c r="X23" s="87">
        <f t="shared" si="6"/>
        <v>0</v>
      </c>
      <c r="Y23" s="89">
        <f t="shared" si="5"/>
        <v>0</v>
      </c>
      <c r="AA23" s="230" t="s">
        <v>291</v>
      </c>
      <c r="AB23" s="231"/>
      <c r="AC23" s="230" t="s">
        <v>230</v>
      </c>
      <c r="AD23" s="231"/>
      <c r="AE23" s="230" t="s">
        <v>230</v>
      </c>
      <c r="AF23" s="231"/>
    </row>
    <row r="24" spans="1:32" ht="14.4" customHeight="1" thickBot="1" x14ac:dyDescent="0.35">
      <c r="A24" s="122">
        <v>7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51"/>
      <c r="N24" s="51"/>
      <c r="O24" s="51"/>
      <c r="P24" s="51"/>
      <c r="Q24" s="51"/>
      <c r="R24" s="51"/>
      <c r="S24" s="51"/>
      <c r="T24" s="51"/>
      <c r="U24" s="126">
        <v>28</v>
      </c>
      <c r="V24" s="49">
        <f t="shared" si="3"/>
        <v>11844</v>
      </c>
      <c r="W24" s="89">
        <f t="shared" si="4"/>
        <v>50.088888888888881</v>
      </c>
      <c r="X24" s="87">
        <f t="shared" si="6"/>
        <v>28</v>
      </c>
      <c r="Y24" s="89">
        <f t="shared" si="5"/>
        <v>41.961599999999997</v>
      </c>
      <c r="AA24" s="256">
        <f>IF($AA$22="","",$AA$22*AA$20)</f>
        <v>160.99999999999997</v>
      </c>
      <c r="AB24" s="233"/>
      <c r="AC24" s="237" t="str">
        <f>'GERAL PROJ'!I9</f>
        <v/>
      </c>
      <c r="AD24" s="233"/>
      <c r="AE24" s="237" t="str">
        <f>'GERAL PROJ2'!$I$9</f>
        <v/>
      </c>
      <c r="AF24" s="233"/>
    </row>
    <row r="25" spans="1:32" x14ac:dyDescent="0.3">
      <c r="A25" s="122">
        <v>8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51"/>
      <c r="N25" s="51"/>
      <c r="O25" s="51"/>
      <c r="P25" s="51"/>
      <c r="Q25" s="51"/>
      <c r="R25" s="51"/>
      <c r="S25" s="51"/>
      <c r="T25" s="51"/>
      <c r="U25" s="126">
        <v>17</v>
      </c>
      <c r="V25" s="49">
        <f t="shared" si="3"/>
        <v>7191</v>
      </c>
      <c r="W25" s="89">
        <f t="shared" si="4"/>
        <v>30.411111111111104</v>
      </c>
      <c r="X25" s="87">
        <f t="shared" si="6"/>
        <v>17</v>
      </c>
      <c r="Y25" s="89">
        <f t="shared" si="5"/>
        <v>28.387999999999998</v>
      </c>
      <c r="AA25" s="230" t="s">
        <v>231</v>
      </c>
      <c r="AB25" s="231"/>
      <c r="AC25" s="230" t="s">
        <v>231</v>
      </c>
      <c r="AD25" s="231"/>
      <c r="AE25" s="230" t="s">
        <v>231</v>
      </c>
      <c r="AF25" s="231"/>
    </row>
    <row r="26" spans="1:32" ht="14.4" customHeight="1" thickBot="1" x14ac:dyDescent="0.35">
      <c r="A26" s="122">
        <v>9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51"/>
      <c r="N26" s="51"/>
      <c r="O26" s="51"/>
      <c r="P26" s="51"/>
      <c r="Q26" s="51"/>
      <c r="R26" s="51"/>
      <c r="S26" s="51"/>
      <c r="T26" s="51"/>
      <c r="U26" s="126">
        <v>1</v>
      </c>
      <c r="V26" s="49">
        <f t="shared" si="3"/>
        <v>423</v>
      </c>
      <c r="W26" s="89">
        <f t="shared" si="4"/>
        <v>1.7888888888888888</v>
      </c>
      <c r="X26" s="87">
        <f t="shared" si="6"/>
        <v>1</v>
      </c>
      <c r="Y26" s="89">
        <f t="shared" si="5"/>
        <v>7.2943999999999996</v>
      </c>
      <c r="AA26" s="237">
        <f>PROJ1!P3</f>
        <v>150</v>
      </c>
      <c r="AB26" s="233"/>
      <c r="AC26" s="237">
        <f>'GERAL PROJ'!O3</f>
        <v>112.5</v>
      </c>
      <c r="AD26" s="233"/>
      <c r="AE26" s="237">
        <f>'GERAL PROJ2'!O3</f>
        <v>112.5</v>
      </c>
      <c r="AF26" s="233"/>
    </row>
    <row r="27" spans="1:32" x14ac:dyDescent="0.3">
      <c r="A27" s="122">
        <v>10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51"/>
      <c r="N27" s="51"/>
      <c r="O27" s="51"/>
      <c r="P27" s="51"/>
      <c r="Q27" s="51"/>
      <c r="R27" s="51"/>
      <c r="S27" s="51"/>
      <c r="T27" s="51"/>
      <c r="U27" s="126"/>
      <c r="V27" s="49">
        <f t="shared" si="3"/>
        <v>0</v>
      </c>
      <c r="W27" s="89">
        <f t="shared" si="4"/>
        <v>0</v>
      </c>
      <c r="X27" s="87">
        <f t="shared" si="6"/>
        <v>0</v>
      </c>
      <c r="Y27" s="89">
        <f t="shared" si="5"/>
        <v>0</v>
      </c>
      <c r="AA27" s="230" t="s">
        <v>232</v>
      </c>
      <c r="AB27" s="231"/>
      <c r="AC27" s="230" t="s">
        <v>232</v>
      </c>
      <c r="AD27" s="231"/>
      <c r="AE27" s="230" t="s">
        <v>232</v>
      </c>
      <c r="AF27" s="231"/>
    </row>
    <row r="28" spans="1:32" ht="14.4" customHeight="1" thickBot="1" x14ac:dyDescent="0.35">
      <c r="A28" s="122">
        <v>11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51"/>
      <c r="N28" s="51"/>
      <c r="O28" s="51"/>
      <c r="P28" s="51"/>
      <c r="Q28" s="51"/>
      <c r="R28" s="51"/>
      <c r="S28" s="51"/>
      <c r="T28" s="51"/>
      <c r="U28" s="126"/>
      <c r="V28" s="49">
        <f t="shared" si="3"/>
        <v>0</v>
      </c>
      <c r="W28" s="89">
        <f t="shared" si="4"/>
        <v>0</v>
      </c>
      <c r="X28" s="87">
        <f t="shared" si="6"/>
        <v>0</v>
      </c>
      <c r="Y28" s="89">
        <f t="shared" si="5"/>
        <v>0</v>
      </c>
      <c r="AA28" s="232">
        <f>AA24/AA26</f>
        <v>1.0733333333333333</v>
      </c>
      <c r="AB28" s="233"/>
      <c r="AC28" s="232" t="e">
        <f>AC24/AC26</f>
        <v>#VALUE!</v>
      </c>
      <c r="AD28" s="233"/>
      <c r="AE28" s="232" t="e">
        <f>AE24/AE26</f>
        <v>#VALUE!</v>
      </c>
      <c r="AF28" s="233"/>
    </row>
    <row r="29" spans="1:32" x14ac:dyDescent="0.3">
      <c r="A29" s="122">
        <v>12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51"/>
      <c r="N29" s="51"/>
      <c r="O29" s="51"/>
      <c r="P29" s="51"/>
      <c r="Q29" s="51"/>
      <c r="R29" s="51"/>
      <c r="S29" s="51"/>
      <c r="T29" s="51"/>
      <c r="U29" s="126"/>
      <c r="V29" s="49">
        <f t="shared" si="3"/>
        <v>0</v>
      </c>
      <c r="W29" s="89">
        <f t="shared" si="4"/>
        <v>0</v>
      </c>
      <c r="X29" s="87">
        <f t="shared" si="6"/>
        <v>0</v>
      </c>
      <c r="Y29" s="89">
        <f t="shared" si="5"/>
        <v>0</v>
      </c>
      <c r="AA29" s="230" t="s">
        <v>233</v>
      </c>
      <c r="AB29" s="231"/>
      <c r="AC29" s="230" t="s">
        <v>233</v>
      </c>
      <c r="AD29" s="231"/>
      <c r="AE29" s="230" t="s">
        <v>233</v>
      </c>
      <c r="AF29" s="231"/>
    </row>
    <row r="30" spans="1:32" ht="14.4" customHeight="1" thickBot="1" x14ac:dyDescent="0.35">
      <c r="A30" s="122">
        <v>13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51"/>
      <c r="N30" s="51"/>
      <c r="O30" s="51"/>
      <c r="P30" s="51"/>
      <c r="Q30" s="51"/>
      <c r="R30" s="51"/>
      <c r="S30" s="51"/>
      <c r="T30" s="126"/>
      <c r="U30" s="126"/>
      <c r="V30" s="49">
        <f t="shared" si="3"/>
        <v>0</v>
      </c>
      <c r="W30" s="89">
        <f t="shared" si="4"/>
        <v>0</v>
      </c>
      <c r="X30" s="87">
        <f t="shared" si="6"/>
        <v>0</v>
      </c>
      <c r="Y30" s="89">
        <f t="shared" si="5"/>
        <v>0</v>
      </c>
      <c r="AA30" s="238">
        <f>IF(PROJ1!J2="SIM",RAMAL!$AB$35,AA$24/SUM($X$18:$X$217))</f>
        <v>1.88</v>
      </c>
      <c r="AB30" s="233"/>
      <c r="AC30" s="238" t="e">
        <f>IF(PROJ1!L2="SIM",RAMAL!$AB$35,AC$24/'GERAL PROJ'!G9)</f>
        <v>#VALUE!</v>
      </c>
      <c r="AD30" s="233"/>
      <c r="AE30" s="238" t="e">
        <f>IF(PROJ1!N2="SIM",RAMAL!$AB$35,AE$24/'GERAL PROJ2'!G9)</f>
        <v>#VALUE!</v>
      </c>
      <c r="AF30" s="233"/>
    </row>
    <row r="31" spans="1:32" ht="14.4" customHeight="1" thickBot="1" x14ac:dyDescent="0.35">
      <c r="A31" s="122">
        <v>14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51"/>
      <c r="N31" s="51"/>
      <c r="O31" s="51"/>
      <c r="P31" s="51"/>
      <c r="Q31" s="51"/>
      <c r="R31" s="51"/>
      <c r="S31" s="51"/>
      <c r="T31" s="126"/>
      <c r="U31" s="126"/>
      <c r="V31" s="49">
        <f t="shared" si="3"/>
        <v>0</v>
      </c>
      <c r="W31" s="89">
        <f t="shared" si="4"/>
        <v>0</v>
      </c>
      <c r="X31" s="87">
        <f t="shared" si="6"/>
        <v>0</v>
      </c>
      <c r="Y31" s="89">
        <f t="shared" si="5"/>
        <v>0</v>
      </c>
    </row>
    <row r="32" spans="1:32" ht="14.4" customHeight="1" thickBot="1" x14ac:dyDescent="0.35">
      <c r="A32" s="122">
        <v>15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51"/>
      <c r="N32" s="51"/>
      <c r="O32" s="51"/>
      <c r="P32" s="51"/>
      <c r="Q32" s="51"/>
      <c r="R32" s="51"/>
      <c r="S32" s="51"/>
      <c r="T32" s="126"/>
      <c r="U32" s="126"/>
      <c r="V32" s="49">
        <f t="shared" si="3"/>
        <v>0</v>
      </c>
      <c r="W32" s="89">
        <f t="shared" si="4"/>
        <v>0</v>
      </c>
      <c r="X32" s="87">
        <f t="shared" si="6"/>
        <v>0</v>
      </c>
      <c r="Y32" s="89">
        <f t="shared" si="5"/>
        <v>0</v>
      </c>
      <c r="AA32" s="234" t="s">
        <v>234</v>
      </c>
      <c r="AB32" s="231"/>
      <c r="AC32" s="239" t="s">
        <v>331</v>
      </c>
      <c r="AD32" s="239" t="s">
        <v>332</v>
      </c>
      <c r="AE32" s="239" t="s">
        <v>333</v>
      </c>
    </row>
    <row r="33" spans="1:31" ht="14.4" customHeight="1" thickBot="1" x14ac:dyDescent="0.35">
      <c r="A33" s="122">
        <v>16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51"/>
      <c r="N33" s="51"/>
      <c r="O33" s="51"/>
      <c r="P33" s="51"/>
      <c r="Q33" s="51"/>
      <c r="R33" s="51"/>
      <c r="S33" s="51"/>
      <c r="T33" s="126"/>
      <c r="U33" s="126"/>
      <c r="V33" s="49">
        <f t="shared" si="3"/>
        <v>0</v>
      </c>
      <c r="W33" s="89">
        <f t="shared" si="4"/>
        <v>0</v>
      </c>
      <c r="X33" s="87">
        <f t="shared" si="6"/>
        <v>0</v>
      </c>
      <c r="Y33" s="89">
        <f t="shared" si="5"/>
        <v>0</v>
      </c>
      <c r="AA33" s="235"/>
      <c r="AB33" s="236"/>
      <c r="AC33" s="239"/>
      <c r="AD33" s="239"/>
      <c r="AE33" s="239"/>
    </row>
    <row r="34" spans="1:31" ht="14.4" customHeight="1" x14ac:dyDescent="0.3">
      <c r="A34" s="122">
        <v>17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51"/>
      <c r="N34" s="51"/>
      <c r="O34" s="51"/>
      <c r="P34" s="51"/>
      <c r="Q34" s="51"/>
      <c r="R34" s="51"/>
      <c r="S34" s="51"/>
      <c r="T34" s="126"/>
      <c r="U34" s="126"/>
      <c r="V34" s="49">
        <f t="shared" si="3"/>
        <v>0</v>
      </c>
      <c r="W34" s="89">
        <f t="shared" si="4"/>
        <v>0</v>
      </c>
      <c r="X34" s="87">
        <f t="shared" si="6"/>
        <v>0</v>
      </c>
      <c r="Y34" s="89">
        <f t="shared" si="5"/>
        <v>0</v>
      </c>
      <c r="AA34" s="44" t="s">
        <v>121</v>
      </c>
      <c r="AB34" s="76">
        <f>PROJ1!M2</f>
        <v>50</v>
      </c>
      <c r="AC34" s="174">
        <f>$AB$34</f>
        <v>50</v>
      </c>
      <c r="AD34" s="174">
        <f>'GERAL PROJ'!L2</f>
        <v>50</v>
      </c>
      <c r="AE34" s="174">
        <f>'GERAL PROJ2'!L2</f>
        <v>50</v>
      </c>
    </row>
    <row r="35" spans="1:31" x14ac:dyDescent="0.3">
      <c r="A35" s="122">
        <v>18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51"/>
      <c r="N35" s="51"/>
      <c r="O35" s="51"/>
      <c r="P35" s="51"/>
      <c r="Q35" s="51"/>
      <c r="R35" s="51"/>
      <c r="S35" s="51"/>
      <c r="T35" s="126"/>
      <c r="U35" s="126"/>
      <c r="V35" s="49">
        <f t="shared" si="3"/>
        <v>0</v>
      </c>
      <c r="W35" s="89">
        <f t="shared" si="4"/>
        <v>0</v>
      </c>
      <c r="X35" s="87">
        <f t="shared" si="6"/>
        <v>0</v>
      </c>
      <c r="Y35" s="89">
        <f t="shared" si="5"/>
        <v>0</v>
      </c>
      <c r="AA35" s="44" t="s">
        <v>334</v>
      </c>
      <c r="AB35" s="9">
        <f>VLOOKUP(AB34,TAB_CLAN_DMDI,2,0)</f>
        <v>1.88</v>
      </c>
    </row>
    <row r="36" spans="1:31" x14ac:dyDescent="0.3">
      <c r="A36" s="122">
        <v>19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51"/>
      <c r="N36" s="51"/>
      <c r="O36" s="51"/>
      <c r="P36" s="51"/>
      <c r="Q36" s="51"/>
      <c r="R36" s="51"/>
      <c r="S36" s="51"/>
      <c r="T36" s="126"/>
      <c r="U36" s="126"/>
      <c r="V36" s="49">
        <f t="shared" si="3"/>
        <v>0</v>
      </c>
      <c r="W36" s="89">
        <f t="shared" si="4"/>
        <v>0</v>
      </c>
      <c r="X36" s="87">
        <f t="shared" si="6"/>
        <v>0</v>
      </c>
      <c r="Y36" s="89">
        <f t="shared" si="5"/>
        <v>0</v>
      </c>
      <c r="AA36" s="44" t="s">
        <v>235</v>
      </c>
      <c r="AB36" s="9">
        <f>X16</f>
        <v>90</v>
      </c>
    </row>
    <row r="37" spans="1:31" x14ac:dyDescent="0.3">
      <c r="A37" s="122">
        <v>20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51"/>
      <c r="N37" s="51"/>
      <c r="O37" s="51"/>
      <c r="P37" s="51"/>
      <c r="Q37" s="51"/>
      <c r="R37" s="51"/>
      <c r="S37" s="51"/>
      <c r="T37" s="126"/>
      <c r="U37" s="126"/>
      <c r="V37" s="49">
        <f t="shared" si="3"/>
        <v>0</v>
      </c>
      <c r="W37" s="89">
        <f t="shared" si="4"/>
        <v>0</v>
      </c>
      <c r="X37" s="87">
        <f t="shared" si="6"/>
        <v>0</v>
      </c>
      <c r="Y37" s="89">
        <f t="shared" si="5"/>
        <v>0</v>
      </c>
      <c r="AA37" s="45" t="s">
        <v>236</v>
      </c>
      <c r="AB37" s="90">
        <f>AB35*AB38</f>
        <v>108.55119999999981</v>
      </c>
      <c r="AC37" s="59"/>
      <c r="AD37" s="102"/>
    </row>
    <row r="38" spans="1:31" x14ac:dyDescent="0.3">
      <c r="A38" s="122">
        <v>21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51"/>
      <c r="N38" s="51"/>
      <c r="O38" s="51"/>
      <c r="P38" s="51"/>
      <c r="Q38" s="51"/>
      <c r="R38" s="51"/>
      <c r="S38" s="51"/>
      <c r="T38" s="126"/>
      <c r="U38" s="126"/>
      <c r="V38" s="49">
        <f t="shared" si="3"/>
        <v>0</v>
      </c>
      <c r="W38" s="89">
        <f t="shared" si="4"/>
        <v>0</v>
      </c>
      <c r="X38" s="87">
        <f t="shared" si="6"/>
        <v>0</v>
      </c>
      <c r="Y38" s="89">
        <f t="shared" si="5"/>
        <v>0</v>
      </c>
      <c r="AA38" s="45" t="s">
        <v>336</v>
      </c>
      <c r="AB38" s="90">
        <f>VLOOKUP(PROJ1!H9,AUX_CLAN,3,0)</f>
        <v>57.739999999999903</v>
      </c>
    </row>
    <row r="39" spans="1:31" ht="14.4" customHeight="1" x14ac:dyDescent="0.3">
      <c r="A39" s="122">
        <v>22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51"/>
      <c r="N39" s="51"/>
      <c r="O39" s="51"/>
      <c r="P39" s="51"/>
      <c r="Q39" s="51"/>
      <c r="R39" s="51"/>
      <c r="S39" s="51"/>
      <c r="T39" s="126"/>
      <c r="U39" s="126"/>
      <c r="V39" s="49">
        <f t="shared" si="3"/>
        <v>0</v>
      </c>
      <c r="W39" s="89">
        <f t="shared" si="4"/>
        <v>0</v>
      </c>
      <c r="X39" s="87">
        <f t="shared" si="6"/>
        <v>0</v>
      </c>
      <c r="Y39" s="89">
        <f t="shared" si="5"/>
        <v>0</v>
      </c>
      <c r="AA39" s="45">
        <v>0.85</v>
      </c>
      <c r="AB39" s="90">
        <f>AB37/0.85</f>
        <v>127.70729411764684</v>
      </c>
    </row>
    <row r="40" spans="1:31" x14ac:dyDescent="0.3">
      <c r="A40" s="122">
        <v>23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1"/>
      <c r="N40" s="51"/>
      <c r="O40" s="51"/>
      <c r="P40" s="51"/>
      <c r="Q40" s="51"/>
      <c r="R40" s="51"/>
      <c r="S40" s="51"/>
      <c r="T40" s="126"/>
      <c r="U40" s="126"/>
      <c r="V40" s="49">
        <f t="shared" si="3"/>
        <v>0</v>
      </c>
      <c r="W40" s="89">
        <f t="shared" si="4"/>
        <v>0</v>
      </c>
      <c r="X40" s="87">
        <f t="shared" si="6"/>
        <v>0</v>
      </c>
      <c r="Y40" s="89">
        <f t="shared" si="5"/>
        <v>0</v>
      </c>
    </row>
    <row r="41" spans="1:31" x14ac:dyDescent="0.3">
      <c r="A41" s="122">
        <v>24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51"/>
      <c r="N41" s="51"/>
      <c r="O41" s="51"/>
      <c r="P41" s="51"/>
      <c r="Q41" s="51"/>
      <c r="R41" s="51"/>
      <c r="S41" s="51"/>
      <c r="T41" s="126"/>
      <c r="U41" s="126"/>
      <c r="V41" s="49">
        <f t="shared" si="3"/>
        <v>0</v>
      </c>
      <c r="W41" s="89">
        <f t="shared" si="4"/>
        <v>0</v>
      </c>
      <c r="X41" s="87">
        <f t="shared" si="6"/>
        <v>0</v>
      </c>
      <c r="Y41" s="89">
        <f t="shared" si="5"/>
        <v>0</v>
      </c>
    </row>
    <row r="42" spans="1:31" x14ac:dyDescent="0.3">
      <c r="A42" s="122">
        <v>25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51"/>
      <c r="N42" s="51"/>
      <c r="O42" s="51"/>
      <c r="P42" s="51"/>
      <c r="Q42" s="51"/>
      <c r="R42" s="51"/>
      <c r="S42" s="51"/>
      <c r="T42" s="126"/>
      <c r="U42" s="126"/>
      <c r="V42" s="49">
        <f t="shared" si="3"/>
        <v>0</v>
      </c>
      <c r="W42" s="89">
        <f t="shared" si="4"/>
        <v>0</v>
      </c>
      <c r="X42" s="87">
        <f t="shared" si="6"/>
        <v>0</v>
      </c>
      <c r="Y42" s="89">
        <f t="shared" si="5"/>
        <v>0</v>
      </c>
    </row>
    <row r="43" spans="1:31" x14ac:dyDescent="0.3">
      <c r="A43" s="122">
        <v>26</v>
      </c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51"/>
      <c r="N43" s="51"/>
      <c r="O43" s="51"/>
      <c r="P43" s="51"/>
      <c r="Q43" s="51"/>
      <c r="R43" s="51"/>
      <c r="S43" s="51"/>
      <c r="T43" s="126"/>
      <c r="U43" s="126"/>
      <c r="V43" s="49">
        <f t="shared" si="3"/>
        <v>0</v>
      </c>
      <c r="W43" s="89">
        <f t="shared" si="4"/>
        <v>0</v>
      </c>
      <c r="X43" s="87">
        <f t="shared" si="6"/>
        <v>0</v>
      </c>
      <c r="Y43" s="89">
        <f t="shared" si="5"/>
        <v>0</v>
      </c>
    </row>
    <row r="44" spans="1:31" x14ac:dyDescent="0.3">
      <c r="A44" s="122">
        <v>27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51"/>
      <c r="N44" s="51"/>
      <c r="O44" s="51"/>
      <c r="P44" s="51"/>
      <c r="Q44" s="51"/>
      <c r="R44" s="51"/>
      <c r="S44" s="51"/>
      <c r="T44" s="126"/>
      <c r="U44" s="126"/>
      <c r="V44" s="49">
        <f t="shared" si="3"/>
        <v>0</v>
      </c>
      <c r="W44" s="89">
        <f t="shared" si="4"/>
        <v>0</v>
      </c>
      <c r="X44" s="87">
        <f t="shared" si="6"/>
        <v>0</v>
      </c>
      <c r="Y44" s="89">
        <f t="shared" si="5"/>
        <v>0</v>
      </c>
    </row>
    <row r="45" spans="1:31" ht="14.4" customHeight="1" x14ac:dyDescent="0.3">
      <c r="A45" s="122">
        <v>28</v>
      </c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51"/>
      <c r="N45" s="51"/>
      <c r="O45" s="51"/>
      <c r="P45" s="51"/>
      <c r="Q45" s="51"/>
      <c r="R45" s="51"/>
      <c r="S45" s="51"/>
      <c r="T45" s="126"/>
      <c r="U45" s="126"/>
      <c r="V45" s="49">
        <f t="shared" si="3"/>
        <v>0</v>
      </c>
      <c r="W45" s="89">
        <f t="shared" si="4"/>
        <v>0</v>
      </c>
      <c r="X45" s="87">
        <f t="shared" si="6"/>
        <v>0</v>
      </c>
      <c r="Y45" s="89">
        <f t="shared" si="5"/>
        <v>0</v>
      </c>
    </row>
    <row r="46" spans="1:31" x14ac:dyDescent="0.3">
      <c r="A46" s="122">
        <v>29</v>
      </c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51"/>
      <c r="N46" s="51"/>
      <c r="O46" s="51"/>
      <c r="P46" s="51"/>
      <c r="Q46" s="51"/>
      <c r="R46" s="51"/>
      <c r="S46" s="51"/>
      <c r="T46" s="126"/>
      <c r="U46" s="126"/>
      <c r="V46" s="49">
        <f t="shared" si="3"/>
        <v>0</v>
      </c>
      <c r="W46" s="89">
        <f t="shared" si="4"/>
        <v>0</v>
      </c>
      <c r="X46" s="87">
        <f t="shared" si="6"/>
        <v>0</v>
      </c>
      <c r="Y46" s="89">
        <f t="shared" si="5"/>
        <v>0</v>
      </c>
    </row>
    <row r="47" spans="1:31" x14ac:dyDescent="0.3">
      <c r="A47" s="122">
        <v>30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51"/>
      <c r="N47" s="51"/>
      <c r="O47" s="51"/>
      <c r="P47" s="51"/>
      <c r="Q47" s="51"/>
      <c r="R47" s="51"/>
      <c r="S47" s="51"/>
      <c r="T47" s="126"/>
      <c r="U47" s="126"/>
      <c r="V47" s="49">
        <f t="shared" si="3"/>
        <v>0</v>
      </c>
      <c r="W47" s="89">
        <f t="shared" si="4"/>
        <v>0</v>
      </c>
      <c r="X47" s="87">
        <f t="shared" si="6"/>
        <v>0</v>
      </c>
      <c r="Y47" s="89">
        <f t="shared" si="5"/>
        <v>0</v>
      </c>
    </row>
    <row r="48" spans="1:31" x14ac:dyDescent="0.3">
      <c r="A48" s="122">
        <v>31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51"/>
      <c r="N48" s="51"/>
      <c r="O48" s="51"/>
      <c r="P48" s="51"/>
      <c r="Q48" s="51"/>
      <c r="R48" s="51"/>
      <c r="S48" s="51"/>
      <c r="T48" s="126"/>
      <c r="U48" s="126"/>
      <c r="V48" s="49">
        <f t="shared" si="3"/>
        <v>0</v>
      </c>
      <c r="W48" s="89">
        <f t="shared" si="4"/>
        <v>0</v>
      </c>
      <c r="X48" s="87">
        <f t="shared" si="6"/>
        <v>0</v>
      </c>
      <c r="Y48" s="89">
        <f t="shared" si="5"/>
        <v>0</v>
      </c>
    </row>
    <row r="49" spans="1:25" x14ac:dyDescent="0.3">
      <c r="A49" s="122">
        <v>32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51"/>
      <c r="N49" s="51"/>
      <c r="O49" s="51"/>
      <c r="P49" s="51"/>
      <c r="Q49" s="51"/>
      <c r="R49" s="51"/>
      <c r="S49" s="51"/>
      <c r="T49" s="126"/>
      <c r="U49" s="126"/>
      <c r="V49" s="49">
        <f t="shared" si="3"/>
        <v>0</v>
      </c>
      <c r="W49" s="89">
        <f t="shared" si="4"/>
        <v>0</v>
      </c>
      <c r="X49" s="87">
        <f t="shared" si="6"/>
        <v>0</v>
      </c>
      <c r="Y49" s="89">
        <f t="shared" si="5"/>
        <v>0</v>
      </c>
    </row>
    <row r="50" spans="1:25" ht="14.4" customHeight="1" x14ac:dyDescent="0.3">
      <c r="A50" s="122">
        <v>33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51"/>
      <c r="N50" s="51"/>
      <c r="O50" s="51"/>
      <c r="P50" s="51"/>
      <c r="Q50" s="51"/>
      <c r="R50" s="51"/>
      <c r="S50" s="51"/>
      <c r="T50" s="126"/>
      <c r="U50" s="126"/>
      <c r="V50" s="49">
        <f t="shared" ref="V50:V77" si="7">B50*$B$5+C50*$C$5+D50*$D$5+E50*$E$5+F50*$F$5+G50*$G$5+H50*$H$5+I50*$I$5+J50*$J$5+K50*$K$5+L50*$L$5+M50*$M$5+N50*$N$5+O50*$O$5+P50*$P$5+Q50*$Q$5+R50*$R$5+S50*$S$5+T50*$T$5+U50*$U$5</f>
        <v>0</v>
      </c>
      <c r="W50" s="89">
        <f t="shared" ref="W50:W77" si="8">IFERROR($AA$24*(V50/($W$16)),0)</f>
        <v>0</v>
      </c>
      <c r="X50" s="87">
        <f t="shared" si="6"/>
        <v>0</v>
      </c>
      <c r="Y50" s="89">
        <f t="shared" ref="Y50:Y77" si="9">IFERROR(VLOOKUP(X50,AUX_CLAN,4,),0)</f>
        <v>0</v>
      </c>
    </row>
    <row r="51" spans="1:25" x14ac:dyDescent="0.3">
      <c r="A51" s="122">
        <v>34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51"/>
      <c r="N51" s="51"/>
      <c r="O51" s="51"/>
      <c r="P51" s="51"/>
      <c r="Q51" s="51"/>
      <c r="R51" s="51"/>
      <c r="S51" s="51"/>
      <c r="T51" s="126"/>
      <c r="U51" s="126"/>
      <c r="V51" s="49">
        <f t="shared" si="7"/>
        <v>0</v>
      </c>
      <c r="W51" s="89">
        <f t="shared" si="8"/>
        <v>0</v>
      </c>
      <c r="X51" s="87">
        <f t="shared" si="6"/>
        <v>0</v>
      </c>
      <c r="Y51" s="89">
        <f t="shared" si="9"/>
        <v>0</v>
      </c>
    </row>
    <row r="52" spans="1:25" x14ac:dyDescent="0.3">
      <c r="A52" s="122">
        <v>35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51"/>
      <c r="N52" s="51"/>
      <c r="O52" s="51"/>
      <c r="P52" s="51"/>
      <c r="Q52" s="51"/>
      <c r="R52" s="51"/>
      <c r="S52" s="51"/>
      <c r="T52" s="126"/>
      <c r="U52" s="126"/>
      <c r="V52" s="49">
        <f t="shared" si="7"/>
        <v>0</v>
      </c>
      <c r="W52" s="89">
        <f t="shared" si="8"/>
        <v>0</v>
      </c>
      <c r="X52" s="87">
        <f t="shared" si="6"/>
        <v>0</v>
      </c>
      <c r="Y52" s="89">
        <f t="shared" si="9"/>
        <v>0</v>
      </c>
    </row>
    <row r="53" spans="1:25" x14ac:dyDescent="0.3">
      <c r="A53" s="122">
        <v>36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51"/>
      <c r="N53" s="51"/>
      <c r="O53" s="51"/>
      <c r="P53" s="51"/>
      <c r="Q53" s="51"/>
      <c r="R53" s="51"/>
      <c r="S53" s="51"/>
      <c r="T53" s="126"/>
      <c r="U53" s="126"/>
      <c r="V53" s="49">
        <f t="shared" si="7"/>
        <v>0</v>
      </c>
      <c r="W53" s="89">
        <f t="shared" si="8"/>
        <v>0</v>
      </c>
      <c r="X53" s="87">
        <f t="shared" si="6"/>
        <v>0</v>
      </c>
      <c r="Y53" s="89">
        <f t="shared" si="9"/>
        <v>0</v>
      </c>
    </row>
    <row r="54" spans="1:25" x14ac:dyDescent="0.3">
      <c r="A54" s="122">
        <v>37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51"/>
      <c r="N54" s="51"/>
      <c r="O54" s="51"/>
      <c r="P54" s="51"/>
      <c r="Q54" s="51"/>
      <c r="R54" s="51"/>
      <c r="S54" s="51"/>
      <c r="T54" s="126"/>
      <c r="U54" s="126"/>
      <c r="V54" s="49">
        <f t="shared" si="7"/>
        <v>0</v>
      </c>
      <c r="W54" s="89">
        <f t="shared" si="8"/>
        <v>0</v>
      </c>
      <c r="X54" s="87">
        <f t="shared" si="6"/>
        <v>0</v>
      </c>
      <c r="Y54" s="89">
        <f t="shared" si="9"/>
        <v>0</v>
      </c>
    </row>
    <row r="55" spans="1:25" x14ac:dyDescent="0.3">
      <c r="A55" s="122">
        <v>38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51"/>
      <c r="N55" s="51"/>
      <c r="O55" s="51"/>
      <c r="P55" s="51"/>
      <c r="Q55" s="51"/>
      <c r="R55" s="51"/>
      <c r="S55" s="51"/>
      <c r="T55" s="126"/>
      <c r="U55" s="126"/>
      <c r="V55" s="49">
        <f t="shared" si="7"/>
        <v>0</v>
      </c>
      <c r="W55" s="89">
        <f t="shared" si="8"/>
        <v>0</v>
      </c>
      <c r="X55" s="87">
        <f t="shared" si="6"/>
        <v>0</v>
      </c>
      <c r="Y55" s="89">
        <f t="shared" si="9"/>
        <v>0</v>
      </c>
    </row>
    <row r="56" spans="1:25" ht="14.4" customHeight="1" x14ac:dyDescent="0.3">
      <c r="A56" s="122">
        <v>39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51"/>
      <c r="N56" s="51"/>
      <c r="O56" s="51"/>
      <c r="P56" s="51"/>
      <c r="Q56" s="51"/>
      <c r="R56" s="51"/>
      <c r="S56" s="51"/>
      <c r="T56" s="126"/>
      <c r="U56" s="126"/>
      <c r="V56" s="49">
        <f t="shared" si="7"/>
        <v>0</v>
      </c>
      <c r="W56" s="89">
        <f t="shared" si="8"/>
        <v>0</v>
      </c>
      <c r="X56" s="87">
        <f t="shared" si="6"/>
        <v>0</v>
      </c>
      <c r="Y56" s="89">
        <f t="shared" si="9"/>
        <v>0</v>
      </c>
    </row>
    <row r="57" spans="1:25" x14ac:dyDescent="0.3">
      <c r="A57" s="122">
        <v>40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51"/>
      <c r="N57" s="51"/>
      <c r="O57" s="51"/>
      <c r="P57" s="51"/>
      <c r="Q57" s="51"/>
      <c r="R57" s="51"/>
      <c r="S57" s="51"/>
      <c r="T57" s="126"/>
      <c r="U57" s="126"/>
      <c r="V57" s="49">
        <f t="shared" si="7"/>
        <v>0</v>
      </c>
      <c r="W57" s="89">
        <f t="shared" si="8"/>
        <v>0</v>
      </c>
      <c r="X57" s="87">
        <f t="shared" si="6"/>
        <v>0</v>
      </c>
      <c r="Y57" s="89">
        <f t="shared" si="9"/>
        <v>0</v>
      </c>
    </row>
    <row r="58" spans="1:25" x14ac:dyDescent="0.3">
      <c r="A58" s="122">
        <v>41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51"/>
      <c r="N58" s="51"/>
      <c r="O58" s="51"/>
      <c r="P58" s="51"/>
      <c r="Q58" s="51"/>
      <c r="R58" s="51"/>
      <c r="S58" s="51"/>
      <c r="T58" s="126"/>
      <c r="U58" s="126"/>
      <c r="V58" s="49">
        <f t="shared" si="7"/>
        <v>0</v>
      </c>
      <c r="W58" s="89">
        <f t="shared" si="8"/>
        <v>0</v>
      </c>
      <c r="X58" s="87">
        <f t="shared" si="6"/>
        <v>0</v>
      </c>
      <c r="Y58" s="89">
        <f t="shared" si="9"/>
        <v>0</v>
      </c>
    </row>
    <row r="59" spans="1:25" x14ac:dyDescent="0.3">
      <c r="A59" s="122">
        <v>42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51"/>
      <c r="N59" s="51"/>
      <c r="O59" s="51"/>
      <c r="P59" s="51"/>
      <c r="Q59" s="51"/>
      <c r="R59" s="51"/>
      <c r="S59" s="51"/>
      <c r="T59" s="126"/>
      <c r="U59" s="126"/>
      <c r="V59" s="49">
        <f t="shared" si="7"/>
        <v>0</v>
      </c>
      <c r="W59" s="89">
        <f t="shared" si="8"/>
        <v>0</v>
      </c>
      <c r="X59" s="87">
        <f t="shared" si="6"/>
        <v>0</v>
      </c>
      <c r="Y59" s="89">
        <f t="shared" si="9"/>
        <v>0</v>
      </c>
    </row>
    <row r="60" spans="1:25" x14ac:dyDescent="0.3">
      <c r="A60" s="122">
        <v>43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51"/>
      <c r="N60" s="51"/>
      <c r="O60" s="51"/>
      <c r="P60" s="51"/>
      <c r="Q60" s="51"/>
      <c r="R60" s="51"/>
      <c r="S60" s="51"/>
      <c r="T60" s="126"/>
      <c r="U60" s="126"/>
      <c r="V60" s="49">
        <f t="shared" si="7"/>
        <v>0</v>
      </c>
      <c r="W60" s="89">
        <f t="shared" si="8"/>
        <v>0</v>
      </c>
      <c r="X60" s="87">
        <f t="shared" si="6"/>
        <v>0</v>
      </c>
      <c r="Y60" s="89">
        <f t="shared" si="9"/>
        <v>0</v>
      </c>
    </row>
    <row r="61" spans="1:25" ht="14.4" customHeight="1" x14ac:dyDescent="0.3">
      <c r="A61" s="122">
        <v>44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51"/>
      <c r="N61" s="51"/>
      <c r="O61" s="51"/>
      <c r="P61" s="51"/>
      <c r="Q61" s="51"/>
      <c r="R61" s="51"/>
      <c r="S61" s="51"/>
      <c r="T61" s="126"/>
      <c r="U61" s="126"/>
      <c r="V61" s="49">
        <f t="shared" si="7"/>
        <v>0</v>
      </c>
      <c r="W61" s="89">
        <f t="shared" si="8"/>
        <v>0</v>
      </c>
      <c r="X61" s="87">
        <f t="shared" si="6"/>
        <v>0</v>
      </c>
      <c r="Y61" s="89">
        <f t="shared" si="9"/>
        <v>0</v>
      </c>
    </row>
    <row r="62" spans="1:25" x14ac:dyDescent="0.3">
      <c r="A62" s="122">
        <v>45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51"/>
      <c r="N62" s="51"/>
      <c r="O62" s="51"/>
      <c r="P62" s="51"/>
      <c r="Q62" s="51"/>
      <c r="R62" s="51"/>
      <c r="S62" s="51"/>
      <c r="T62" s="126"/>
      <c r="U62" s="126"/>
      <c r="V62" s="49">
        <f t="shared" si="7"/>
        <v>0</v>
      </c>
      <c r="W62" s="89">
        <f t="shared" si="8"/>
        <v>0</v>
      </c>
      <c r="X62" s="87">
        <f t="shared" si="6"/>
        <v>0</v>
      </c>
      <c r="Y62" s="89">
        <f t="shared" si="9"/>
        <v>0</v>
      </c>
    </row>
    <row r="63" spans="1:25" x14ac:dyDescent="0.3">
      <c r="A63" s="122">
        <v>46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51"/>
      <c r="N63" s="51"/>
      <c r="O63" s="51"/>
      <c r="P63" s="51"/>
      <c r="Q63" s="51"/>
      <c r="R63" s="51"/>
      <c r="S63" s="51"/>
      <c r="T63" s="126"/>
      <c r="U63" s="126"/>
      <c r="V63" s="49">
        <f t="shared" si="7"/>
        <v>0</v>
      </c>
      <c r="W63" s="89">
        <f t="shared" si="8"/>
        <v>0</v>
      </c>
      <c r="X63" s="87">
        <f t="shared" si="6"/>
        <v>0</v>
      </c>
      <c r="Y63" s="89">
        <f t="shared" si="9"/>
        <v>0</v>
      </c>
    </row>
    <row r="64" spans="1:25" s="96" customFormat="1" x14ac:dyDescent="0.3">
      <c r="A64" s="123">
        <v>47</v>
      </c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4"/>
      <c r="N64" s="94"/>
      <c r="O64" s="94"/>
      <c r="P64" s="94"/>
      <c r="Q64" s="94"/>
      <c r="R64" s="94"/>
      <c r="S64" s="94"/>
      <c r="T64" s="127"/>
      <c r="U64" s="126"/>
      <c r="V64" s="95">
        <f t="shared" si="7"/>
        <v>0</v>
      </c>
      <c r="W64" s="124">
        <f t="shared" si="8"/>
        <v>0</v>
      </c>
      <c r="X64" s="87">
        <f t="shared" si="6"/>
        <v>0</v>
      </c>
      <c r="Y64" s="124">
        <f t="shared" si="9"/>
        <v>0</v>
      </c>
    </row>
    <row r="65" spans="1:25" x14ac:dyDescent="0.3">
      <c r="A65" s="122">
        <v>48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51"/>
      <c r="N65" s="51"/>
      <c r="O65" s="51"/>
      <c r="P65" s="51"/>
      <c r="Q65" s="51"/>
      <c r="R65" s="51"/>
      <c r="S65" s="51"/>
      <c r="T65" s="126"/>
      <c r="U65" s="126"/>
      <c r="V65" s="49">
        <f t="shared" si="7"/>
        <v>0</v>
      </c>
      <c r="W65" s="89">
        <f t="shared" si="8"/>
        <v>0</v>
      </c>
      <c r="X65" s="87">
        <f t="shared" si="6"/>
        <v>0</v>
      </c>
      <c r="Y65" s="89">
        <f t="shared" si="9"/>
        <v>0</v>
      </c>
    </row>
    <row r="66" spans="1:25" x14ac:dyDescent="0.3">
      <c r="A66" s="122">
        <v>49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51"/>
      <c r="N66" s="51"/>
      <c r="O66" s="51"/>
      <c r="P66" s="51"/>
      <c r="Q66" s="51"/>
      <c r="R66" s="51"/>
      <c r="S66" s="51"/>
      <c r="T66" s="126"/>
      <c r="U66" s="126"/>
      <c r="V66" s="49">
        <f t="shared" si="7"/>
        <v>0</v>
      </c>
      <c r="W66" s="89">
        <f t="shared" si="8"/>
        <v>0</v>
      </c>
      <c r="X66" s="87">
        <f t="shared" si="6"/>
        <v>0</v>
      </c>
      <c r="Y66" s="89">
        <f t="shared" si="9"/>
        <v>0</v>
      </c>
    </row>
    <row r="67" spans="1:25" ht="14.4" customHeight="1" x14ac:dyDescent="0.3">
      <c r="A67" s="122">
        <v>50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51"/>
      <c r="N67" s="51"/>
      <c r="O67" s="51"/>
      <c r="P67" s="51"/>
      <c r="Q67" s="51"/>
      <c r="R67" s="51"/>
      <c r="S67" s="51"/>
      <c r="T67" s="126"/>
      <c r="U67" s="126"/>
      <c r="V67" s="49">
        <f t="shared" si="7"/>
        <v>0</v>
      </c>
      <c r="W67" s="89">
        <f t="shared" si="8"/>
        <v>0</v>
      </c>
      <c r="X67" s="87">
        <f t="shared" si="6"/>
        <v>0</v>
      </c>
      <c r="Y67" s="89">
        <f t="shared" si="9"/>
        <v>0</v>
      </c>
    </row>
    <row r="68" spans="1:25" x14ac:dyDescent="0.3">
      <c r="A68" s="122">
        <v>51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51"/>
      <c r="N68" s="51"/>
      <c r="O68" s="51"/>
      <c r="P68" s="51"/>
      <c r="Q68" s="51"/>
      <c r="R68" s="51"/>
      <c r="S68" s="51"/>
      <c r="T68" s="126"/>
      <c r="U68" s="126"/>
      <c r="V68" s="49">
        <f t="shared" si="7"/>
        <v>0</v>
      </c>
      <c r="W68" s="89">
        <f t="shared" si="8"/>
        <v>0</v>
      </c>
      <c r="X68" s="87">
        <f t="shared" si="6"/>
        <v>0</v>
      </c>
      <c r="Y68" s="89">
        <f t="shared" si="9"/>
        <v>0</v>
      </c>
    </row>
    <row r="69" spans="1:25" x14ac:dyDescent="0.3">
      <c r="A69" s="122">
        <v>52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51"/>
      <c r="N69" s="51"/>
      <c r="O69" s="51"/>
      <c r="P69" s="51"/>
      <c r="Q69" s="51"/>
      <c r="R69" s="51"/>
      <c r="S69" s="51"/>
      <c r="T69" s="126"/>
      <c r="U69" s="126"/>
      <c r="V69" s="49">
        <f t="shared" si="7"/>
        <v>0</v>
      </c>
      <c r="W69" s="89">
        <f t="shared" si="8"/>
        <v>0</v>
      </c>
      <c r="X69" s="87">
        <f t="shared" si="6"/>
        <v>0</v>
      </c>
      <c r="Y69" s="89">
        <f t="shared" si="9"/>
        <v>0</v>
      </c>
    </row>
    <row r="70" spans="1:25" x14ac:dyDescent="0.3">
      <c r="A70" s="122">
        <v>53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51"/>
      <c r="N70" s="51"/>
      <c r="O70" s="51"/>
      <c r="P70" s="51"/>
      <c r="Q70" s="51"/>
      <c r="R70" s="51"/>
      <c r="S70" s="51"/>
      <c r="T70" s="126"/>
      <c r="U70" s="126"/>
      <c r="V70" s="49">
        <f t="shared" si="7"/>
        <v>0</v>
      </c>
      <c r="W70" s="89">
        <f t="shared" si="8"/>
        <v>0</v>
      </c>
      <c r="X70" s="87">
        <f t="shared" si="6"/>
        <v>0</v>
      </c>
      <c r="Y70" s="89">
        <f t="shared" si="9"/>
        <v>0</v>
      </c>
    </row>
    <row r="71" spans="1:25" x14ac:dyDescent="0.3">
      <c r="A71" s="122">
        <v>54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51"/>
      <c r="N71" s="51"/>
      <c r="O71" s="51"/>
      <c r="P71" s="51"/>
      <c r="Q71" s="51"/>
      <c r="R71" s="51"/>
      <c r="S71" s="51"/>
      <c r="T71" s="126"/>
      <c r="U71" s="126"/>
      <c r="V71" s="49">
        <f t="shared" si="7"/>
        <v>0</v>
      </c>
      <c r="W71" s="89">
        <f t="shared" si="8"/>
        <v>0</v>
      </c>
      <c r="X71" s="87">
        <f t="shared" si="6"/>
        <v>0</v>
      </c>
      <c r="Y71" s="89">
        <f t="shared" si="9"/>
        <v>0</v>
      </c>
    </row>
    <row r="72" spans="1:25" ht="14.4" customHeight="1" x14ac:dyDescent="0.3">
      <c r="A72" s="122">
        <v>55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51"/>
      <c r="N72" s="51"/>
      <c r="O72" s="51"/>
      <c r="P72" s="51"/>
      <c r="Q72" s="51"/>
      <c r="R72" s="51"/>
      <c r="S72" s="51"/>
      <c r="T72" s="126"/>
      <c r="U72" s="126"/>
      <c r="V72" s="49">
        <f t="shared" si="7"/>
        <v>0</v>
      </c>
      <c r="W72" s="89">
        <f t="shared" si="8"/>
        <v>0</v>
      </c>
      <c r="X72" s="87">
        <f t="shared" si="6"/>
        <v>0</v>
      </c>
      <c r="Y72" s="89">
        <f t="shared" si="9"/>
        <v>0</v>
      </c>
    </row>
    <row r="73" spans="1:25" x14ac:dyDescent="0.3">
      <c r="A73" s="122">
        <v>56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51"/>
      <c r="N73" s="51"/>
      <c r="O73" s="51"/>
      <c r="P73" s="51"/>
      <c r="Q73" s="51"/>
      <c r="R73" s="51"/>
      <c r="S73" s="51"/>
      <c r="T73" s="126"/>
      <c r="U73" s="126"/>
      <c r="V73" s="49">
        <f t="shared" si="7"/>
        <v>0</v>
      </c>
      <c r="W73" s="89">
        <f t="shared" si="8"/>
        <v>0</v>
      </c>
      <c r="X73" s="87">
        <f t="shared" si="6"/>
        <v>0</v>
      </c>
      <c r="Y73" s="89">
        <f t="shared" si="9"/>
        <v>0</v>
      </c>
    </row>
    <row r="74" spans="1:25" x14ac:dyDescent="0.3">
      <c r="A74" s="122">
        <v>57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51"/>
      <c r="N74" s="51"/>
      <c r="O74" s="51"/>
      <c r="P74" s="51"/>
      <c r="Q74" s="51"/>
      <c r="R74" s="51"/>
      <c r="S74" s="51"/>
      <c r="T74" s="126"/>
      <c r="U74" s="126"/>
      <c r="V74" s="49">
        <f t="shared" si="7"/>
        <v>0</v>
      </c>
      <c r="W74" s="89">
        <f t="shared" si="8"/>
        <v>0</v>
      </c>
      <c r="X74" s="87">
        <f t="shared" si="6"/>
        <v>0</v>
      </c>
      <c r="Y74" s="89">
        <f t="shared" si="9"/>
        <v>0</v>
      </c>
    </row>
    <row r="75" spans="1:25" x14ac:dyDescent="0.3">
      <c r="A75" s="122">
        <v>58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51"/>
      <c r="N75" s="51"/>
      <c r="O75" s="51"/>
      <c r="P75" s="51"/>
      <c r="Q75" s="51"/>
      <c r="R75" s="51"/>
      <c r="S75" s="51"/>
      <c r="T75" s="126"/>
      <c r="U75" s="126"/>
      <c r="V75" s="49">
        <f t="shared" si="7"/>
        <v>0</v>
      </c>
      <c r="W75" s="89">
        <f t="shared" si="8"/>
        <v>0</v>
      </c>
      <c r="X75" s="87">
        <f t="shared" si="6"/>
        <v>0</v>
      </c>
      <c r="Y75" s="89">
        <f t="shared" si="9"/>
        <v>0</v>
      </c>
    </row>
    <row r="76" spans="1:25" x14ac:dyDescent="0.3">
      <c r="A76" s="122">
        <v>59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51"/>
      <c r="N76" s="51"/>
      <c r="O76" s="51"/>
      <c r="P76" s="51"/>
      <c r="Q76" s="51"/>
      <c r="R76" s="51"/>
      <c r="S76" s="51"/>
      <c r="T76" s="126"/>
      <c r="U76" s="126"/>
      <c r="V76" s="49">
        <f t="shared" si="7"/>
        <v>0</v>
      </c>
      <c r="W76" s="89">
        <f t="shared" si="8"/>
        <v>0</v>
      </c>
      <c r="X76" s="87">
        <f t="shared" si="6"/>
        <v>0</v>
      </c>
      <c r="Y76" s="89">
        <f t="shared" si="9"/>
        <v>0</v>
      </c>
    </row>
    <row r="77" spans="1:25" ht="14.4" customHeight="1" x14ac:dyDescent="0.3">
      <c r="A77" s="122">
        <v>60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51"/>
      <c r="N77" s="51"/>
      <c r="O77" s="51"/>
      <c r="P77" s="51"/>
      <c r="Q77" s="51"/>
      <c r="R77" s="51"/>
      <c r="S77" s="51"/>
      <c r="T77" s="126"/>
      <c r="U77" s="126"/>
      <c r="V77" s="49">
        <f t="shared" si="7"/>
        <v>0</v>
      </c>
      <c r="W77" s="89">
        <f t="shared" si="8"/>
        <v>0</v>
      </c>
      <c r="X77" s="87">
        <f t="shared" si="6"/>
        <v>0</v>
      </c>
      <c r="Y77" s="89">
        <f t="shared" si="9"/>
        <v>0</v>
      </c>
    </row>
    <row r="78" spans="1:25" x14ac:dyDescent="0.3">
      <c r="A78" s="122">
        <v>61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51"/>
      <c r="N78" s="51"/>
      <c r="O78" s="51"/>
      <c r="P78" s="51"/>
      <c r="Q78" s="51"/>
      <c r="R78" s="51"/>
      <c r="S78" s="51"/>
      <c r="T78" s="126"/>
      <c r="U78" s="126"/>
      <c r="V78" s="49">
        <f t="shared" ref="V78:V141" si="10">B78*$B$5+C78*$C$5+D78*$D$5+E78*$E$5+F78*$F$5+G78*$G$5+H78*$H$5+I78*$I$5+J78*$J$5+K78*$K$5+L78*$L$5+M78*$M$5+N78*$N$5+O78*$O$5+P78*$P$5+Q78*$Q$5+R78*$R$5+S78*$S$5+T78*$T$5+U78*$U$5</f>
        <v>0</v>
      </c>
      <c r="W78" s="89">
        <f t="shared" ref="W78:W141" si="11">IFERROR($AA$24*(V78/($W$16)),0)</f>
        <v>0</v>
      </c>
      <c r="X78" s="87">
        <f t="shared" si="6"/>
        <v>0</v>
      </c>
      <c r="Y78" s="89">
        <f t="shared" ref="Y78:Y141" si="12">IFERROR(VLOOKUP(X78,AUX_CLAN,4,),0)</f>
        <v>0</v>
      </c>
    </row>
    <row r="79" spans="1:25" x14ac:dyDescent="0.3">
      <c r="A79" s="122">
        <v>62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51"/>
      <c r="N79" s="51"/>
      <c r="O79" s="51"/>
      <c r="P79" s="51"/>
      <c r="Q79" s="51"/>
      <c r="R79" s="51"/>
      <c r="S79" s="51"/>
      <c r="T79" s="126"/>
      <c r="U79" s="126"/>
      <c r="V79" s="49">
        <f t="shared" si="10"/>
        <v>0</v>
      </c>
      <c r="W79" s="89">
        <f t="shared" si="11"/>
        <v>0</v>
      </c>
      <c r="X79" s="87">
        <f t="shared" si="6"/>
        <v>0</v>
      </c>
      <c r="Y79" s="89">
        <f t="shared" si="12"/>
        <v>0</v>
      </c>
    </row>
    <row r="80" spans="1:25" x14ac:dyDescent="0.3">
      <c r="A80" s="122">
        <v>63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51"/>
      <c r="N80" s="51"/>
      <c r="O80" s="51"/>
      <c r="P80" s="51"/>
      <c r="Q80" s="51"/>
      <c r="R80" s="51"/>
      <c r="S80" s="51"/>
      <c r="T80" s="126"/>
      <c r="U80" s="126"/>
      <c r="V80" s="49">
        <f t="shared" si="10"/>
        <v>0</v>
      </c>
      <c r="W80" s="89">
        <f t="shared" si="11"/>
        <v>0</v>
      </c>
      <c r="X80" s="87">
        <f t="shared" si="6"/>
        <v>0</v>
      </c>
      <c r="Y80" s="89">
        <f t="shared" si="12"/>
        <v>0</v>
      </c>
    </row>
    <row r="81" spans="1:25" x14ac:dyDescent="0.3">
      <c r="A81" s="122">
        <v>64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51"/>
      <c r="N81" s="51"/>
      <c r="O81" s="51"/>
      <c r="P81" s="51"/>
      <c r="Q81" s="51"/>
      <c r="R81" s="51"/>
      <c r="S81" s="51"/>
      <c r="T81" s="126"/>
      <c r="U81" s="126"/>
      <c r="V81" s="49">
        <f t="shared" si="10"/>
        <v>0</v>
      </c>
      <c r="W81" s="89">
        <f t="shared" si="11"/>
        <v>0</v>
      </c>
      <c r="X81" s="87">
        <f t="shared" si="6"/>
        <v>0</v>
      </c>
      <c r="Y81" s="89">
        <f t="shared" si="12"/>
        <v>0</v>
      </c>
    </row>
    <row r="82" spans="1:25" x14ac:dyDescent="0.3">
      <c r="A82" s="122">
        <v>65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51"/>
      <c r="N82" s="51"/>
      <c r="O82" s="51"/>
      <c r="P82" s="51"/>
      <c r="Q82" s="51"/>
      <c r="R82" s="51"/>
      <c r="S82" s="51"/>
      <c r="T82" s="126"/>
      <c r="U82" s="126"/>
      <c r="V82" s="49">
        <f t="shared" si="10"/>
        <v>0</v>
      </c>
      <c r="W82" s="89">
        <f t="shared" si="11"/>
        <v>0</v>
      </c>
      <c r="X82" s="87">
        <f t="shared" si="6"/>
        <v>0</v>
      </c>
      <c r="Y82" s="89">
        <f t="shared" si="12"/>
        <v>0</v>
      </c>
    </row>
    <row r="83" spans="1:25" x14ac:dyDescent="0.3">
      <c r="A83" s="122">
        <v>66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51"/>
      <c r="N83" s="51"/>
      <c r="O83" s="51"/>
      <c r="P83" s="51"/>
      <c r="Q83" s="51"/>
      <c r="R83" s="51"/>
      <c r="S83" s="51"/>
      <c r="T83" s="126"/>
      <c r="U83" s="126"/>
      <c r="V83" s="49">
        <f t="shared" si="10"/>
        <v>0</v>
      </c>
      <c r="W83" s="89">
        <f t="shared" si="11"/>
        <v>0</v>
      </c>
      <c r="X83" s="87">
        <f t="shared" ref="X83:X146" si="13">SUM(B83:U83)</f>
        <v>0</v>
      </c>
      <c r="Y83" s="89">
        <f t="shared" si="12"/>
        <v>0</v>
      </c>
    </row>
    <row r="84" spans="1:25" x14ac:dyDescent="0.3">
      <c r="A84" s="122">
        <v>67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51"/>
      <c r="N84" s="51"/>
      <c r="O84" s="51"/>
      <c r="P84" s="51"/>
      <c r="Q84" s="51"/>
      <c r="R84" s="51"/>
      <c r="S84" s="51"/>
      <c r="T84" s="126"/>
      <c r="U84" s="126"/>
      <c r="V84" s="49">
        <f t="shared" si="10"/>
        <v>0</v>
      </c>
      <c r="W84" s="89">
        <f t="shared" si="11"/>
        <v>0</v>
      </c>
      <c r="X84" s="87">
        <f t="shared" si="13"/>
        <v>0</v>
      </c>
      <c r="Y84" s="89">
        <f t="shared" si="12"/>
        <v>0</v>
      </c>
    </row>
    <row r="85" spans="1:25" x14ac:dyDescent="0.3">
      <c r="A85" s="122">
        <v>68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51"/>
      <c r="N85" s="51"/>
      <c r="O85" s="51"/>
      <c r="P85" s="51"/>
      <c r="Q85" s="51"/>
      <c r="R85" s="51"/>
      <c r="S85" s="51"/>
      <c r="T85" s="126"/>
      <c r="U85" s="126"/>
      <c r="V85" s="49">
        <f t="shared" si="10"/>
        <v>0</v>
      </c>
      <c r="W85" s="89">
        <f t="shared" si="11"/>
        <v>0</v>
      </c>
      <c r="X85" s="87">
        <f t="shared" si="13"/>
        <v>0</v>
      </c>
      <c r="Y85" s="89">
        <f t="shared" si="12"/>
        <v>0</v>
      </c>
    </row>
    <row r="86" spans="1:25" x14ac:dyDescent="0.3">
      <c r="A86" s="122">
        <v>69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51"/>
      <c r="N86" s="51"/>
      <c r="O86" s="51"/>
      <c r="P86" s="51"/>
      <c r="Q86" s="51"/>
      <c r="R86" s="51"/>
      <c r="S86" s="51"/>
      <c r="T86" s="126"/>
      <c r="U86" s="126"/>
      <c r="V86" s="49">
        <f t="shared" si="10"/>
        <v>0</v>
      </c>
      <c r="W86" s="89">
        <f t="shared" si="11"/>
        <v>0</v>
      </c>
      <c r="X86" s="87">
        <f t="shared" si="13"/>
        <v>0</v>
      </c>
      <c r="Y86" s="89">
        <f t="shared" si="12"/>
        <v>0</v>
      </c>
    </row>
    <row r="87" spans="1:25" x14ac:dyDescent="0.3">
      <c r="A87" s="122">
        <v>70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51"/>
      <c r="N87" s="51"/>
      <c r="O87" s="51"/>
      <c r="P87" s="51"/>
      <c r="Q87" s="51"/>
      <c r="R87" s="51"/>
      <c r="S87" s="51"/>
      <c r="T87" s="126"/>
      <c r="U87" s="126"/>
      <c r="V87" s="49">
        <f t="shared" si="10"/>
        <v>0</v>
      </c>
      <c r="W87" s="89">
        <f t="shared" si="11"/>
        <v>0</v>
      </c>
      <c r="X87" s="87">
        <f t="shared" si="13"/>
        <v>0</v>
      </c>
      <c r="Y87" s="89">
        <f t="shared" si="12"/>
        <v>0</v>
      </c>
    </row>
    <row r="88" spans="1:25" x14ac:dyDescent="0.3">
      <c r="A88" s="122">
        <v>71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51"/>
      <c r="N88" s="51"/>
      <c r="O88" s="51"/>
      <c r="P88" s="51"/>
      <c r="Q88" s="51"/>
      <c r="R88" s="51"/>
      <c r="S88" s="51"/>
      <c r="T88" s="126"/>
      <c r="U88" s="126"/>
      <c r="V88" s="49">
        <f t="shared" si="10"/>
        <v>0</v>
      </c>
      <c r="W88" s="89">
        <f t="shared" si="11"/>
        <v>0</v>
      </c>
      <c r="X88" s="87">
        <f t="shared" si="13"/>
        <v>0</v>
      </c>
      <c r="Y88" s="89">
        <f t="shared" si="12"/>
        <v>0</v>
      </c>
    </row>
    <row r="89" spans="1:25" x14ac:dyDescent="0.3">
      <c r="A89" s="122">
        <v>72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51"/>
      <c r="N89" s="51"/>
      <c r="O89" s="51"/>
      <c r="P89" s="51"/>
      <c r="Q89" s="51"/>
      <c r="R89" s="51"/>
      <c r="S89" s="51"/>
      <c r="T89" s="126"/>
      <c r="U89" s="126"/>
      <c r="V89" s="49">
        <f t="shared" si="10"/>
        <v>0</v>
      </c>
      <c r="W89" s="89">
        <f t="shared" si="11"/>
        <v>0</v>
      </c>
      <c r="X89" s="87">
        <f t="shared" si="13"/>
        <v>0</v>
      </c>
      <c r="Y89" s="89">
        <f t="shared" si="12"/>
        <v>0</v>
      </c>
    </row>
    <row r="90" spans="1:25" x14ac:dyDescent="0.3">
      <c r="A90" s="122">
        <v>73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51"/>
      <c r="N90" s="51"/>
      <c r="O90" s="51"/>
      <c r="P90" s="51"/>
      <c r="Q90" s="51"/>
      <c r="R90" s="51"/>
      <c r="S90" s="51"/>
      <c r="T90" s="126"/>
      <c r="U90" s="126"/>
      <c r="V90" s="49">
        <f t="shared" si="10"/>
        <v>0</v>
      </c>
      <c r="W90" s="89">
        <f t="shared" si="11"/>
        <v>0</v>
      </c>
      <c r="X90" s="87">
        <f t="shared" si="13"/>
        <v>0</v>
      </c>
      <c r="Y90" s="89">
        <f t="shared" si="12"/>
        <v>0</v>
      </c>
    </row>
    <row r="91" spans="1:25" x14ac:dyDescent="0.3">
      <c r="A91" s="122">
        <v>74</v>
      </c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51"/>
      <c r="N91" s="51"/>
      <c r="O91" s="51"/>
      <c r="P91" s="51"/>
      <c r="Q91" s="51"/>
      <c r="R91" s="51"/>
      <c r="S91" s="51"/>
      <c r="T91" s="126"/>
      <c r="U91" s="126"/>
      <c r="V91" s="49">
        <f t="shared" si="10"/>
        <v>0</v>
      </c>
      <c r="W91" s="89">
        <f t="shared" si="11"/>
        <v>0</v>
      </c>
      <c r="X91" s="87">
        <f t="shared" si="13"/>
        <v>0</v>
      </c>
      <c r="Y91" s="89">
        <f t="shared" si="12"/>
        <v>0</v>
      </c>
    </row>
    <row r="92" spans="1:25" x14ac:dyDescent="0.3">
      <c r="A92" s="122">
        <v>75</v>
      </c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51"/>
      <c r="N92" s="51"/>
      <c r="O92" s="51"/>
      <c r="P92" s="51"/>
      <c r="Q92" s="51"/>
      <c r="R92" s="51"/>
      <c r="S92" s="51"/>
      <c r="T92" s="126"/>
      <c r="U92" s="126"/>
      <c r="V92" s="49">
        <f t="shared" si="10"/>
        <v>0</v>
      </c>
      <c r="W92" s="89">
        <f t="shared" si="11"/>
        <v>0</v>
      </c>
      <c r="X92" s="87">
        <f t="shared" si="13"/>
        <v>0</v>
      </c>
      <c r="Y92" s="89">
        <f t="shared" si="12"/>
        <v>0</v>
      </c>
    </row>
    <row r="93" spans="1:25" x14ac:dyDescent="0.3">
      <c r="A93" s="122">
        <v>76</v>
      </c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51"/>
      <c r="N93" s="51"/>
      <c r="O93" s="51"/>
      <c r="P93" s="51"/>
      <c r="Q93" s="51"/>
      <c r="R93" s="51"/>
      <c r="S93" s="51"/>
      <c r="T93" s="126"/>
      <c r="U93" s="126"/>
      <c r="V93" s="49">
        <f t="shared" si="10"/>
        <v>0</v>
      </c>
      <c r="W93" s="89">
        <f t="shared" si="11"/>
        <v>0</v>
      </c>
      <c r="X93" s="87">
        <f t="shared" si="13"/>
        <v>0</v>
      </c>
      <c r="Y93" s="89">
        <f t="shared" si="12"/>
        <v>0</v>
      </c>
    </row>
    <row r="94" spans="1:25" x14ac:dyDescent="0.3">
      <c r="A94" s="122">
        <v>77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51"/>
      <c r="N94" s="51"/>
      <c r="O94" s="51"/>
      <c r="P94" s="51"/>
      <c r="Q94" s="51"/>
      <c r="R94" s="51"/>
      <c r="S94" s="51"/>
      <c r="T94" s="126"/>
      <c r="U94" s="126"/>
      <c r="V94" s="49">
        <f t="shared" si="10"/>
        <v>0</v>
      </c>
      <c r="W94" s="89">
        <f t="shared" si="11"/>
        <v>0</v>
      </c>
      <c r="X94" s="87">
        <f t="shared" si="13"/>
        <v>0</v>
      </c>
      <c r="Y94" s="89">
        <f t="shared" si="12"/>
        <v>0</v>
      </c>
    </row>
    <row r="95" spans="1:25" x14ac:dyDescent="0.3">
      <c r="A95" s="122">
        <v>78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51"/>
      <c r="N95" s="51"/>
      <c r="O95" s="51"/>
      <c r="P95" s="51"/>
      <c r="Q95" s="51"/>
      <c r="R95" s="51"/>
      <c r="S95" s="51"/>
      <c r="T95" s="126"/>
      <c r="U95" s="126"/>
      <c r="V95" s="49">
        <f t="shared" si="10"/>
        <v>0</v>
      </c>
      <c r="W95" s="89">
        <f t="shared" si="11"/>
        <v>0</v>
      </c>
      <c r="X95" s="87">
        <f t="shared" si="13"/>
        <v>0</v>
      </c>
      <c r="Y95" s="89">
        <f t="shared" si="12"/>
        <v>0</v>
      </c>
    </row>
    <row r="96" spans="1:25" x14ac:dyDescent="0.3">
      <c r="A96" s="122">
        <v>79</v>
      </c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51"/>
      <c r="N96" s="51"/>
      <c r="O96" s="51"/>
      <c r="P96" s="51"/>
      <c r="Q96" s="51"/>
      <c r="R96" s="51"/>
      <c r="S96" s="51"/>
      <c r="T96" s="126"/>
      <c r="U96" s="126"/>
      <c r="V96" s="49">
        <f t="shared" si="10"/>
        <v>0</v>
      </c>
      <c r="W96" s="89">
        <f t="shared" si="11"/>
        <v>0</v>
      </c>
      <c r="X96" s="87">
        <f t="shared" si="13"/>
        <v>0</v>
      </c>
      <c r="Y96" s="89">
        <f t="shared" si="12"/>
        <v>0</v>
      </c>
    </row>
    <row r="97" spans="1:25" x14ac:dyDescent="0.3">
      <c r="A97" s="122">
        <v>80</v>
      </c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51"/>
      <c r="N97" s="51"/>
      <c r="O97" s="51"/>
      <c r="P97" s="51"/>
      <c r="Q97" s="51"/>
      <c r="R97" s="51"/>
      <c r="S97" s="51"/>
      <c r="T97" s="126"/>
      <c r="U97" s="126"/>
      <c r="V97" s="49">
        <f t="shared" si="10"/>
        <v>0</v>
      </c>
      <c r="W97" s="89">
        <f t="shared" si="11"/>
        <v>0</v>
      </c>
      <c r="X97" s="87">
        <f t="shared" si="13"/>
        <v>0</v>
      </c>
      <c r="Y97" s="89">
        <f t="shared" si="12"/>
        <v>0</v>
      </c>
    </row>
    <row r="98" spans="1:25" x14ac:dyDescent="0.3">
      <c r="A98" s="122">
        <v>81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51"/>
      <c r="N98" s="51"/>
      <c r="O98" s="51"/>
      <c r="P98" s="51"/>
      <c r="Q98" s="51"/>
      <c r="R98" s="51"/>
      <c r="S98" s="51"/>
      <c r="T98" s="126"/>
      <c r="U98" s="126"/>
      <c r="V98" s="49">
        <f t="shared" si="10"/>
        <v>0</v>
      </c>
      <c r="W98" s="89">
        <f t="shared" si="11"/>
        <v>0</v>
      </c>
      <c r="X98" s="87">
        <f t="shared" si="13"/>
        <v>0</v>
      </c>
      <c r="Y98" s="89">
        <f t="shared" si="12"/>
        <v>0</v>
      </c>
    </row>
    <row r="99" spans="1:25" x14ac:dyDescent="0.3">
      <c r="A99" s="122">
        <v>82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51"/>
      <c r="N99" s="51"/>
      <c r="O99" s="51"/>
      <c r="P99" s="51"/>
      <c r="Q99" s="51"/>
      <c r="R99" s="51"/>
      <c r="S99" s="51"/>
      <c r="T99" s="126"/>
      <c r="U99" s="126"/>
      <c r="V99" s="49">
        <f t="shared" si="10"/>
        <v>0</v>
      </c>
      <c r="W99" s="89">
        <f t="shared" si="11"/>
        <v>0</v>
      </c>
      <c r="X99" s="87">
        <f t="shared" si="13"/>
        <v>0</v>
      </c>
      <c r="Y99" s="89">
        <f t="shared" si="12"/>
        <v>0</v>
      </c>
    </row>
    <row r="100" spans="1:25" x14ac:dyDescent="0.3">
      <c r="A100" s="122">
        <v>83</v>
      </c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51"/>
      <c r="N100" s="51"/>
      <c r="O100" s="51"/>
      <c r="P100" s="51"/>
      <c r="Q100" s="51"/>
      <c r="R100" s="51"/>
      <c r="S100" s="51"/>
      <c r="T100" s="126"/>
      <c r="U100" s="126"/>
      <c r="V100" s="49">
        <f t="shared" si="10"/>
        <v>0</v>
      </c>
      <c r="W100" s="89">
        <f t="shared" si="11"/>
        <v>0</v>
      </c>
      <c r="X100" s="87">
        <f t="shared" si="13"/>
        <v>0</v>
      </c>
      <c r="Y100" s="89">
        <f t="shared" si="12"/>
        <v>0</v>
      </c>
    </row>
    <row r="101" spans="1:25" x14ac:dyDescent="0.3">
      <c r="A101" s="122">
        <v>84</v>
      </c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51"/>
      <c r="N101" s="51"/>
      <c r="O101" s="51"/>
      <c r="P101" s="51"/>
      <c r="Q101" s="51"/>
      <c r="R101" s="51"/>
      <c r="S101" s="51"/>
      <c r="T101" s="126"/>
      <c r="U101" s="126"/>
      <c r="V101" s="49">
        <f t="shared" si="10"/>
        <v>0</v>
      </c>
      <c r="W101" s="89">
        <f t="shared" si="11"/>
        <v>0</v>
      </c>
      <c r="X101" s="87">
        <f t="shared" si="13"/>
        <v>0</v>
      </c>
      <c r="Y101" s="89">
        <f t="shared" si="12"/>
        <v>0</v>
      </c>
    </row>
    <row r="102" spans="1:25" x14ac:dyDescent="0.3">
      <c r="A102" s="122">
        <v>85</v>
      </c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51"/>
      <c r="N102" s="51"/>
      <c r="O102" s="51"/>
      <c r="P102" s="51"/>
      <c r="Q102" s="51"/>
      <c r="R102" s="51"/>
      <c r="S102" s="51"/>
      <c r="T102" s="126"/>
      <c r="U102" s="126"/>
      <c r="V102" s="49">
        <f t="shared" si="10"/>
        <v>0</v>
      </c>
      <c r="W102" s="89">
        <f t="shared" si="11"/>
        <v>0</v>
      </c>
      <c r="X102" s="87">
        <f t="shared" si="13"/>
        <v>0</v>
      </c>
      <c r="Y102" s="89">
        <f t="shared" si="12"/>
        <v>0</v>
      </c>
    </row>
    <row r="103" spans="1:25" x14ac:dyDescent="0.3">
      <c r="A103" s="122">
        <v>86</v>
      </c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51"/>
      <c r="N103" s="51"/>
      <c r="O103" s="51"/>
      <c r="P103" s="51"/>
      <c r="Q103" s="51"/>
      <c r="R103" s="51"/>
      <c r="S103" s="51"/>
      <c r="T103" s="126"/>
      <c r="U103" s="126"/>
      <c r="V103" s="49">
        <f t="shared" si="10"/>
        <v>0</v>
      </c>
      <c r="W103" s="89">
        <f t="shared" si="11"/>
        <v>0</v>
      </c>
      <c r="X103" s="87">
        <f t="shared" si="13"/>
        <v>0</v>
      </c>
      <c r="Y103" s="89">
        <f t="shared" si="12"/>
        <v>0</v>
      </c>
    </row>
    <row r="104" spans="1:25" x14ac:dyDescent="0.3">
      <c r="A104" s="122">
        <v>87</v>
      </c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51"/>
      <c r="N104" s="51"/>
      <c r="O104" s="51"/>
      <c r="P104" s="51"/>
      <c r="Q104" s="51"/>
      <c r="R104" s="51"/>
      <c r="S104" s="51"/>
      <c r="T104" s="126"/>
      <c r="U104" s="126"/>
      <c r="V104" s="49">
        <f t="shared" si="10"/>
        <v>0</v>
      </c>
      <c r="W104" s="89">
        <f t="shared" si="11"/>
        <v>0</v>
      </c>
      <c r="X104" s="87">
        <f t="shared" si="13"/>
        <v>0</v>
      </c>
      <c r="Y104" s="89">
        <f t="shared" si="12"/>
        <v>0</v>
      </c>
    </row>
    <row r="105" spans="1:25" x14ac:dyDescent="0.3">
      <c r="A105" s="122">
        <v>88</v>
      </c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51"/>
      <c r="N105" s="51"/>
      <c r="O105" s="51"/>
      <c r="P105" s="51"/>
      <c r="Q105" s="51"/>
      <c r="R105" s="51"/>
      <c r="S105" s="51"/>
      <c r="T105" s="126"/>
      <c r="U105" s="126"/>
      <c r="V105" s="49">
        <f t="shared" si="10"/>
        <v>0</v>
      </c>
      <c r="W105" s="89">
        <f t="shared" si="11"/>
        <v>0</v>
      </c>
      <c r="X105" s="87">
        <f t="shared" si="13"/>
        <v>0</v>
      </c>
      <c r="Y105" s="89">
        <f t="shared" si="12"/>
        <v>0</v>
      </c>
    </row>
    <row r="106" spans="1:25" x14ac:dyDescent="0.3">
      <c r="A106" s="122">
        <v>89</v>
      </c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51"/>
      <c r="N106" s="51"/>
      <c r="O106" s="51"/>
      <c r="P106" s="51"/>
      <c r="Q106" s="51"/>
      <c r="R106" s="51"/>
      <c r="S106" s="51"/>
      <c r="T106" s="126"/>
      <c r="U106" s="126"/>
      <c r="V106" s="49">
        <f t="shared" si="10"/>
        <v>0</v>
      </c>
      <c r="W106" s="89">
        <f t="shared" si="11"/>
        <v>0</v>
      </c>
      <c r="X106" s="87">
        <f t="shared" si="13"/>
        <v>0</v>
      </c>
      <c r="Y106" s="89">
        <f t="shared" si="12"/>
        <v>0</v>
      </c>
    </row>
    <row r="107" spans="1:25" x14ac:dyDescent="0.3">
      <c r="A107" s="122">
        <v>90</v>
      </c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51"/>
      <c r="N107" s="51"/>
      <c r="O107" s="51"/>
      <c r="P107" s="51"/>
      <c r="Q107" s="51"/>
      <c r="R107" s="51"/>
      <c r="S107" s="51"/>
      <c r="T107" s="126"/>
      <c r="U107" s="126"/>
      <c r="V107" s="49">
        <f t="shared" si="10"/>
        <v>0</v>
      </c>
      <c r="W107" s="89">
        <f t="shared" si="11"/>
        <v>0</v>
      </c>
      <c r="X107" s="87">
        <f t="shared" si="13"/>
        <v>0</v>
      </c>
      <c r="Y107" s="89">
        <f t="shared" si="12"/>
        <v>0</v>
      </c>
    </row>
    <row r="108" spans="1:25" x14ac:dyDescent="0.3">
      <c r="A108" s="122">
        <v>91</v>
      </c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51"/>
      <c r="N108" s="51"/>
      <c r="O108" s="51"/>
      <c r="P108" s="51"/>
      <c r="Q108" s="51"/>
      <c r="R108" s="51"/>
      <c r="S108" s="51"/>
      <c r="T108" s="126"/>
      <c r="U108" s="126"/>
      <c r="V108" s="49">
        <f t="shared" si="10"/>
        <v>0</v>
      </c>
      <c r="W108" s="89">
        <f t="shared" si="11"/>
        <v>0</v>
      </c>
      <c r="X108" s="87">
        <f t="shared" si="13"/>
        <v>0</v>
      </c>
      <c r="Y108" s="89">
        <f t="shared" si="12"/>
        <v>0</v>
      </c>
    </row>
    <row r="109" spans="1:25" x14ac:dyDescent="0.3">
      <c r="A109" s="122">
        <v>92</v>
      </c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51"/>
      <c r="N109" s="51"/>
      <c r="O109" s="51"/>
      <c r="P109" s="51"/>
      <c r="Q109" s="51"/>
      <c r="R109" s="51"/>
      <c r="S109" s="51"/>
      <c r="T109" s="126"/>
      <c r="U109" s="126"/>
      <c r="V109" s="49">
        <f t="shared" si="10"/>
        <v>0</v>
      </c>
      <c r="W109" s="89">
        <f t="shared" si="11"/>
        <v>0</v>
      </c>
      <c r="X109" s="87">
        <f t="shared" si="13"/>
        <v>0</v>
      </c>
      <c r="Y109" s="89">
        <f t="shared" si="12"/>
        <v>0</v>
      </c>
    </row>
    <row r="110" spans="1:25" x14ac:dyDescent="0.3">
      <c r="A110" s="122">
        <v>93</v>
      </c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51"/>
      <c r="N110" s="51"/>
      <c r="O110" s="51"/>
      <c r="P110" s="51"/>
      <c r="Q110" s="51"/>
      <c r="R110" s="51"/>
      <c r="S110" s="51"/>
      <c r="T110" s="126"/>
      <c r="U110" s="126"/>
      <c r="V110" s="49">
        <f t="shared" si="10"/>
        <v>0</v>
      </c>
      <c r="W110" s="89">
        <f t="shared" si="11"/>
        <v>0</v>
      </c>
      <c r="X110" s="87">
        <f t="shared" si="13"/>
        <v>0</v>
      </c>
      <c r="Y110" s="89">
        <f t="shared" si="12"/>
        <v>0</v>
      </c>
    </row>
    <row r="111" spans="1:25" x14ac:dyDescent="0.3">
      <c r="A111" s="122">
        <v>94</v>
      </c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51"/>
      <c r="N111" s="51"/>
      <c r="O111" s="51"/>
      <c r="P111" s="51"/>
      <c r="Q111" s="51"/>
      <c r="R111" s="51"/>
      <c r="S111" s="51"/>
      <c r="T111" s="126"/>
      <c r="U111" s="126"/>
      <c r="V111" s="49">
        <f t="shared" si="10"/>
        <v>0</v>
      </c>
      <c r="W111" s="89">
        <f t="shared" si="11"/>
        <v>0</v>
      </c>
      <c r="X111" s="87">
        <f t="shared" si="13"/>
        <v>0</v>
      </c>
      <c r="Y111" s="89">
        <f t="shared" si="12"/>
        <v>0</v>
      </c>
    </row>
    <row r="112" spans="1:25" x14ac:dyDescent="0.3">
      <c r="A112" s="122">
        <v>95</v>
      </c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51"/>
      <c r="N112" s="51"/>
      <c r="O112" s="51"/>
      <c r="P112" s="51"/>
      <c r="Q112" s="51"/>
      <c r="R112" s="51"/>
      <c r="S112" s="51"/>
      <c r="T112" s="126"/>
      <c r="U112" s="126"/>
      <c r="V112" s="49">
        <f t="shared" si="10"/>
        <v>0</v>
      </c>
      <c r="W112" s="89">
        <f t="shared" si="11"/>
        <v>0</v>
      </c>
      <c r="X112" s="87">
        <f t="shared" si="13"/>
        <v>0</v>
      </c>
      <c r="Y112" s="89">
        <f t="shared" si="12"/>
        <v>0</v>
      </c>
    </row>
    <row r="113" spans="1:25" x14ac:dyDescent="0.3">
      <c r="A113" s="122">
        <v>96</v>
      </c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51"/>
      <c r="N113" s="51"/>
      <c r="O113" s="51"/>
      <c r="P113" s="51"/>
      <c r="Q113" s="51"/>
      <c r="R113" s="51"/>
      <c r="S113" s="51"/>
      <c r="T113" s="126"/>
      <c r="U113" s="126"/>
      <c r="V113" s="49">
        <f t="shared" si="10"/>
        <v>0</v>
      </c>
      <c r="W113" s="89">
        <f t="shared" si="11"/>
        <v>0</v>
      </c>
      <c r="X113" s="87">
        <f t="shared" si="13"/>
        <v>0</v>
      </c>
      <c r="Y113" s="89">
        <f t="shared" si="12"/>
        <v>0</v>
      </c>
    </row>
    <row r="114" spans="1:25" x14ac:dyDescent="0.3">
      <c r="A114" s="122">
        <v>97</v>
      </c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51"/>
      <c r="N114" s="51"/>
      <c r="O114" s="51"/>
      <c r="P114" s="51"/>
      <c r="Q114" s="51"/>
      <c r="R114" s="51"/>
      <c r="S114" s="51"/>
      <c r="T114" s="126"/>
      <c r="U114" s="126"/>
      <c r="V114" s="49">
        <f t="shared" si="10"/>
        <v>0</v>
      </c>
      <c r="W114" s="89">
        <f t="shared" si="11"/>
        <v>0</v>
      </c>
      <c r="X114" s="87">
        <f t="shared" si="13"/>
        <v>0</v>
      </c>
      <c r="Y114" s="89">
        <f t="shared" si="12"/>
        <v>0</v>
      </c>
    </row>
    <row r="115" spans="1:25" x14ac:dyDescent="0.3">
      <c r="A115" s="122">
        <v>98</v>
      </c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51"/>
      <c r="N115" s="51"/>
      <c r="O115" s="51"/>
      <c r="P115" s="51"/>
      <c r="Q115" s="51"/>
      <c r="R115" s="51"/>
      <c r="S115" s="51"/>
      <c r="T115" s="126"/>
      <c r="U115" s="126"/>
      <c r="V115" s="49">
        <f t="shared" si="10"/>
        <v>0</v>
      </c>
      <c r="W115" s="89">
        <f t="shared" si="11"/>
        <v>0</v>
      </c>
      <c r="X115" s="87">
        <f t="shared" si="13"/>
        <v>0</v>
      </c>
      <c r="Y115" s="89">
        <f t="shared" si="12"/>
        <v>0</v>
      </c>
    </row>
    <row r="116" spans="1:25" x14ac:dyDescent="0.3">
      <c r="A116" s="122">
        <v>99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51"/>
      <c r="N116" s="51"/>
      <c r="O116" s="51"/>
      <c r="P116" s="51"/>
      <c r="Q116" s="51"/>
      <c r="R116" s="51"/>
      <c r="S116" s="51"/>
      <c r="T116" s="126"/>
      <c r="U116" s="126"/>
      <c r="V116" s="49">
        <f t="shared" si="10"/>
        <v>0</v>
      </c>
      <c r="W116" s="89">
        <f t="shared" si="11"/>
        <v>0</v>
      </c>
      <c r="X116" s="87">
        <f t="shared" si="13"/>
        <v>0</v>
      </c>
      <c r="Y116" s="89">
        <f t="shared" si="12"/>
        <v>0</v>
      </c>
    </row>
    <row r="117" spans="1:25" x14ac:dyDescent="0.3">
      <c r="A117" s="122">
        <v>100</v>
      </c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51"/>
      <c r="N117" s="51"/>
      <c r="O117" s="51"/>
      <c r="P117" s="51"/>
      <c r="Q117" s="51"/>
      <c r="R117" s="51"/>
      <c r="S117" s="51"/>
      <c r="T117" s="126"/>
      <c r="U117" s="126"/>
      <c r="V117" s="49">
        <f t="shared" si="10"/>
        <v>0</v>
      </c>
      <c r="W117" s="89">
        <f t="shared" si="11"/>
        <v>0</v>
      </c>
      <c r="X117" s="87">
        <f t="shared" si="13"/>
        <v>0</v>
      </c>
      <c r="Y117" s="89">
        <f t="shared" si="12"/>
        <v>0</v>
      </c>
    </row>
    <row r="118" spans="1:25" x14ac:dyDescent="0.3">
      <c r="A118" s="122">
        <v>101</v>
      </c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51"/>
      <c r="N118" s="51"/>
      <c r="O118" s="51"/>
      <c r="P118" s="51"/>
      <c r="Q118" s="51"/>
      <c r="R118" s="51"/>
      <c r="S118" s="51"/>
      <c r="T118" s="126"/>
      <c r="U118" s="126"/>
      <c r="V118" s="49">
        <f t="shared" si="10"/>
        <v>0</v>
      </c>
      <c r="W118" s="89">
        <f t="shared" si="11"/>
        <v>0</v>
      </c>
      <c r="X118" s="87">
        <f t="shared" si="13"/>
        <v>0</v>
      </c>
      <c r="Y118" s="89">
        <f t="shared" si="12"/>
        <v>0</v>
      </c>
    </row>
    <row r="119" spans="1:25" x14ac:dyDescent="0.3">
      <c r="A119" s="122">
        <v>102</v>
      </c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51"/>
      <c r="N119" s="51"/>
      <c r="O119" s="51"/>
      <c r="P119" s="51"/>
      <c r="Q119" s="51"/>
      <c r="R119" s="51"/>
      <c r="S119" s="51"/>
      <c r="T119" s="126"/>
      <c r="U119" s="126"/>
      <c r="V119" s="49">
        <f t="shared" si="10"/>
        <v>0</v>
      </c>
      <c r="W119" s="89">
        <f t="shared" si="11"/>
        <v>0</v>
      </c>
      <c r="X119" s="87">
        <f t="shared" si="13"/>
        <v>0</v>
      </c>
      <c r="Y119" s="89">
        <f t="shared" si="12"/>
        <v>0</v>
      </c>
    </row>
    <row r="120" spans="1:25" x14ac:dyDescent="0.3">
      <c r="A120" s="122">
        <v>103</v>
      </c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51"/>
      <c r="N120" s="51"/>
      <c r="O120" s="51"/>
      <c r="P120" s="51"/>
      <c r="Q120" s="51"/>
      <c r="R120" s="51"/>
      <c r="S120" s="51"/>
      <c r="T120" s="126"/>
      <c r="U120" s="126"/>
      <c r="V120" s="49">
        <f t="shared" si="10"/>
        <v>0</v>
      </c>
      <c r="W120" s="89">
        <f t="shared" si="11"/>
        <v>0</v>
      </c>
      <c r="X120" s="87">
        <f t="shared" si="13"/>
        <v>0</v>
      </c>
      <c r="Y120" s="89">
        <f t="shared" si="12"/>
        <v>0</v>
      </c>
    </row>
    <row r="121" spans="1:25" x14ac:dyDescent="0.3">
      <c r="A121" s="122">
        <v>104</v>
      </c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51"/>
      <c r="N121" s="51"/>
      <c r="O121" s="51"/>
      <c r="P121" s="51"/>
      <c r="Q121" s="51"/>
      <c r="R121" s="51"/>
      <c r="S121" s="51"/>
      <c r="T121" s="126"/>
      <c r="U121" s="126"/>
      <c r="V121" s="49">
        <f t="shared" si="10"/>
        <v>0</v>
      </c>
      <c r="W121" s="89">
        <f t="shared" si="11"/>
        <v>0</v>
      </c>
      <c r="X121" s="87">
        <f t="shared" si="13"/>
        <v>0</v>
      </c>
      <c r="Y121" s="89">
        <f t="shared" si="12"/>
        <v>0</v>
      </c>
    </row>
    <row r="122" spans="1:25" x14ac:dyDescent="0.3">
      <c r="A122" s="122">
        <v>105</v>
      </c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51"/>
      <c r="N122" s="51"/>
      <c r="O122" s="51"/>
      <c r="P122" s="51"/>
      <c r="Q122" s="51"/>
      <c r="R122" s="51"/>
      <c r="S122" s="51"/>
      <c r="T122" s="126"/>
      <c r="U122" s="126"/>
      <c r="V122" s="49">
        <f t="shared" si="10"/>
        <v>0</v>
      </c>
      <c r="W122" s="89">
        <f t="shared" si="11"/>
        <v>0</v>
      </c>
      <c r="X122" s="87">
        <f t="shared" si="13"/>
        <v>0</v>
      </c>
      <c r="Y122" s="89">
        <f t="shared" si="12"/>
        <v>0</v>
      </c>
    </row>
    <row r="123" spans="1:25" x14ac:dyDescent="0.3">
      <c r="A123" s="122">
        <v>106</v>
      </c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51"/>
      <c r="N123" s="51"/>
      <c r="O123" s="51"/>
      <c r="P123" s="51"/>
      <c r="Q123" s="51"/>
      <c r="R123" s="51"/>
      <c r="S123" s="51"/>
      <c r="T123" s="126"/>
      <c r="U123" s="126"/>
      <c r="V123" s="49">
        <f t="shared" si="10"/>
        <v>0</v>
      </c>
      <c r="W123" s="89">
        <f t="shared" si="11"/>
        <v>0</v>
      </c>
      <c r="X123" s="87">
        <f t="shared" si="13"/>
        <v>0</v>
      </c>
      <c r="Y123" s="89">
        <f t="shared" si="12"/>
        <v>0</v>
      </c>
    </row>
    <row r="124" spans="1:25" x14ac:dyDescent="0.3">
      <c r="A124" s="122">
        <v>107</v>
      </c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51"/>
      <c r="N124" s="51"/>
      <c r="O124" s="51"/>
      <c r="P124" s="51"/>
      <c r="Q124" s="51"/>
      <c r="R124" s="51"/>
      <c r="S124" s="51"/>
      <c r="T124" s="126"/>
      <c r="U124" s="126"/>
      <c r="V124" s="49">
        <f t="shared" si="10"/>
        <v>0</v>
      </c>
      <c r="W124" s="89">
        <f t="shared" si="11"/>
        <v>0</v>
      </c>
      <c r="X124" s="87">
        <f t="shared" si="13"/>
        <v>0</v>
      </c>
      <c r="Y124" s="89">
        <f t="shared" si="12"/>
        <v>0</v>
      </c>
    </row>
    <row r="125" spans="1:25" x14ac:dyDescent="0.3">
      <c r="A125" s="122">
        <v>108</v>
      </c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51"/>
      <c r="N125" s="51"/>
      <c r="O125" s="51"/>
      <c r="P125" s="51"/>
      <c r="Q125" s="51"/>
      <c r="R125" s="51"/>
      <c r="S125" s="51"/>
      <c r="T125" s="126"/>
      <c r="U125" s="126"/>
      <c r="V125" s="49">
        <f t="shared" si="10"/>
        <v>0</v>
      </c>
      <c r="W125" s="89">
        <f t="shared" si="11"/>
        <v>0</v>
      </c>
      <c r="X125" s="87">
        <f t="shared" si="13"/>
        <v>0</v>
      </c>
      <c r="Y125" s="89">
        <f t="shared" si="12"/>
        <v>0</v>
      </c>
    </row>
    <row r="126" spans="1:25" x14ac:dyDescent="0.3">
      <c r="A126" s="122">
        <v>109</v>
      </c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51"/>
      <c r="N126" s="51"/>
      <c r="O126" s="51"/>
      <c r="P126" s="51"/>
      <c r="Q126" s="51"/>
      <c r="R126" s="51"/>
      <c r="S126" s="51"/>
      <c r="T126" s="126"/>
      <c r="U126" s="126"/>
      <c r="V126" s="49">
        <f t="shared" si="10"/>
        <v>0</v>
      </c>
      <c r="W126" s="89">
        <f t="shared" si="11"/>
        <v>0</v>
      </c>
      <c r="X126" s="87">
        <f t="shared" si="13"/>
        <v>0</v>
      </c>
      <c r="Y126" s="89">
        <f t="shared" si="12"/>
        <v>0</v>
      </c>
    </row>
    <row r="127" spans="1:25" x14ac:dyDescent="0.3">
      <c r="A127" s="122">
        <v>110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51"/>
      <c r="N127" s="51"/>
      <c r="O127" s="51"/>
      <c r="P127" s="51"/>
      <c r="Q127" s="51"/>
      <c r="R127" s="51"/>
      <c r="S127" s="51"/>
      <c r="T127" s="126"/>
      <c r="U127" s="126"/>
      <c r="V127" s="49">
        <f t="shared" si="10"/>
        <v>0</v>
      </c>
      <c r="W127" s="89">
        <f t="shared" si="11"/>
        <v>0</v>
      </c>
      <c r="X127" s="87">
        <f t="shared" si="13"/>
        <v>0</v>
      </c>
      <c r="Y127" s="89">
        <f t="shared" si="12"/>
        <v>0</v>
      </c>
    </row>
    <row r="128" spans="1:25" x14ac:dyDescent="0.3">
      <c r="A128" s="122">
        <v>111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51"/>
      <c r="N128" s="51"/>
      <c r="O128" s="51"/>
      <c r="P128" s="51"/>
      <c r="Q128" s="51"/>
      <c r="R128" s="51"/>
      <c r="S128" s="51"/>
      <c r="T128" s="126"/>
      <c r="U128" s="126"/>
      <c r="V128" s="49">
        <f t="shared" si="10"/>
        <v>0</v>
      </c>
      <c r="W128" s="89">
        <f t="shared" si="11"/>
        <v>0</v>
      </c>
      <c r="X128" s="87">
        <f t="shared" si="13"/>
        <v>0</v>
      </c>
      <c r="Y128" s="89">
        <f t="shared" si="12"/>
        <v>0</v>
      </c>
    </row>
    <row r="129" spans="1:25" x14ac:dyDescent="0.3">
      <c r="A129" s="122">
        <v>112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51"/>
      <c r="N129" s="51"/>
      <c r="O129" s="51"/>
      <c r="P129" s="51"/>
      <c r="Q129" s="51"/>
      <c r="R129" s="51"/>
      <c r="S129" s="51"/>
      <c r="T129" s="126"/>
      <c r="U129" s="126"/>
      <c r="V129" s="49">
        <f t="shared" si="10"/>
        <v>0</v>
      </c>
      <c r="W129" s="89">
        <f t="shared" si="11"/>
        <v>0</v>
      </c>
      <c r="X129" s="87">
        <f t="shared" si="13"/>
        <v>0</v>
      </c>
      <c r="Y129" s="89">
        <f t="shared" si="12"/>
        <v>0</v>
      </c>
    </row>
    <row r="130" spans="1:25" x14ac:dyDescent="0.3">
      <c r="A130" s="122">
        <v>113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51"/>
      <c r="N130" s="51"/>
      <c r="O130" s="51"/>
      <c r="P130" s="51"/>
      <c r="Q130" s="51"/>
      <c r="R130" s="51"/>
      <c r="S130" s="51"/>
      <c r="T130" s="126"/>
      <c r="U130" s="126"/>
      <c r="V130" s="49">
        <f t="shared" si="10"/>
        <v>0</v>
      </c>
      <c r="W130" s="89">
        <f t="shared" si="11"/>
        <v>0</v>
      </c>
      <c r="X130" s="87">
        <f t="shared" si="13"/>
        <v>0</v>
      </c>
      <c r="Y130" s="89">
        <f t="shared" si="12"/>
        <v>0</v>
      </c>
    </row>
    <row r="131" spans="1:25" x14ac:dyDescent="0.3">
      <c r="A131" s="122">
        <v>114</v>
      </c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51"/>
      <c r="N131" s="51"/>
      <c r="O131" s="51"/>
      <c r="P131" s="51"/>
      <c r="Q131" s="51"/>
      <c r="R131" s="51"/>
      <c r="S131" s="51"/>
      <c r="T131" s="126"/>
      <c r="U131" s="126"/>
      <c r="V131" s="49">
        <f t="shared" si="10"/>
        <v>0</v>
      </c>
      <c r="W131" s="89">
        <f t="shared" si="11"/>
        <v>0</v>
      </c>
      <c r="X131" s="87">
        <f t="shared" si="13"/>
        <v>0</v>
      </c>
      <c r="Y131" s="89">
        <f t="shared" si="12"/>
        <v>0</v>
      </c>
    </row>
    <row r="132" spans="1:25" x14ac:dyDescent="0.3">
      <c r="A132" s="122">
        <v>115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51"/>
      <c r="N132" s="51"/>
      <c r="O132" s="51"/>
      <c r="P132" s="51"/>
      <c r="Q132" s="51"/>
      <c r="R132" s="51"/>
      <c r="S132" s="51"/>
      <c r="T132" s="126"/>
      <c r="U132" s="126"/>
      <c r="V132" s="49">
        <f t="shared" si="10"/>
        <v>0</v>
      </c>
      <c r="W132" s="89">
        <f t="shared" si="11"/>
        <v>0</v>
      </c>
      <c r="X132" s="87">
        <f t="shared" si="13"/>
        <v>0</v>
      </c>
      <c r="Y132" s="89">
        <f t="shared" si="12"/>
        <v>0</v>
      </c>
    </row>
    <row r="133" spans="1:25" x14ac:dyDescent="0.3">
      <c r="A133" s="122">
        <v>116</v>
      </c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51"/>
      <c r="N133" s="51"/>
      <c r="O133" s="51"/>
      <c r="P133" s="51"/>
      <c r="Q133" s="51"/>
      <c r="R133" s="51"/>
      <c r="S133" s="51"/>
      <c r="T133" s="126"/>
      <c r="U133" s="126"/>
      <c r="V133" s="49">
        <f t="shared" si="10"/>
        <v>0</v>
      </c>
      <c r="W133" s="89">
        <f t="shared" si="11"/>
        <v>0</v>
      </c>
      <c r="X133" s="87">
        <f t="shared" si="13"/>
        <v>0</v>
      </c>
      <c r="Y133" s="89">
        <f t="shared" si="12"/>
        <v>0</v>
      </c>
    </row>
    <row r="134" spans="1:25" x14ac:dyDescent="0.3">
      <c r="A134" s="122">
        <v>117</v>
      </c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51"/>
      <c r="N134" s="51"/>
      <c r="O134" s="51"/>
      <c r="P134" s="51"/>
      <c r="Q134" s="51"/>
      <c r="R134" s="51"/>
      <c r="S134" s="51"/>
      <c r="T134" s="126"/>
      <c r="U134" s="126"/>
      <c r="V134" s="49">
        <f t="shared" si="10"/>
        <v>0</v>
      </c>
      <c r="W134" s="89">
        <f t="shared" si="11"/>
        <v>0</v>
      </c>
      <c r="X134" s="87">
        <f t="shared" si="13"/>
        <v>0</v>
      </c>
      <c r="Y134" s="89">
        <f t="shared" si="12"/>
        <v>0</v>
      </c>
    </row>
    <row r="135" spans="1:25" x14ac:dyDescent="0.3">
      <c r="A135" s="122">
        <v>118</v>
      </c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51"/>
      <c r="N135" s="51"/>
      <c r="O135" s="51"/>
      <c r="P135" s="51"/>
      <c r="Q135" s="51"/>
      <c r="R135" s="51"/>
      <c r="S135" s="51"/>
      <c r="T135" s="126"/>
      <c r="U135" s="126"/>
      <c r="V135" s="49">
        <f t="shared" si="10"/>
        <v>0</v>
      </c>
      <c r="W135" s="89">
        <f t="shared" si="11"/>
        <v>0</v>
      </c>
      <c r="X135" s="87">
        <f t="shared" si="13"/>
        <v>0</v>
      </c>
      <c r="Y135" s="89">
        <f t="shared" si="12"/>
        <v>0</v>
      </c>
    </row>
    <row r="136" spans="1:25" x14ac:dyDescent="0.3">
      <c r="A136" s="122">
        <v>119</v>
      </c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51"/>
      <c r="N136" s="51"/>
      <c r="O136" s="51"/>
      <c r="P136" s="51"/>
      <c r="Q136" s="51"/>
      <c r="R136" s="51"/>
      <c r="S136" s="51"/>
      <c r="T136" s="126"/>
      <c r="U136" s="126"/>
      <c r="V136" s="49">
        <f t="shared" si="10"/>
        <v>0</v>
      </c>
      <c r="W136" s="89">
        <f t="shared" si="11"/>
        <v>0</v>
      </c>
      <c r="X136" s="87">
        <f t="shared" si="13"/>
        <v>0</v>
      </c>
      <c r="Y136" s="89">
        <f t="shared" si="12"/>
        <v>0</v>
      </c>
    </row>
    <row r="137" spans="1:25" x14ac:dyDescent="0.3">
      <c r="A137" s="122">
        <v>120</v>
      </c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51"/>
      <c r="N137" s="51"/>
      <c r="O137" s="51"/>
      <c r="P137" s="51"/>
      <c r="Q137" s="51"/>
      <c r="R137" s="51"/>
      <c r="S137" s="51"/>
      <c r="T137" s="126"/>
      <c r="U137" s="126"/>
      <c r="V137" s="49">
        <f t="shared" si="10"/>
        <v>0</v>
      </c>
      <c r="W137" s="89">
        <f t="shared" si="11"/>
        <v>0</v>
      </c>
      <c r="X137" s="87">
        <f t="shared" si="13"/>
        <v>0</v>
      </c>
      <c r="Y137" s="89">
        <f t="shared" si="12"/>
        <v>0</v>
      </c>
    </row>
    <row r="138" spans="1:25" x14ac:dyDescent="0.3">
      <c r="A138" s="122">
        <v>121</v>
      </c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51"/>
      <c r="N138" s="51"/>
      <c r="O138" s="51"/>
      <c r="P138" s="51"/>
      <c r="Q138" s="51"/>
      <c r="R138" s="51"/>
      <c r="S138" s="51"/>
      <c r="T138" s="126"/>
      <c r="U138" s="126"/>
      <c r="V138" s="49">
        <f t="shared" si="10"/>
        <v>0</v>
      </c>
      <c r="W138" s="89">
        <f t="shared" si="11"/>
        <v>0</v>
      </c>
      <c r="X138" s="87">
        <f t="shared" si="13"/>
        <v>0</v>
      </c>
      <c r="Y138" s="89">
        <f t="shared" si="12"/>
        <v>0</v>
      </c>
    </row>
    <row r="139" spans="1:25" x14ac:dyDescent="0.3">
      <c r="A139" s="122">
        <v>122</v>
      </c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51"/>
      <c r="N139" s="51"/>
      <c r="O139" s="51"/>
      <c r="P139" s="51"/>
      <c r="Q139" s="51"/>
      <c r="R139" s="51"/>
      <c r="S139" s="51"/>
      <c r="T139" s="126"/>
      <c r="U139" s="126"/>
      <c r="V139" s="49">
        <f t="shared" si="10"/>
        <v>0</v>
      </c>
      <c r="W139" s="89">
        <f t="shared" si="11"/>
        <v>0</v>
      </c>
      <c r="X139" s="87">
        <f t="shared" si="13"/>
        <v>0</v>
      </c>
      <c r="Y139" s="89">
        <f t="shared" si="12"/>
        <v>0</v>
      </c>
    </row>
    <row r="140" spans="1:25" x14ac:dyDescent="0.3">
      <c r="A140" s="122">
        <v>123</v>
      </c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51"/>
      <c r="N140" s="51"/>
      <c r="O140" s="51"/>
      <c r="P140" s="51"/>
      <c r="Q140" s="51"/>
      <c r="R140" s="51"/>
      <c r="S140" s="51"/>
      <c r="T140" s="126"/>
      <c r="U140" s="126"/>
      <c r="V140" s="49">
        <f t="shared" si="10"/>
        <v>0</v>
      </c>
      <c r="W140" s="89">
        <f t="shared" si="11"/>
        <v>0</v>
      </c>
      <c r="X140" s="87">
        <f t="shared" si="13"/>
        <v>0</v>
      </c>
      <c r="Y140" s="89">
        <f t="shared" si="12"/>
        <v>0</v>
      </c>
    </row>
    <row r="141" spans="1:25" x14ac:dyDescent="0.3">
      <c r="A141" s="122">
        <v>124</v>
      </c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51"/>
      <c r="N141" s="51"/>
      <c r="O141" s="51"/>
      <c r="P141" s="51"/>
      <c r="Q141" s="51"/>
      <c r="R141" s="51"/>
      <c r="S141" s="51"/>
      <c r="T141" s="126"/>
      <c r="U141" s="126"/>
      <c r="V141" s="49">
        <f t="shared" si="10"/>
        <v>0</v>
      </c>
      <c r="W141" s="89">
        <f t="shared" si="11"/>
        <v>0</v>
      </c>
      <c r="X141" s="87">
        <f t="shared" si="13"/>
        <v>0</v>
      </c>
      <c r="Y141" s="89">
        <f t="shared" si="12"/>
        <v>0</v>
      </c>
    </row>
    <row r="142" spans="1:25" x14ac:dyDescent="0.3">
      <c r="A142" s="122">
        <v>125</v>
      </c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51"/>
      <c r="N142" s="51"/>
      <c r="O142" s="51"/>
      <c r="P142" s="51"/>
      <c r="Q142" s="51"/>
      <c r="R142" s="51"/>
      <c r="S142" s="51"/>
      <c r="T142" s="126"/>
      <c r="U142" s="126"/>
      <c r="V142" s="49">
        <f t="shared" ref="V142:V205" si="14">B142*$B$5+C142*$C$5+D142*$D$5+E142*$E$5+F142*$F$5+G142*$G$5+H142*$H$5+I142*$I$5+J142*$J$5+K142*$K$5+L142*$L$5+M142*$M$5+N142*$N$5+O142*$O$5+P142*$P$5+Q142*$Q$5+R142*$R$5+S142*$S$5+T142*$T$5+U142*$U$5</f>
        <v>0</v>
      </c>
      <c r="W142" s="89">
        <f t="shared" ref="W142:W205" si="15">IFERROR($AA$24*(V142/($W$16)),0)</f>
        <v>0</v>
      </c>
      <c r="X142" s="87">
        <f t="shared" si="13"/>
        <v>0</v>
      </c>
      <c r="Y142" s="89">
        <f t="shared" ref="Y142:Y205" si="16">IFERROR(VLOOKUP(X142,AUX_CLAN,4,),0)</f>
        <v>0</v>
      </c>
    </row>
    <row r="143" spans="1:25" x14ac:dyDescent="0.3">
      <c r="A143" s="122">
        <v>126</v>
      </c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51"/>
      <c r="N143" s="51"/>
      <c r="O143" s="51"/>
      <c r="P143" s="51"/>
      <c r="Q143" s="51"/>
      <c r="R143" s="51"/>
      <c r="S143" s="51"/>
      <c r="T143" s="126"/>
      <c r="U143" s="126"/>
      <c r="V143" s="49">
        <f t="shared" si="14"/>
        <v>0</v>
      </c>
      <c r="W143" s="89">
        <f t="shared" si="15"/>
        <v>0</v>
      </c>
      <c r="X143" s="87">
        <f t="shared" si="13"/>
        <v>0</v>
      </c>
      <c r="Y143" s="89">
        <f t="shared" si="16"/>
        <v>0</v>
      </c>
    </row>
    <row r="144" spans="1:25" x14ac:dyDescent="0.3">
      <c r="A144" s="122">
        <v>127</v>
      </c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51"/>
      <c r="N144" s="51"/>
      <c r="O144" s="51"/>
      <c r="P144" s="51"/>
      <c r="Q144" s="51"/>
      <c r="R144" s="51"/>
      <c r="S144" s="51"/>
      <c r="T144" s="126"/>
      <c r="U144" s="126"/>
      <c r="V144" s="49">
        <f t="shared" si="14"/>
        <v>0</v>
      </c>
      <c r="W144" s="89">
        <f t="shared" si="15"/>
        <v>0</v>
      </c>
      <c r="X144" s="87">
        <f t="shared" si="13"/>
        <v>0</v>
      </c>
      <c r="Y144" s="89">
        <f t="shared" si="16"/>
        <v>0</v>
      </c>
    </row>
    <row r="145" spans="1:25" x14ac:dyDescent="0.3">
      <c r="A145" s="122">
        <v>128</v>
      </c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51"/>
      <c r="N145" s="51"/>
      <c r="O145" s="51"/>
      <c r="P145" s="51"/>
      <c r="Q145" s="51"/>
      <c r="R145" s="51"/>
      <c r="S145" s="51"/>
      <c r="T145" s="126"/>
      <c r="U145" s="126"/>
      <c r="V145" s="49">
        <f t="shared" si="14"/>
        <v>0</v>
      </c>
      <c r="W145" s="89">
        <f t="shared" si="15"/>
        <v>0</v>
      </c>
      <c r="X145" s="87">
        <f t="shared" si="13"/>
        <v>0</v>
      </c>
      <c r="Y145" s="89">
        <f t="shared" si="16"/>
        <v>0</v>
      </c>
    </row>
    <row r="146" spans="1:25" x14ac:dyDescent="0.3">
      <c r="A146" s="122">
        <v>129</v>
      </c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51"/>
      <c r="N146" s="51"/>
      <c r="O146" s="51"/>
      <c r="P146" s="51"/>
      <c r="Q146" s="51"/>
      <c r="R146" s="51"/>
      <c r="S146" s="51"/>
      <c r="T146" s="126"/>
      <c r="U146" s="126"/>
      <c r="V146" s="49">
        <f t="shared" si="14"/>
        <v>0</v>
      </c>
      <c r="W146" s="89">
        <f t="shared" si="15"/>
        <v>0</v>
      </c>
      <c r="X146" s="87">
        <f t="shared" si="13"/>
        <v>0</v>
      </c>
      <c r="Y146" s="89">
        <f t="shared" si="16"/>
        <v>0</v>
      </c>
    </row>
    <row r="147" spans="1:25" x14ac:dyDescent="0.3">
      <c r="A147" s="122">
        <v>130</v>
      </c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51"/>
      <c r="N147" s="51"/>
      <c r="O147" s="51"/>
      <c r="P147" s="51"/>
      <c r="Q147" s="51"/>
      <c r="R147" s="51"/>
      <c r="S147" s="51"/>
      <c r="T147" s="126"/>
      <c r="U147" s="126"/>
      <c r="V147" s="49">
        <f t="shared" si="14"/>
        <v>0</v>
      </c>
      <c r="W147" s="89">
        <f t="shared" si="15"/>
        <v>0</v>
      </c>
      <c r="X147" s="87">
        <f t="shared" ref="X147:X210" si="17">SUM(B147:U147)</f>
        <v>0</v>
      </c>
      <c r="Y147" s="89">
        <f t="shared" si="16"/>
        <v>0</v>
      </c>
    </row>
    <row r="148" spans="1:25" x14ac:dyDescent="0.3">
      <c r="A148" s="122">
        <v>131</v>
      </c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51"/>
      <c r="N148" s="51"/>
      <c r="O148" s="51"/>
      <c r="P148" s="51"/>
      <c r="Q148" s="51"/>
      <c r="R148" s="51"/>
      <c r="S148" s="51"/>
      <c r="T148" s="126"/>
      <c r="U148" s="126"/>
      <c r="V148" s="49">
        <f t="shared" si="14"/>
        <v>0</v>
      </c>
      <c r="W148" s="89">
        <f t="shared" si="15"/>
        <v>0</v>
      </c>
      <c r="X148" s="87">
        <f t="shared" si="17"/>
        <v>0</v>
      </c>
      <c r="Y148" s="89">
        <f t="shared" si="16"/>
        <v>0</v>
      </c>
    </row>
    <row r="149" spans="1:25" x14ac:dyDescent="0.3">
      <c r="A149" s="122">
        <v>132</v>
      </c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51"/>
      <c r="N149" s="51"/>
      <c r="O149" s="51"/>
      <c r="P149" s="51"/>
      <c r="Q149" s="51"/>
      <c r="R149" s="51"/>
      <c r="S149" s="51"/>
      <c r="T149" s="126"/>
      <c r="U149" s="126"/>
      <c r="V149" s="49">
        <f t="shared" si="14"/>
        <v>0</v>
      </c>
      <c r="W149" s="89">
        <f t="shared" si="15"/>
        <v>0</v>
      </c>
      <c r="X149" s="87">
        <f t="shared" si="17"/>
        <v>0</v>
      </c>
      <c r="Y149" s="89">
        <f t="shared" si="16"/>
        <v>0</v>
      </c>
    </row>
    <row r="150" spans="1:25" x14ac:dyDescent="0.3">
      <c r="A150" s="122">
        <v>133</v>
      </c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51"/>
      <c r="N150" s="51"/>
      <c r="O150" s="51"/>
      <c r="P150" s="51"/>
      <c r="Q150" s="51"/>
      <c r="R150" s="51"/>
      <c r="S150" s="51"/>
      <c r="T150" s="126"/>
      <c r="U150" s="126"/>
      <c r="V150" s="49">
        <f t="shared" si="14"/>
        <v>0</v>
      </c>
      <c r="W150" s="89">
        <f t="shared" si="15"/>
        <v>0</v>
      </c>
      <c r="X150" s="87">
        <f t="shared" si="17"/>
        <v>0</v>
      </c>
      <c r="Y150" s="89">
        <f t="shared" si="16"/>
        <v>0</v>
      </c>
    </row>
    <row r="151" spans="1:25" x14ac:dyDescent="0.3">
      <c r="A151" s="122">
        <v>134</v>
      </c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51"/>
      <c r="N151" s="51"/>
      <c r="O151" s="51"/>
      <c r="P151" s="51"/>
      <c r="Q151" s="51"/>
      <c r="R151" s="51"/>
      <c r="S151" s="51"/>
      <c r="T151" s="126"/>
      <c r="U151" s="126"/>
      <c r="V151" s="49">
        <f t="shared" si="14"/>
        <v>0</v>
      </c>
      <c r="W151" s="89">
        <f t="shared" si="15"/>
        <v>0</v>
      </c>
      <c r="X151" s="87">
        <f t="shared" si="17"/>
        <v>0</v>
      </c>
      <c r="Y151" s="89">
        <f t="shared" si="16"/>
        <v>0</v>
      </c>
    </row>
    <row r="152" spans="1:25" x14ac:dyDescent="0.3">
      <c r="A152" s="122">
        <v>135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51"/>
      <c r="N152" s="51"/>
      <c r="O152" s="51"/>
      <c r="P152" s="51"/>
      <c r="Q152" s="51"/>
      <c r="R152" s="51"/>
      <c r="S152" s="51"/>
      <c r="T152" s="126"/>
      <c r="U152" s="126"/>
      <c r="V152" s="49">
        <f t="shared" si="14"/>
        <v>0</v>
      </c>
      <c r="W152" s="89">
        <f t="shared" si="15"/>
        <v>0</v>
      </c>
      <c r="X152" s="87">
        <f t="shared" si="17"/>
        <v>0</v>
      </c>
      <c r="Y152" s="89">
        <f t="shared" si="16"/>
        <v>0</v>
      </c>
    </row>
    <row r="153" spans="1:25" x14ac:dyDescent="0.3">
      <c r="A153" s="122">
        <v>136</v>
      </c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51"/>
      <c r="N153" s="51"/>
      <c r="O153" s="51"/>
      <c r="P153" s="51"/>
      <c r="Q153" s="51"/>
      <c r="R153" s="51"/>
      <c r="S153" s="51"/>
      <c r="T153" s="126"/>
      <c r="U153" s="126"/>
      <c r="V153" s="49">
        <f t="shared" si="14"/>
        <v>0</v>
      </c>
      <c r="W153" s="89">
        <f t="shared" si="15"/>
        <v>0</v>
      </c>
      <c r="X153" s="87">
        <f t="shared" si="17"/>
        <v>0</v>
      </c>
      <c r="Y153" s="89">
        <f t="shared" si="16"/>
        <v>0</v>
      </c>
    </row>
    <row r="154" spans="1:25" x14ac:dyDescent="0.3">
      <c r="A154" s="122">
        <v>137</v>
      </c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51"/>
      <c r="N154" s="51"/>
      <c r="O154" s="51"/>
      <c r="P154" s="51"/>
      <c r="Q154" s="51"/>
      <c r="R154" s="51"/>
      <c r="S154" s="51"/>
      <c r="T154" s="126"/>
      <c r="U154" s="126"/>
      <c r="V154" s="49">
        <f t="shared" si="14"/>
        <v>0</v>
      </c>
      <c r="W154" s="89">
        <f t="shared" si="15"/>
        <v>0</v>
      </c>
      <c r="X154" s="87">
        <f t="shared" si="17"/>
        <v>0</v>
      </c>
      <c r="Y154" s="89">
        <f t="shared" si="16"/>
        <v>0</v>
      </c>
    </row>
    <row r="155" spans="1:25" x14ac:dyDescent="0.3">
      <c r="A155" s="122">
        <v>138</v>
      </c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51"/>
      <c r="N155" s="51"/>
      <c r="O155" s="51"/>
      <c r="P155" s="51"/>
      <c r="Q155" s="51"/>
      <c r="R155" s="51"/>
      <c r="S155" s="51"/>
      <c r="T155" s="126"/>
      <c r="U155" s="126"/>
      <c r="V155" s="49">
        <f t="shared" si="14"/>
        <v>0</v>
      </c>
      <c r="W155" s="89">
        <f t="shared" si="15"/>
        <v>0</v>
      </c>
      <c r="X155" s="87">
        <f t="shared" si="17"/>
        <v>0</v>
      </c>
      <c r="Y155" s="89">
        <f t="shared" si="16"/>
        <v>0</v>
      </c>
    </row>
    <row r="156" spans="1:25" x14ac:dyDescent="0.3">
      <c r="A156" s="122">
        <v>139</v>
      </c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51"/>
      <c r="N156" s="51"/>
      <c r="O156" s="51"/>
      <c r="P156" s="51"/>
      <c r="Q156" s="51"/>
      <c r="R156" s="51"/>
      <c r="S156" s="51"/>
      <c r="T156" s="126"/>
      <c r="U156" s="126"/>
      <c r="V156" s="49">
        <f t="shared" si="14"/>
        <v>0</v>
      </c>
      <c r="W156" s="89">
        <f t="shared" si="15"/>
        <v>0</v>
      </c>
      <c r="X156" s="87">
        <f t="shared" si="17"/>
        <v>0</v>
      </c>
      <c r="Y156" s="89">
        <f t="shared" si="16"/>
        <v>0</v>
      </c>
    </row>
    <row r="157" spans="1:25" x14ac:dyDescent="0.3">
      <c r="A157" s="122">
        <v>140</v>
      </c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51"/>
      <c r="N157" s="51"/>
      <c r="O157" s="51"/>
      <c r="P157" s="51"/>
      <c r="Q157" s="51"/>
      <c r="R157" s="51"/>
      <c r="S157" s="51"/>
      <c r="T157" s="126"/>
      <c r="U157" s="126"/>
      <c r="V157" s="49">
        <f t="shared" si="14"/>
        <v>0</v>
      </c>
      <c r="W157" s="89">
        <f t="shared" si="15"/>
        <v>0</v>
      </c>
      <c r="X157" s="87">
        <f t="shared" si="17"/>
        <v>0</v>
      </c>
      <c r="Y157" s="89">
        <f t="shared" si="16"/>
        <v>0</v>
      </c>
    </row>
    <row r="158" spans="1:25" x14ac:dyDescent="0.3">
      <c r="A158" s="122">
        <v>141</v>
      </c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51"/>
      <c r="N158" s="51"/>
      <c r="O158" s="51"/>
      <c r="P158" s="51"/>
      <c r="Q158" s="51"/>
      <c r="R158" s="51"/>
      <c r="S158" s="51"/>
      <c r="T158" s="126"/>
      <c r="U158" s="126"/>
      <c r="V158" s="49">
        <f t="shared" si="14"/>
        <v>0</v>
      </c>
      <c r="W158" s="89">
        <f t="shared" si="15"/>
        <v>0</v>
      </c>
      <c r="X158" s="87">
        <f t="shared" si="17"/>
        <v>0</v>
      </c>
      <c r="Y158" s="89">
        <f t="shared" si="16"/>
        <v>0</v>
      </c>
    </row>
    <row r="159" spans="1:25" x14ac:dyDescent="0.3">
      <c r="A159" s="122">
        <v>142</v>
      </c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51"/>
      <c r="N159" s="51"/>
      <c r="O159" s="51"/>
      <c r="P159" s="51"/>
      <c r="Q159" s="51"/>
      <c r="R159" s="51"/>
      <c r="S159" s="51"/>
      <c r="T159" s="126"/>
      <c r="U159" s="126"/>
      <c r="V159" s="49">
        <f t="shared" si="14"/>
        <v>0</v>
      </c>
      <c r="W159" s="89">
        <f t="shared" si="15"/>
        <v>0</v>
      </c>
      <c r="X159" s="87">
        <f t="shared" si="17"/>
        <v>0</v>
      </c>
      <c r="Y159" s="89">
        <f t="shared" si="16"/>
        <v>0</v>
      </c>
    </row>
    <row r="160" spans="1:25" x14ac:dyDescent="0.3">
      <c r="A160" s="122">
        <v>143</v>
      </c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51"/>
      <c r="N160" s="51"/>
      <c r="O160" s="51"/>
      <c r="P160" s="51"/>
      <c r="Q160" s="51"/>
      <c r="R160" s="51"/>
      <c r="S160" s="51"/>
      <c r="T160" s="126"/>
      <c r="U160" s="126"/>
      <c r="V160" s="49">
        <f t="shared" si="14"/>
        <v>0</v>
      </c>
      <c r="W160" s="89">
        <f t="shared" si="15"/>
        <v>0</v>
      </c>
      <c r="X160" s="87">
        <f t="shared" si="17"/>
        <v>0</v>
      </c>
      <c r="Y160" s="89">
        <f t="shared" si="16"/>
        <v>0</v>
      </c>
    </row>
    <row r="161" spans="1:25" x14ac:dyDescent="0.3">
      <c r="A161" s="122">
        <v>144</v>
      </c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51"/>
      <c r="N161" s="51"/>
      <c r="O161" s="51"/>
      <c r="P161" s="51"/>
      <c r="Q161" s="51"/>
      <c r="R161" s="51"/>
      <c r="S161" s="51"/>
      <c r="T161" s="126"/>
      <c r="U161" s="126"/>
      <c r="V161" s="49">
        <f t="shared" si="14"/>
        <v>0</v>
      </c>
      <c r="W161" s="89">
        <f t="shared" si="15"/>
        <v>0</v>
      </c>
      <c r="X161" s="87">
        <f t="shared" si="17"/>
        <v>0</v>
      </c>
      <c r="Y161" s="89">
        <f t="shared" si="16"/>
        <v>0</v>
      </c>
    </row>
    <row r="162" spans="1:25" x14ac:dyDescent="0.3">
      <c r="A162" s="122">
        <v>145</v>
      </c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51"/>
      <c r="N162" s="51"/>
      <c r="O162" s="51"/>
      <c r="P162" s="51"/>
      <c r="Q162" s="51"/>
      <c r="R162" s="51"/>
      <c r="S162" s="51"/>
      <c r="T162" s="126"/>
      <c r="U162" s="126"/>
      <c r="V162" s="49">
        <f t="shared" si="14"/>
        <v>0</v>
      </c>
      <c r="W162" s="89">
        <f t="shared" si="15"/>
        <v>0</v>
      </c>
      <c r="X162" s="87">
        <f t="shared" si="17"/>
        <v>0</v>
      </c>
      <c r="Y162" s="89">
        <f t="shared" si="16"/>
        <v>0</v>
      </c>
    </row>
    <row r="163" spans="1:25" x14ac:dyDescent="0.3">
      <c r="A163" s="122">
        <v>146</v>
      </c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51"/>
      <c r="N163" s="51"/>
      <c r="O163" s="51"/>
      <c r="P163" s="51"/>
      <c r="Q163" s="51"/>
      <c r="R163" s="51"/>
      <c r="S163" s="51"/>
      <c r="T163" s="126"/>
      <c r="U163" s="126"/>
      <c r="V163" s="49">
        <f t="shared" si="14"/>
        <v>0</v>
      </c>
      <c r="W163" s="89">
        <f t="shared" si="15"/>
        <v>0</v>
      </c>
      <c r="X163" s="87">
        <f t="shared" si="17"/>
        <v>0</v>
      </c>
      <c r="Y163" s="89">
        <f t="shared" si="16"/>
        <v>0</v>
      </c>
    </row>
    <row r="164" spans="1:25" x14ac:dyDescent="0.3">
      <c r="A164" s="122">
        <v>147</v>
      </c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51"/>
      <c r="N164" s="51"/>
      <c r="O164" s="51"/>
      <c r="P164" s="51"/>
      <c r="Q164" s="51"/>
      <c r="R164" s="51"/>
      <c r="S164" s="51"/>
      <c r="T164" s="126"/>
      <c r="U164" s="126"/>
      <c r="V164" s="49">
        <f t="shared" si="14"/>
        <v>0</v>
      </c>
      <c r="W164" s="89">
        <f t="shared" si="15"/>
        <v>0</v>
      </c>
      <c r="X164" s="87">
        <f t="shared" si="17"/>
        <v>0</v>
      </c>
      <c r="Y164" s="89">
        <f t="shared" si="16"/>
        <v>0</v>
      </c>
    </row>
    <row r="165" spans="1:25" x14ac:dyDescent="0.3">
      <c r="A165" s="122">
        <v>148</v>
      </c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51"/>
      <c r="N165" s="51"/>
      <c r="O165" s="51"/>
      <c r="P165" s="51"/>
      <c r="Q165" s="51"/>
      <c r="R165" s="51"/>
      <c r="S165" s="51"/>
      <c r="T165" s="126"/>
      <c r="U165" s="126"/>
      <c r="V165" s="49">
        <f t="shared" si="14"/>
        <v>0</v>
      </c>
      <c r="W165" s="89">
        <f t="shared" si="15"/>
        <v>0</v>
      </c>
      <c r="X165" s="87">
        <f t="shared" si="17"/>
        <v>0</v>
      </c>
      <c r="Y165" s="89">
        <f t="shared" si="16"/>
        <v>0</v>
      </c>
    </row>
    <row r="166" spans="1:25" x14ac:dyDescent="0.3">
      <c r="A166" s="122">
        <v>149</v>
      </c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51"/>
      <c r="N166" s="51"/>
      <c r="O166" s="51"/>
      <c r="P166" s="51"/>
      <c r="Q166" s="51"/>
      <c r="R166" s="51"/>
      <c r="S166" s="51"/>
      <c r="T166" s="126"/>
      <c r="U166" s="126"/>
      <c r="V166" s="49">
        <f t="shared" si="14"/>
        <v>0</v>
      </c>
      <c r="W166" s="89">
        <f t="shared" si="15"/>
        <v>0</v>
      </c>
      <c r="X166" s="87">
        <f t="shared" si="17"/>
        <v>0</v>
      </c>
      <c r="Y166" s="89">
        <f t="shared" si="16"/>
        <v>0</v>
      </c>
    </row>
    <row r="167" spans="1:25" x14ac:dyDescent="0.3">
      <c r="A167" s="122">
        <v>150</v>
      </c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51"/>
      <c r="N167" s="51"/>
      <c r="O167" s="51"/>
      <c r="P167" s="51"/>
      <c r="Q167" s="51"/>
      <c r="R167" s="51"/>
      <c r="S167" s="51"/>
      <c r="T167" s="126"/>
      <c r="U167" s="126"/>
      <c r="V167" s="49">
        <f t="shared" si="14"/>
        <v>0</v>
      </c>
      <c r="W167" s="89">
        <f t="shared" si="15"/>
        <v>0</v>
      </c>
      <c r="X167" s="87">
        <f t="shared" si="17"/>
        <v>0</v>
      </c>
      <c r="Y167" s="89">
        <f t="shared" si="16"/>
        <v>0</v>
      </c>
    </row>
    <row r="168" spans="1:25" x14ac:dyDescent="0.3">
      <c r="A168" s="122">
        <v>151</v>
      </c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51"/>
      <c r="N168" s="51"/>
      <c r="O168" s="51"/>
      <c r="P168" s="51"/>
      <c r="Q168" s="51"/>
      <c r="R168" s="51"/>
      <c r="S168" s="51"/>
      <c r="T168" s="126"/>
      <c r="U168" s="126"/>
      <c r="V168" s="49">
        <f t="shared" si="14"/>
        <v>0</v>
      </c>
      <c r="W168" s="89">
        <f t="shared" si="15"/>
        <v>0</v>
      </c>
      <c r="X168" s="87">
        <f t="shared" si="17"/>
        <v>0</v>
      </c>
      <c r="Y168" s="89">
        <f t="shared" si="16"/>
        <v>0</v>
      </c>
    </row>
    <row r="169" spans="1:25" x14ac:dyDescent="0.3">
      <c r="A169" s="122">
        <v>152</v>
      </c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51"/>
      <c r="N169" s="51"/>
      <c r="O169" s="51"/>
      <c r="P169" s="51"/>
      <c r="Q169" s="51"/>
      <c r="R169" s="51"/>
      <c r="S169" s="51"/>
      <c r="T169" s="126"/>
      <c r="U169" s="126"/>
      <c r="V169" s="49">
        <f t="shared" si="14"/>
        <v>0</v>
      </c>
      <c r="W169" s="89">
        <f t="shared" si="15"/>
        <v>0</v>
      </c>
      <c r="X169" s="87">
        <f t="shared" si="17"/>
        <v>0</v>
      </c>
      <c r="Y169" s="89">
        <f t="shared" si="16"/>
        <v>0</v>
      </c>
    </row>
    <row r="170" spans="1:25" x14ac:dyDescent="0.3">
      <c r="A170" s="122">
        <v>153</v>
      </c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51"/>
      <c r="N170" s="51"/>
      <c r="O170" s="51"/>
      <c r="P170" s="51"/>
      <c r="Q170" s="51"/>
      <c r="R170" s="51"/>
      <c r="S170" s="51"/>
      <c r="T170" s="126"/>
      <c r="U170" s="126"/>
      <c r="V170" s="49">
        <f t="shared" si="14"/>
        <v>0</v>
      </c>
      <c r="W170" s="89">
        <f t="shared" si="15"/>
        <v>0</v>
      </c>
      <c r="X170" s="87">
        <f t="shared" si="17"/>
        <v>0</v>
      </c>
      <c r="Y170" s="89">
        <f t="shared" si="16"/>
        <v>0</v>
      </c>
    </row>
    <row r="171" spans="1:25" x14ac:dyDescent="0.3">
      <c r="A171" s="122">
        <v>154</v>
      </c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51"/>
      <c r="N171" s="51"/>
      <c r="O171" s="51"/>
      <c r="P171" s="51"/>
      <c r="Q171" s="51"/>
      <c r="R171" s="51"/>
      <c r="S171" s="51"/>
      <c r="T171" s="126"/>
      <c r="U171" s="126"/>
      <c r="V171" s="49">
        <f t="shared" si="14"/>
        <v>0</v>
      </c>
      <c r="W171" s="89">
        <f t="shared" si="15"/>
        <v>0</v>
      </c>
      <c r="X171" s="87">
        <f t="shared" si="17"/>
        <v>0</v>
      </c>
      <c r="Y171" s="89">
        <f t="shared" si="16"/>
        <v>0</v>
      </c>
    </row>
    <row r="172" spans="1:25" x14ac:dyDescent="0.3">
      <c r="A172" s="122">
        <v>155</v>
      </c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51"/>
      <c r="N172" s="51"/>
      <c r="O172" s="51"/>
      <c r="P172" s="51"/>
      <c r="Q172" s="51"/>
      <c r="R172" s="51"/>
      <c r="S172" s="51"/>
      <c r="T172" s="126"/>
      <c r="U172" s="126"/>
      <c r="V172" s="49">
        <f t="shared" si="14"/>
        <v>0</v>
      </c>
      <c r="W172" s="89">
        <f t="shared" si="15"/>
        <v>0</v>
      </c>
      <c r="X172" s="87">
        <f t="shared" si="17"/>
        <v>0</v>
      </c>
      <c r="Y172" s="89">
        <f t="shared" si="16"/>
        <v>0</v>
      </c>
    </row>
    <row r="173" spans="1:25" x14ac:dyDescent="0.3">
      <c r="A173" s="122">
        <v>156</v>
      </c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51"/>
      <c r="N173" s="51"/>
      <c r="O173" s="51"/>
      <c r="P173" s="51"/>
      <c r="Q173" s="51"/>
      <c r="R173" s="51"/>
      <c r="S173" s="51"/>
      <c r="T173" s="126"/>
      <c r="U173" s="126"/>
      <c r="V173" s="49">
        <f t="shared" si="14"/>
        <v>0</v>
      </c>
      <c r="W173" s="89">
        <f t="shared" si="15"/>
        <v>0</v>
      </c>
      <c r="X173" s="87">
        <f t="shared" si="17"/>
        <v>0</v>
      </c>
      <c r="Y173" s="89">
        <f t="shared" si="16"/>
        <v>0</v>
      </c>
    </row>
    <row r="174" spans="1:25" x14ac:dyDescent="0.3">
      <c r="A174" s="122">
        <v>157</v>
      </c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51"/>
      <c r="N174" s="51"/>
      <c r="O174" s="51"/>
      <c r="P174" s="51"/>
      <c r="Q174" s="51"/>
      <c r="R174" s="51"/>
      <c r="S174" s="51"/>
      <c r="T174" s="126"/>
      <c r="U174" s="126"/>
      <c r="V174" s="49">
        <f t="shared" si="14"/>
        <v>0</v>
      </c>
      <c r="W174" s="89">
        <f t="shared" si="15"/>
        <v>0</v>
      </c>
      <c r="X174" s="87">
        <f t="shared" si="17"/>
        <v>0</v>
      </c>
      <c r="Y174" s="89">
        <f t="shared" si="16"/>
        <v>0</v>
      </c>
    </row>
    <row r="175" spans="1:25" x14ac:dyDescent="0.3">
      <c r="A175" s="122">
        <v>158</v>
      </c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51"/>
      <c r="N175" s="51"/>
      <c r="O175" s="51"/>
      <c r="P175" s="51"/>
      <c r="Q175" s="51"/>
      <c r="R175" s="51"/>
      <c r="S175" s="51"/>
      <c r="T175" s="126"/>
      <c r="U175" s="126"/>
      <c r="V175" s="49">
        <f t="shared" si="14"/>
        <v>0</v>
      </c>
      <c r="W175" s="89">
        <f t="shared" si="15"/>
        <v>0</v>
      </c>
      <c r="X175" s="87">
        <f t="shared" si="17"/>
        <v>0</v>
      </c>
      <c r="Y175" s="89">
        <f t="shared" si="16"/>
        <v>0</v>
      </c>
    </row>
    <row r="176" spans="1:25" x14ac:dyDescent="0.3">
      <c r="A176" s="122">
        <v>159</v>
      </c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51"/>
      <c r="N176" s="51"/>
      <c r="O176" s="51"/>
      <c r="P176" s="51"/>
      <c r="Q176" s="51"/>
      <c r="R176" s="51"/>
      <c r="S176" s="51"/>
      <c r="T176" s="126"/>
      <c r="U176" s="126"/>
      <c r="V176" s="49">
        <f t="shared" si="14"/>
        <v>0</v>
      </c>
      <c r="W176" s="89">
        <f t="shared" si="15"/>
        <v>0</v>
      </c>
      <c r="X176" s="87">
        <f t="shared" si="17"/>
        <v>0</v>
      </c>
      <c r="Y176" s="89">
        <f t="shared" si="16"/>
        <v>0</v>
      </c>
    </row>
    <row r="177" spans="1:25" x14ac:dyDescent="0.3">
      <c r="A177" s="122">
        <v>160</v>
      </c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51"/>
      <c r="N177" s="51"/>
      <c r="O177" s="51"/>
      <c r="P177" s="51"/>
      <c r="Q177" s="51"/>
      <c r="R177" s="51"/>
      <c r="S177" s="51"/>
      <c r="T177" s="126"/>
      <c r="U177" s="126"/>
      <c r="V177" s="49">
        <f t="shared" si="14"/>
        <v>0</v>
      </c>
      <c r="W177" s="89">
        <f t="shared" si="15"/>
        <v>0</v>
      </c>
      <c r="X177" s="87">
        <f t="shared" si="17"/>
        <v>0</v>
      </c>
      <c r="Y177" s="89">
        <f t="shared" si="16"/>
        <v>0</v>
      </c>
    </row>
    <row r="178" spans="1:25" x14ac:dyDescent="0.3">
      <c r="A178" s="122">
        <v>161</v>
      </c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51"/>
      <c r="N178" s="51"/>
      <c r="O178" s="51"/>
      <c r="P178" s="51"/>
      <c r="Q178" s="51"/>
      <c r="R178" s="51"/>
      <c r="S178" s="51"/>
      <c r="T178" s="126"/>
      <c r="U178" s="126"/>
      <c r="V178" s="49">
        <f t="shared" si="14"/>
        <v>0</v>
      </c>
      <c r="W178" s="89">
        <f t="shared" si="15"/>
        <v>0</v>
      </c>
      <c r="X178" s="87">
        <f t="shared" si="17"/>
        <v>0</v>
      </c>
      <c r="Y178" s="89">
        <f t="shared" si="16"/>
        <v>0</v>
      </c>
    </row>
    <row r="179" spans="1:25" x14ac:dyDescent="0.3">
      <c r="A179" s="122">
        <v>162</v>
      </c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51"/>
      <c r="N179" s="51"/>
      <c r="O179" s="51"/>
      <c r="P179" s="51"/>
      <c r="Q179" s="51"/>
      <c r="R179" s="51"/>
      <c r="S179" s="51"/>
      <c r="T179" s="126"/>
      <c r="U179" s="126"/>
      <c r="V179" s="49">
        <f t="shared" si="14"/>
        <v>0</v>
      </c>
      <c r="W179" s="89">
        <f t="shared" si="15"/>
        <v>0</v>
      </c>
      <c r="X179" s="87">
        <f t="shared" si="17"/>
        <v>0</v>
      </c>
      <c r="Y179" s="89">
        <f t="shared" si="16"/>
        <v>0</v>
      </c>
    </row>
    <row r="180" spans="1:25" x14ac:dyDescent="0.3">
      <c r="A180" s="122">
        <v>163</v>
      </c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51"/>
      <c r="N180" s="51"/>
      <c r="O180" s="51"/>
      <c r="P180" s="51"/>
      <c r="Q180" s="51"/>
      <c r="R180" s="51"/>
      <c r="S180" s="51"/>
      <c r="T180" s="126"/>
      <c r="U180" s="126"/>
      <c r="V180" s="49">
        <f t="shared" si="14"/>
        <v>0</v>
      </c>
      <c r="W180" s="89">
        <f t="shared" si="15"/>
        <v>0</v>
      </c>
      <c r="X180" s="87">
        <f t="shared" si="17"/>
        <v>0</v>
      </c>
      <c r="Y180" s="89">
        <f t="shared" si="16"/>
        <v>0</v>
      </c>
    </row>
    <row r="181" spans="1:25" x14ac:dyDescent="0.3">
      <c r="A181" s="122">
        <v>164</v>
      </c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51"/>
      <c r="N181" s="51"/>
      <c r="O181" s="51"/>
      <c r="P181" s="51"/>
      <c r="Q181" s="51"/>
      <c r="R181" s="51"/>
      <c r="S181" s="51"/>
      <c r="T181" s="126"/>
      <c r="U181" s="126"/>
      <c r="V181" s="49">
        <f t="shared" si="14"/>
        <v>0</v>
      </c>
      <c r="W181" s="89">
        <f t="shared" si="15"/>
        <v>0</v>
      </c>
      <c r="X181" s="87">
        <f t="shared" si="17"/>
        <v>0</v>
      </c>
      <c r="Y181" s="89">
        <f t="shared" si="16"/>
        <v>0</v>
      </c>
    </row>
    <row r="182" spans="1:25" x14ac:dyDescent="0.3">
      <c r="A182" s="122">
        <v>165</v>
      </c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51"/>
      <c r="N182" s="51"/>
      <c r="O182" s="51"/>
      <c r="P182" s="51"/>
      <c r="Q182" s="51"/>
      <c r="R182" s="51"/>
      <c r="S182" s="51"/>
      <c r="T182" s="126"/>
      <c r="U182" s="126"/>
      <c r="V182" s="49">
        <f t="shared" si="14"/>
        <v>0</v>
      </c>
      <c r="W182" s="89">
        <f t="shared" si="15"/>
        <v>0</v>
      </c>
      <c r="X182" s="87">
        <f t="shared" si="17"/>
        <v>0</v>
      </c>
      <c r="Y182" s="89">
        <f t="shared" si="16"/>
        <v>0</v>
      </c>
    </row>
    <row r="183" spans="1:25" x14ac:dyDescent="0.3">
      <c r="A183" s="122">
        <v>166</v>
      </c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51"/>
      <c r="N183" s="51"/>
      <c r="O183" s="51"/>
      <c r="P183" s="51"/>
      <c r="Q183" s="51"/>
      <c r="R183" s="51"/>
      <c r="S183" s="51"/>
      <c r="T183" s="126"/>
      <c r="U183" s="126"/>
      <c r="V183" s="49">
        <f t="shared" si="14"/>
        <v>0</v>
      </c>
      <c r="W183" s="89">
        <f t="shared" si="15"/>
        <v>0</v>
      </c>
      <c r="X183" s="87">
        <f t="shared" si="17"/>
        <v>0</v>
      </c>
      <c r="Y183" s="89">
        <f t="shared" si="16"/>
        <v>0</v>
      </c>
    </row>
    <row r="184" spans="1:25" x14ac:dyDescent="0.3">
      <c r="A184" s="122">
        <v>167</v>
      </c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51"/>
      <c r="N184" s="51"/>
      <c r="O184" s="51"/>
      <c r="P184" s="51"/>
      <c r="Q184" s="51"/>
      <c r="R184" s="51"/>
      <c r="S184" s="51"/>
      <c r="T184" s="126"/>
      <c r="U184" s="126"/>
      <c r="V184" s="49">
        <f t="shared" si="14"/>
        <v>0</v>
      </c>
      <c r="W184" s="89">
        <f t="shared" si="15"/>
        <v>0</v>
      </c>
      <c r="X184" s="87">
        <f t="shared" si="17"/>
        <v>0</v>
      </c>
      <c r="Y184" s="89">
        <f t="shared" si="16"/>
        <v>0</v>
      </c>
    </row>
    <row r="185" spans="1:25" x14ac:dyDescent="0.3">
      <c r="A185" s="122">
        <v>168</v>
      </c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51"/>
      <c r="N185" s="51"/>
      <c r="O185" s="51"/>
      <c r="P185" s="51"/>
      <c r="Q185" s="51"/>
      <c r="R185" s="51"/>
      <c r="S185" s="51"/>
      <c r="T185" s="126"/>
      <c r="U185" s="126"/>
      <c r="V185" s="49">
        <f t="shared" si="14"/>
        <v>0</v>
      </c>
      <c r="W185" s="89">
        <f t="shared" si="15"/>
        <v>0</v>
      </c>
      <c r="X185" s="87">
        <f t="shared" si="17"/>
        <v>0</v>
      </c>
      <c r="Y185" s="89">
        <f t="shared" si="16"/>
        <v>0</v>
      </c>
    </row>
    <row r="186" spans="1:25" x14ac:dyDescent="0.3">
      <c r="A186" s="122">
        <v>169</v>
      </c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51"/>
      <c r="N186" s="51"/>
      <c r="O186" s="51"/>
      <c r="P186" s="51"/>
      <c r="Q186" s="51"/>
      <c r="R186" s="51"/>
      <c r="S186" s="51"/>
      <c r="T186" s="126"/>
      <c r="U186" s="126"/>
      <c r="V186" s="49">
        <f t="shared" si="14"/>
        <v>0</v>
      </c>
      <c r="W186" s="89">
        <f t="shared" si="15"/>
        <v>0</v>
      </c>
      <c r="X186" s="87">
        <f t="shared" si="17"/>
        <v>0</v>
      </c>
      <c r="Y186" s="89">
        <f t="shared" si="16"/>
        <v>0</v>
      </c>
    </row>
    <row r="187" spans="1:25" x14ac:dyDescent="0.3">
      <c r="A187" s="122">
        <v>170</v>
      </c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51"/>
      <c r="N187" s="51"/>
      <c r="O187" s="51"/>
      <c r="P187" s="51"/>
      <c r="Q187" s="51"/>
      <c r="R187" s="51"/>
      <c r="S187" s="51"/>
      <c r="T187" s="126"/>
      <c r="U187" s="126"/>
      <c r="V187" s="49">
        <f t="shared" si="14"/>
        <v>0</v>
      </c>
      <c r="W187" s="89">
        <f t="shared" si="15"/>
        <v>0</v>
      </c>
      <c r="X187" s="87">
        <f t="shared" si="17"/>
        <v>0</v>
      </c>
      <c r="Y187" s="89">
        <f t="shared" si="16"/>
        <v>0</v>
      </c>
    </row>
    <row r="188" spans="1:25" x14ac:dyDescent="0.3">
      <c r="A188" s="122">
        <v>171</v>
      </c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51"/>
      <c r="N188" s="51"/>
      <c r="O188" s="51"/>
      <c r="P188" s="51"/>
      <c r="Q188" s="51"/>
      <c r="R188" s="51"/>
      <c r="S188" s="51"/>
      <c r="T188" s="126"/>
      <c r="U188" s="126"/>
      <c r="V188" s="49">
        <f t="shared" si="14"/>
        <v>0</v>
      </c>
      <c r="W188" s="89">
        <f t="shared" si="15"/>
        <v>0</v>
      </c>
      <c r="X188" s="87">
        <f t="shared" si="17"/>
        <v>0</v>
      </c>
      <c r="Y188" s="89">
        <f t="shared" si="16"/>
        <v>0</v>
      </c>
    </row>
    <row r="189" spans="1:25" x14ac:dyDescent="0.3">
      <c r="A189" s="122">
        <v>172</v>
      </c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51"/>
      <c r="N189" s="51"/>
      <c r="O189" s="51"/>
      <c r="P189" s="51"/>
      <c r="Q189" s="51"/>
      <c r="R189" s="51"/>
      <c r="S189" s="51"/>
      <c r="T189" s="126"/>
      <c r="U189" s="126"/>
      <c r="V189" s="49">
        <f t="shared" si="14"/>
        <v>0</v>
      </c>
      <c r="W189" s="89">
        <f t="shared" si="15"/>
        <v>0</v>
      </c>
      <c r="X189" s="87">
        <f t="shared" si="17"/>
        <v>0</v>
      </c>
      <c r="Y189" s="89">
        <f t="shared" si="16"/>
        <v>0</v>
      </c>
    </row>
    <row r="190" spans="1:25" x14ac:dyDescent="0.3">
      <c r="A190" s="122">
        <v>173</v>
      </c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51"/>
      <c r="N190" s="51"/>
      <c r="O190" s="51"/>
      <c r="P190" s="51"/>
      <c r="Q190" s="51"/>
      <c r="R190" s="51"/>
      <c r="S190" s="51"/>
      <c r="T190" s="126"/>
      <c r="U190" s="126"/>
      <c r="V190" s="49">
        <f t="shared" si="14"/>
        <v>0</v>
      </c>
      <c r="W190" s="89">
        <f t="shared" si="15"/>
        <v>0</v>
      </c>
      <c r="X190" s="87">
        <f t="shared" si="17"/>
        <v>0</v>
      </c>
      <c r="Y190" s="89">
        <f t="shared" si="16"/>
        <v>0</v>
      </c>
    </row>
    <row r="191" spans="1:25" x14ac:dyDescent="0.3">
      <c r="A191" s="122">
        <v>174</v>
      </c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51"/>
      <c r="N191" s="51"/>
      <c r="O191" s="51"/>
      <c r="P191" s="51"/>
      <c r="Q191" s="51"/>
      <c r="R191" s="51"/>
      <c r="S191" s="51"/>
      <c r="T191" s="126"/>
      <c r="U191" s="126"/>
      <c r="V191" s="49">
        <f t="shared" si="14"/>
        <v>0</v>
      </c>
      <c r="W191" s="89">
        <f t="shared" si="15"/>
        <v>0</v>
      </c>
      <c r="X191" s="87">
        <f t="shared" si="17"/>
        <v>0</v>
      </c>
      <c r="Y191" s="89">
        <f t="shared" si="16"/>
        <v>0</v>
      </c>
    </row>
    <row r="192" spans="1:25" x14ac:dyDescent="0.3">
      <c r="A192" s="122">
        <v>175</v>
      </c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51"/>
      <c r="N192" s="51"/>
      <c r="O192" s="51"/>
      <c r="P192" s="51"/>
      <c r="Q192" s="51"/>
      <c r="R192" s="51"/>
      <c r="S192" s="51"/>
      <c r="T192" s="126"/>
      <c r="U192" s="126"/>
      <c r="V192" s="49">
        <f t="shared" si="14"/>
        <v>0</v>
      </c>
      <c r="W192" s="89">
        <f t="shared" si="15"/>
        <v>0</v>
      </c>
      <c r="X192" s="87">
        <f t="shared" si="17"/>
        <v>0</v>
      </c>
      <c r="Y192" s="89">
        <f t="shared" si="16"/>
        <v>0</v>
      </c>
    </row>
    <row r="193" spans="1:25" x14ac:dyDescent="0.3">
      <c r="A193" s="122">
        <v>176</v>
      </c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51"/>
      <c r="N193" s="51"/>
      <c r="O193" s="51"/>
      <c r="P193" s="51"/>
      <c r="Q193" s="51"/>
      <c r="R193" s="51"/>
      <c r="S193" s="51"/>
      <c r="T193" s="126"/>
      <c r="U193" s="126"/>
      <c r="V193" s="49">
        <f t="shared" si="14"/>
        <v>0</v>
      </c>
      <c r="W193" s="89">
        <f t="shared" si="15"/>
        <v>0</v>
      </c>
      <c r="X193" s="87">
        <f t="shared" si="17"/>
        <v>0</v>
      </c>
      <c r="Y193" s="89">
        <f t="shared" si="16"/>
        <v>0</v>
      </c>
    </row>
    <row r="194" spans="1:25" x14ac:dyDescent="0.3">
      <c r="A194" s="122">
        <v>177</v>
      </c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51"/>
      <c r="N194" s="51"/>
      <c r="O194" s="51"/>
      <c r="P194" s="51"/>
      <c r="Q194" s="51"/>
      <c r="R194" s="51"/>
      <c r="S194" s="51"/>
      <c r="T194" s="126"/>
      <c r="U194" s="126"/>
      <c r="V194" s="49">
        <f t="shared" si="14"/>
        <v>0</v>
      </c>
      <c r="W194" s="89">
        <f t="shared" si="15"/>
        <v>0</v>
      </c>
      <c r="X194" s="87">
        <f t="shared" si="17"/>
        <v>0</v>
      </c>
      <c r="Y194" s="89">
        <f t="shared" si="16"/>
        <v>0</v>
      </c>
    </row>
    <row r="195" spans="1:25" x14ac:dyDescent="0.3">
      <c r="A195" s="122">
        <v>178</v>
      </c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51"/>
      <c r="N195" s="51"/>
      <c r="O195" s="51"/>
      <c r="P195" s="51"/>
      <c r="Q195" s="51"/>
      <c r="R195" s="51"/>
      <c r="S195" s="51"/>
      <c r="T195" s="126"/>
      <c r="U195" s="126"/>
      <c r="V195" s="49">
        <f t="shared" si="14"/>
        <v>0</v>
      </c>
      <c r="W195" s="89">
        <f t="shared" si="15"/>
        <v>0</v>
      </c>
      <c r="X195" s="87">
        <f t="shared" si="17"/>
        <v>0</v>
      </c>
      <c r="Y195" s="89">
        <f t="shared" si="16"/>
        <v>0</v>
      </c>
    </row>
    <row r="196" spans="1:25" x14ac:dyDescent="0.3">
      <c r="A196" s="122">
        <v>179</v>
      </c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51"/>
      <c r="N196" s="51"/>
      <c r="O196" s="51"/>
      <c r="P196" s="51"/>
      <c r="Q196" s="51"/>
      <c r="R196" s="51"/>
      <c r="S196" s="51"/>
      <c r="T196" s="126"/>
      <c r="U196" s="126"/>
      <c r="V196" s="49">
        <f t="shared" si="14"/>
        <v>0</v>
      </c>
      <c r="W196" s="89">
        <f t="shared" si="15"/>
        <v>0</v>
      </c>
      <c r="X196" s="87">
        <f t="shared" si="17"/>
        <v>0</v>
      </c>
      <c r="Y196" s="89">
        <f t="shared" si="16"/>
        <v>0</v>
      </c>
    </row>
    <row r="197" spans="1:25" x14ac:dyDescent="0.3">
      <c r="A197" s="122">
        <v>180</v>
      </c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51"/>
      <c r="N197" s="51"/>
      <c r="O197" s="51"/>
      <c r="P197" s="51"/>
      <c r="Q197" s="51"/>
      <c r="R197" s="51"/>
      <c r="S197" s="51"/>
      <c r="T197" s="126"/>
      <c r="U197" s="126"/>
      <c r="V197" s="49">
        <f t="shared" si="14"/>
        <v>0</v>
      </c>
      <c r="W197" s="89">
        <f t="shared" si="15"/>
        <v>0</v>
      </c>
      <c r="X197" s="87">
        <f t="shared" si="17"/>
        <v>0</v>
      </c>
      <c r="Y197" s="89">
        <f t="shared" si="16"/>
        <v>0</v>
      </c>
    </row>
    <row r="198" spans="1:25" x14ac:dyDescent="0.3">
      <c r="A198" s="122">
        <v>181</v>
      </c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51"/>
      <c r="N198" s="51"/>
      <c r="O198" s="51"/>
      <c r="P198" s="51"/>
      <c r="Q198" s="51"/>
      <c r="R198" s="51"/>
      <c r="S198" s="51"/>
      <c r="T198" s="126"/>
      <c r="U198" s="126"/>
      <c r="V198" s="49">
        <f t="shared" si="14"/>
        <v>0</v>
      </c>
      <c r="W198" s="89">
        <f t="shared" si="15"/>
        <v>0</v>
      </c>
      <c r="X198" s="87">
        <f t="shared" si="17"/>
        <v>0</v>
      </c>
      <c r="Y198" s="89">
        <f t="shared" si="16"/>
        <v>0</v>
      </c>
    </row>
    <row r="199" spans="1:25" x14ac:dyDescent="0.3">
      <c r="A199" s="122">
        <v>182</v>
      </c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51"/>
      <c r="N199" s="51"/>
      <c r="O199" s="51"/>
      <c r="P199" s="51"/>
      <c r="Q199" s="51"/>
      <c r="R199" s="51"/>
      <c r="S199" s="51"/>
      <c r="T199" s="126"/>
      <c r="U199" s="126"/>
      <c r="V199" s="49">
        <f t="shared" si="14"/>
        <v>0</v>
      </c>
      <c r="W199" s="89">
        <f t="shared" si="15"/>
        <v>0</v>
      </c>
      <c r="X199" s="87">
        <f t="shared" si="17"/>
        <v>0</v>
      </c>
      <c r="Y199" s="89">
        <f t="shared" si="16"/>
        <v>0</v>
      </c>
    </row>
    <row r="200" spans="1:25" x14ac:dyDescent="0.3">
      <c r="A200" s="122">
        <v>183</v>
      </c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51"/>
      <c r="N200" s="51"/>
      <c r="O200" s="51"/>
      <c r="P200" s="51"/>
      <c r="Q200" s="51"/>
      <c r="R200" s="51"/>
      <c r="S200" s="51"/>
      <c r="T200" s="126"/>
      <c r="U200" s="126"/>
      <c r="V200" s="49">
        <f t="shared" si="14"/>
        <v>0</v>
      </c>
      <c r="W200" s="89">
        <f t="shared" si="15"/>
        <v>0</v>
      </c>
      <c r="X200" s="87">
        <f t="shared" si="17"/>
        <v>0</v>
      </c>
      <c r="Y200" s="89">
        <f t="shared" si="16"/>
        <v>0</v>
      </c>
    </row>
    <row r="201" spans="1:25" x14ac:dyDescent="0.3">
      <c r="A201" s="122">
        <v>184</v>
      </c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51"/>
      <c r="N201" s="51"/>
      <c r="O201" s="51"/>
      <c r="P201" s="51"/>
      <c r="Q201" s="51"/>
      <c r="R201" s="51"/>
      <c r="S201" s="51"/>
      <c r="T201" s="126"/>
      <c r="U201" s="126"/>
      <c r="V201" s="49">
        <f t="shared" si="14"/>
        <v>0</v>
      </c>
      <c r="W201" s="89">
        <f t="shared" si="15"/>
        <v>0</v>
      </c>
      <c r="X201" s="87">
        <f t="shared" si="17"/>
        <v>0</v>
      </c>
      <c r="Y201" s="89">
        <f t="shared" si="16"/>
        <v>0</v>
      </c>
    </row>
    <row r="202" spans="1:25" x14ac:dyDescent="0.3">
      <c r="A202" s="122">
        <v>185</v>
      </c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51"/>
      <c r="N202" s="51"/>
      <c r="O202" s="51"/>
      <c r="P202" s="51"/>
      <c r="Q202" s="51"/>
      <c r="R202" s="51"/>
      <c r="S202" s="51"/>
      <c r="T202" s="126"/>
      <c r="U202" s="126"/>
      <c r="V202" s="49">
        <f t="shared" si="14"/>
        <v>0</v>
      </c>
      <c r="W202" s="89">
        <f t="shared" si="15"/>
        <v>0</v>
      </c>
      <c r="X202" s="87">
        <f t="shared" si="17"/>
        <v>0</v>
      </c>
      <c r="Y202" s="89">
        <f t="shared" si="16"/>
        <v>0</v>
      </c>
    </row>
    <row r="203" spans="1:25" x14ac:dyDescent="0.3">
      <c r="A203" s="122">
        <v>186</v>
      </c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51"/>
      <c r="N203" s="51"/>
      <c r="O203" s="51"/>
      <c r="P203" s="51"/>
      <c r="Q203" s="51"/>
      <c r="R203" s="51"/>
      <c r="S203" s="51"/>
      <c r="T203" s="126"/>
      <c r="U203" s="126"/>
      <c r="V203" s="49">
        <f t="shared" si="14"/>
        <v>0</v>
      </c>
      <c r="W203" s="89">
        <f t="shared" si="15"/>
        <v>0</v>
      </c>
      <c r="X203" s="87">
        <f t="shared" si="17"/>
        <v>0</v>
      </c>
      <c r="Y203" s="89">
        <f t="shared" si="16"/>
        <v>0</v>
      </c>
    </row>
    <row r="204" spans="1:25" x14ac:dyDescent="0.3">
      <c r="A204" s="122">
        <v>187</v>
      </c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51"/>
      <c r="N204" s="51"/>
      <c r="O204" s="51"/>
      <c r="P204" s="51"/>
      <c r="Q204" s="51"/>
      <c r="R204" s="51"/>
      <c r="S204" s="51"/>
      <c r="T204" s="126"/>
      <c r="U204" s="126"/>
      <c r="V204" s="49">
        <f t="shared" si="14"/>
        <v>0</v>
      </c>
      <c r="W204" s="89">
        <f t="shared" si="15"/>
        <v>0</v>
      </c>
      <c r="X204" s="87">
        <f t="shared" si="17"/>
        <v>0</v>
      </c>
      <c r="Y204" s="89">
        <f t="shared" si="16"/>
        <v>0</v>
      </c>
    </row>
    <row r="205" spans="1:25" x14ac:dyDescent="0.3">
      <c r="A205" s="122">
        <v>188</v>
      </c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51"/>
      <c r="N205" s="51"/>
      <c r="O205" s="51"/>
      <c r="P205" s="51"/>
      <c r="Q205" s="51"/>
      <c r="R205" s="51"/>
      <c r="S205" s="51"/>
      <c r="T205" s="126"/>
      <c r="U205" s="126"/>
      <c r="V205" s="49">
        <f t="shared" si="14"/>
        <v>0</v>
      </c>
      <c r="W205" s="89">
        <f t="shared" si="15"/>
        <v>0</v>
      </c>
      <c r="X205" s="87">
        <f t="shared" si="17"/>
        <v>0</v>
      </c>
      <c r="Y205" s="89">
        <f t="shared" si="16"/>
        <v>0</v>
      </c>
    </row>
    <row r="206" spans="1:25" x14ac:dyDescent="0.3">
      <c r="A206" s="122">
        <v>189</v>
      </c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51"/>
      <c r="N206" s="51"/>
      <c r="O206" s="51"/>
      <c r="P206" s="51"/>
      <c r="Q206" s="51"/>
      <c r="R206" s="51"/>
      <c r="S206" s="51"/>
      <c r="T206" s="126"/>
      <c r="U206" s="126"/>
      <c r="V206" s="49">
        <f t="shared" ref="V206:V217" si="18">B206*$B$5+C206*$C$5+D206*$D$5+E206*$E$5+F206*$F$5+G206*$G$5+H206*$H$5+I206*$I$5+J206*$J$5+K206*$K$5+L206*$L$5+M206*$M$5+N206*$N$5+O206*$O$5+P206*$P$5+Q206*$Q$5+R206*$R$5+S206*$S$5+T206*$T$5+U206*$U$5</f>
        <v>0</v>
      </c>
      <c r="W206" s="89">
        <f t="shared" ref="W206:W217" si="19">IFERROR($AA$24*(V206/($W$16)),0)</f>
        <v>0</v>
      </c>
      <c r="X206" s="87">
        <f t="shared" si="17"/>
        <v>0</v>
      </c>
      <c r="Y206" s="89">
        <f t="shared" ref="Y206:Y217" si="20">IFERROR(VLOOKUP(X206,AUX_CLAN,4,),0)</f>
        <v>0</v>
      </c>
    </row>
    <row r="207" spans="1:25" x14ac:dyDescent="0.3">
      <c r="A207" s="122">
        <v>190</v>
      </c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51"/>
      <c r="N207" s="51"/>
      <c r="O207" s="51"/>
      <c r="P207" s="51"/>
      <c r="Q207" s="51"/>
      <c r="R207" s="51"/>
      <c r="S207" s="51"/>
      <c r="T207" s="126"/>
      <c r="U207" s="126"/>
      <c r="V207" s="49">
        <f t="shared" si="18"/>
        <v>0</v>
      </c>
      <c r="W207" s="89">
        <f t="shared" si="19"/>
        <v>0</v>
      </c>
      <c r="X207" s="87">
        <f t="shared" si="17"/>
        <v>0</v>
      </c>
      <c r="Y207" s="89">
        <f t="shared" si="20"/>
        <v>0</v>
      </c>
    </row>
    <row r="208" spans="1:25" x14ac:dyDescent="0.3">
      <c r="A208" s="122">
        <v>191</v>
      </c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51"/>
      <c r="N208" s="51"/>
      <c r="O208" s="51"/>
      <c r="P208" s="51"/>
      <c r="Q208" s="51"/>
      <c r="R208" s="51"/>
      <c r="S208" s="51"/>
      <c r="T208" s="126"/>
      <c r="U208" s="126"/>
      <c r="V208" s="49">
        <f t="shared" si="18"/>
        <v>0</v>
      </c>
      <c r="W208" s="89">
        <f t="shared" si="19"/>
        <v>0</v>
      </c>
      <c r="X208" s="87">
        <f t="shared" si="17"/>
        <v>0</v>
      </c>
      <c r="Y208" s="89">
        <f t="shared" si="20"/>
        <v>0</v>
      </c>
    </row>
    <row r="209" spans="1:25" x14ac:dyDescent="0.3">
      <c r="A209" s="122">
        <v>192</v>
      </c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51"/>
      <c r="N209" s="51"/>
      <c r="O209" s="51"/>
      <c r="P209" s="51"/>
      <c r="Q209" s="51"/>
      <c r="R209" s="51"/>
      <c r="S209" s="51"/>
      <c r="T209" s="126"/>
      <c r="U209" s="126"/>
      <c r="V209" s="49">
        <f t="shared" si="18"/>
        <v>0</v>
      </c>
      <c r="W209" s="89">
        <f t="shared" si="19"/>
        <v>0</v>
      </c>
      <c r="X209" s="87">
        <f t="shared" si="17"/>
        <v>0</v>
      </c>
      <c r="Y209" s="89">
        <f t="shared" si="20"/>
        <v>0</v>
      </c>
    </row>
    <row r="210" spans="1:25" x14ac:dyDescent="0.3">
      <c r="A210" s="122">
        <v>193</v>
      </c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51"/>
      <c r="N210" s="51"/>
      <c r="O210" s="51"/>
      <c r="P210" s="51"/>
      <c r="Q210" s="51"/>
      <c r="R210" s="51"/>
      <c r="S210" s="51"/>
      <c r="T210" s="126"/>
      <c r="U210" s="126"/>
      <c r="V210" s="49">
        <f t="shared" si="18"/>
        <v>0</v>
      </c>
      <c r="W210" s="89">
        <f t="shared" si="19"/>
        <v>0</v>
      </c>
      <c r="X210" s="87">
        <f t="shared" si="17"/>
        <v>0</v>
      </c>
      <c r="Y210" s="89">
        <f t="shared" si="20"/>
        <v>0</v>
      </c>
    </row>
    <row r="211" spans="1:25" x14ac:dyDescent="0.3">
      <c r="A211" s="122">
        <v>194</v>
      </c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51"/>
      <c r="N211" s="51"/>
      <c r="O211" s="51"/>
      <c r="P211" s="51"/>
      <c r="Q211" s="51"/>
      <c r="R211" s="51"/>
      <c r="S211" s="51"/>
      <c r="T211" s="126"/>
      <c r="U211" s="126"/>
      <c r="V211" s="49">
        <f t="shared" si="18"/>
        <v>0</v>
      </c>
      <c r="W211" s="89">
        <f t="shared" si="19"/>
        <v>0</v>
      </c>
      <c r="X211" s="87">
        <f t="shared" ref="X211:X217" si="21">SUM(B211:U211)</f>
        <v>0</v>
      </c>
      <c r="Y211" s="89">
        <f t="shared" si="20"/>
        <v>0</v>
      </c>
    </row>
    <row r="212" spans="1:25" x14ac:dyDescent="0.3">
      <c r="A212" s="122">
        <v>195</v>
      </c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51"/>
      <c r="N212" s="51"/>
      <c r="O212" s="51"/>
      <c r="P212" s="51"/>
      <c r="Q212" s="51"/>
      <c r="R212" s="51"/>
      <c r="S212" s="51"/>
      <c r="T212" s="126"/>
      <c r="U212" s="126"/>
      <c r="V212" s="49">
        <f t="shared" si="18"/>
        <v>0</v>
      </c>
      <c r="W212" s="89">
        <f t="shared" si="19"/>
        <v>0</v>
      </c>
      <c r="X212" s="87">
        <f t="shared" si="21"/>
        <v>0</v>
      </c>
      <c r="Y212" s="89">
        <f t="shared" si="20"/>
        <v>0</v>
      </c>
    </row>
    <row r="213" spans="1:25" x14ac:dyDescent="0.3">
      <c r="A213" s="122">
        <v>196</v>
      </c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51"/>
      <c r="N213" s="51"/>
      <c r="O213" s="51"/>
      <c r="P213" s="51"/>
      <c r="Q213" s="51"/>
      <c r="R213" s="51"/>
      <c r="S213" s="51"/>
      <c r="T213" s="126"/>
      <c r="U213" s="126"/>
      <c r="V213" s="49">
        <f t="shared" si="18"/>
        <v>0</v>
      </c>
      <c r="W213" s="89">
        <f t="shared" si="19"/>
        <v>0</v>
      </c>
      <c r="X213" s="87">
        <f t="shared" si="21"/>
        <v>0</v>
      </c>
      <c r="Y213" s="89">
        <f t="shared" si="20"/>
        <v>0</v>
      </c>
    </row>
    <row r="214" spans="1:25" x14ac:dyDescent="0.3">
      <c r="A214" s="122">
        <v>197</v>
      </c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51"/>
      <c r="N214" s="51"/>
      <c r="O214" s="51"/>
      <c r="P214" s="51"/>
      <c r="Q214" s="51"/>
      <c r="R214" s="51"/>
      <c r="S214" s="51"/>
      <c r="T214" s="126"/>
      <c r="U214" s="126"/>
      <c r="V214" s="49">
        <f t="shared" si="18"/>
        <v>0</v>
      </c>
      <c r="W214" s="89">
        <f t="shared" si="19"/>
        <v>0</v>
      </c>
      <c r="X214" s="87">
        <f t="shared" si="21"/>
        <v>0</v>
      </c>
      <c r="Y214" s="89">
        <f t="shared" si="20"/>
        <v>0</v>
      </c>
    </row>
    <row r="215" spans="1:25" x14ac:dyDescent="0.3">
      <c r="A215" s="122">
        <v>198</v>
      </c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51"/>
      <c r="N215" s="51"/>
      <c r="O215" s="51"/>
      <c r="P215" s="51"/>
      <c r="Q215" s="51"/>
      <c r="R215" s="51"/>
      <c r="S215" s="51"/>
      <c r="T215" s="126"/>
      <c r="U215" s="126"/>
      <c r="V215" s="49">
        <f t="shared" si="18"/>
        <v>0</v>
      </c>
      <c r="W215" s="89">
        <f t="shared" si="19"/>
        <v>0</v>
      </c>
      <c r="X215" s="87">
        <f t="shared" si="21"/>
        <v>0</v>
      </c>
      <c r="Y215" s="89">
        <f t="shared" si="20"/>
        <v>0</v>
      </c>
    </row>
    <row r="216" spans="1:25" x14ac:dyDescent="0.3">
      <c r="A216" s="122">
        <v>199</v>
      </c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51"/>
      <c r="N216" s="51"/>
      <c r="O216" s="51"/>
      <c r="P216" s="51"/>
      <c r="Q216" s="51"/>
      <c r="R216" s="51"/>
      <c r="S216" s="51"/>
      <c r="T216" s="126"/>
      <c r="U216" s="126"/>
      <c r="V216" s="49">
        <f t="shared" si="18"/>
        <v>0</v>
      </c>
      <c r="W216" s="89">
        <f t="shared" si="19"/>
        <v>0</v>
      </c>
      <c r="X216" s="87">
        <f t="shared" si="21"/>
        <v>0</v>
      </c>
      <c r="Y216" s="89">
        <f t="shared" si="20"/>
        <v>0</v>
      </c>
    </row>
    <row r="217" spans="1:25" x14ac:dyDescent="0.3">
      <c r="A217" s="122">
        <v>200</v>
      </c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51"/>
      <c r="N217" s="51"/>
      <c r="O217" s="51"/>
      <c r="P217" s="51"/>
      <c r="Q217" s="51"/>
      <c r="R217" s="51"/>
      <c r="S217" s="51"/>
      <c r="T217" s="126"/>
      <c r="U217" s="126"/>
      <c r="V217" s="49">
        <f t="shared" si="18"/>
        <v>0</v>
      </c>
      <c r="W217" s="89">
        <f t="shared" si="19"/>
        <v>0</v>
      </c>
      <c r="X217" s="87">
        <f t="shared" si="21"/>
        <v>0</v>
      </c>
      <c r="Y217" s="89">
        <f t="shared" si="20"/>
        <v>0</v>
      </c>
    </row>
  </sheetData>
  <scenarios current="0">
    <scenario name="TESTES" locked="1" count="1" user="Jonatas Lampa" comment="Criado por Jonatas Lampa em 03/04/2026">
      <inputCells r="AA18" val="183,6" numFmtId="2"/>
    </scenario>
  </scenarios>
  <mergeCells count="56">
    <mergeCell ref="AC30:AD30"/>
    <mergeCell ref="AE24:AF24"/>
    <mergeCell ref="AE22:AF22"/>
    <mergeCell ref="AE23:AF23"/>
    <mergeCell ref="AE19:AF19"/>
    <mergeCell ref="AE20:AF20"/>
    <mergeCell ref="AE21:AF21"/>
    <mergeCell ref="AE30:AF30"/>
    <mergeCell ref="AE29:AF29"/>
    <mergeCell ref="AC24:AD24"/>
    <mergeCell ref="AE26:AF26"/>
    <mergeCell ref="AA24:AB24"/>
    <mergeCell ref="AE25:AF25"/>
    <mergeCell ref="AC26:AD26"/>
    <mergeCell ref="AC23:AD23"/>
    <mergeCell ref="AC21:AD21"/>
    <mergeCell ref="AA23:AB23"/>
    <mergeCell ref="A1:U1"/>
    <mergeCell ref="AA17:AB17"/>
    <mergeCell ref="Y15:Y16"/>
    <mergeCell ref="M2:U2"/>
    <mergeCell ref="AA15:AB16"/>
    <mergeCell ref="A15:U15"/>
    <mergeCell ref="A3:A4"/>
    <mergeCell ref="B2:L2"/>
    <mergeCell ref="A7:A8"/>
    <mergeCell ref="AE15:AF16"/>
    <mergeCell ref="AA22:AB22"/>
    <mergeCell ref="AC19:AD19"/>
    <mergeCell ref="AC15:AD16"/>
    <mergeCell ref="AA19:AB19"/>
    <mergeCell ref="AC18:AD18"/>
    <mergeCell ref="AA20:AB20"/>
    <mergeCell ref="AC22:AD22"/>
    <mergeCell ref="AA21:AB21"/>
    <mergeCell ref="AA18:AB18"/>
    <mergeCell ref="AE17:AF17"/>
    <mergeCell ref="AE18:AF18"/>
    <mergeCell ref="AC17:AD17"/>
    <mergeCell ref="AC20:AD20"/>
    <mergeCell ref="AA29:AB29"/>
    <mergeCell ref="AE28:AF28"/>
    <mergeCell ref="AC25:AD25"/>
    <mergeCell ref="AA25:AB25"/>
    <mergeCell ref="AA32:AB33"/>
    <mergeCell ref="AA26:AB26"/>
    <mergeCell ref="AA30:AB30"/>
    <mergeCell ref="AA27:AB27"/>
    <mergeCell ref="AA28:AB28"/>
    <mergeCell ref="AC27:AD27"/>
    <mergeCell ref="AC28:AD28"/>
    <mergeCell ref="AE27:AF27"/>
    <mergeCell ref="AC32:AC33"/>
    <mergeCell ref="AD32:AD33"/>
    <mergeCell ref="AE32:AE33"/>
    <mergeCell ref="AC29:AD29"/>
  </mergeCells>
  <dataValidations disablePrompts="1" count="1">
    <dataValidation type="whole" allowBlank="1" showInputMessage="1" showErrorMessage="1" errorTitle="Valor invalido" error="Use apenas inteiros maiores ou iguais a zero na grade de ramais." promptTitle="Entrada de ramal" prompt="Informe quantidade inteira maior ou igual a zero." sqref="A18:T217" xr:uid="{00000000-0002-0000-0300-000000000000}">
      <formula1>0</formula1>
      <formula2>10000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X18:X217" formulaRange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3"/>
  <dimension ref="A2:U454"/>
  <sheetViews>
    <sheetView showGridLines="0" tabSelected="1" zoomScale="85" zoomScaleNormal="85" workbookViewId="0">
      <pane ySplit="8" topLeftCell="A9" activePane="bottomLeft" state="frozen"/>
      <selection activeCell="A35" sqref="A35:Y35"/>
      <selection pane="bottomLeft" activeCell="I20" sqref="I20"/>
    </sheetView>
  </sheetViews>
  <sheetFormatPr defaultColWidth="14.77734375" defaultRowHeight="14.4" x14ac:dyDescent="0.3"/>
  <cols>
    <col min="1" max="1" width="11.109375" customWidth="1"/>
    <col min="2" max="2" width="7.33203125" style="1" customWidth="1"/>
    <col min="3" max="3" width="11.88671875" style="1" customWidth="1"/>
    <col min="4" max="4" width="18.44140625" style="1" bestFit="1" customWidth="1"/>
    <col min="5" max="5" width="11" style="1" customWidth="1"/>
    <col min="6" max="6" width="12.21875" style="1" customWidth="1"/>
    <col min="7" max="7" width="14.21875" style="1" customWidth="1"/>
    <col min="8" max="8" width="12.21875" style="1" customWidth="1"/>
    <col min="9" max="9" width="19.109375" style="2" customWidth="1"/>
    <col min="10" max="10" width="18.33203125" style="2" customWidth="1"/>
    <col min="11" max="11" width="14.77734375" style="2" hidden="1" customWidth="1"/>
    <col min="12" max="12" width="14" customWidth="1"/>
    <col min="13" max="13" width="13.33203125" customWidth="1"/>
    <col min="14" max="14" width="15" bestFit="1" customWidth="1"/>
    <col min="15" max="15" width="5" customWidth="1"/>
    <col min="17" max="17" width="20.109375" customWidth="1"/>
    <col min="19" max="19" width="22.109375" customWidth="1"/>
  </cols>
  <sheetData>
    <row r="2" spans="1:21" x14ac:dyDescent="0.3">
      <c r="B2" s="223" t="s">
        <v>285</v>
      </c>
      <c r="C2" s="224"/>
      <c r="D2" s="224"/>
      <c r="E2" s="224"/>
      <c r="F2" s="224"/>
      <c r="G2" s="224"/>
      <c r="H2" s="224"/>
      <c r="I2" s="219" t="s">
        <v>0</v>
      </c>
      <c r="J2" s="225" t="s">
        <v>299</v>
      </c>
      <c r="L2" s="219" t="s">
        <v>1</v>
      </c>
      <c r="M2" s="208">
        <v>50</v>
      </c>
      <c r="N2" s="14" t="s">
        <v>289</v>
      </c>
      <c r="P2" s="14" t="s">
        <v>3</v>
      </c>
      <c r="Q2" s="215" t="str">
        <f>IF(OR(J9="",J9=0),"VAZIO",IF(J9&gt;P3,"SOBRECARGA",""))</f>
        <v/>
      </c>
      <c r="S2" s="14" t="s">
        <v>4</v>
      </c>
      <c r="T2" s="14" t="s">
        <v>5</v>
      </c>
    </row>
    <row r="3" spans="1:21" x14ac:dyDescent="0.3">
      <c r="B3" s="224"/>
      <c r="C3" s="224"/>
      <c r="D3" s="224"/>
      <c r="E3" s="224"/>
      <c r="F3" s="224"/>
      <c r="G3" s="224"/>
      <c r="H3" s="224"/>
      <c r="I3" s="226"/>
      <c r="J3" s="226"/>
      <c r="L3" s="209"/>
      <c r="M3" s="209"/>
      <c r="N3" s="159">
        <f>Q31</f>
        <v>116.42921543884667</v>
      </c>
      <c r="P3" s="133">
        <v>150</v>
      </c>
      <c r="Q3" s="209"/>
      <c r="R3">
        <v>0</v>
      </c>
      <c r="S3" s="132" t="str">
        <f>M9</f>
        <v>240 Cu</v>
      </c>
      <c r="T3" s="14"/>
    </row>
    <row r="4" spans="1:21" x14ac:dyDescent="0.3">
      <c r="B4" s="3"/>
      <c r="C4" s="3"/>
      <c r="D4" s="3"/>
      <c r="E4" s="4"/>
      <c r="F4" s="3"/>
      <c r="G4" s="3"/>
      <c r="H4" s="3"/>
      <c r="I4" s="226"/>
      <c r="J4" s="226"/>
      <c r="K4" s="10"/>
      <c r="L4" s="209"/>
      <c r="M4" s="209"/>
      <c r="N4" s="14" t="s">
        <v>290</v>
      </c>
      <c r="P4" s="14" t="s">
        <v>8</v>
      </c>
      <c r="Q4" s="209"/>
      <c r="R4">
        <v>1</v>
      </c>
      <c r="S4" s="132" t="s">
        <v>6</v>
      </c>
      <c r="T4" s="140">
        <f>SUMIF(GERAL[CONDUTOR],$S4,GERAL[M])</f>
        <v>84</v>
      </c>
    </row>
    <row r="5" spans="1:21" x14ac:dyDescent="0.3">
      <c r="B5" s="92" t="s">
        <v>286</v>
      </c>
      <c r="C5" s="3"/>
      <c r="D5" s="3" t="s">
        <v>287</v>
      </c>
      <c r="E5" s="4" t="s">
        <v>288</v>
      </c>
      <c r="F5" s="3"/>
      <c r="G5" s="3"/>
      <c r="H5" s="229" t="str">
        <f>CONCATENATE("FATOR :",M2,"m²")</f>
        <v>FATOR :50m²</v>
      </c>
      <c r="I5" s="229"/>
      <c r="J5" s="9">
        <f>RAMAL!AB35</f>
        <v>1.88</v>
      </c>
      <c r="K5" s="10"/>
      <c r="L5" s="90">
        <f>RAMAL!AB38</f>
        <v>57.739999999999903</v>
      </c>
      <c r="N5" s="159">
        <f>Q32</f>
        <v>112.16386085744891</v>
      </c>
      <c r="P5" s="90">
        <f>J9</f>
        <v>127.70729411764684</v>
      </c>
      <c r="Q5" s="14" t="s">
        <v>8</v>
      </c>
      <c r="R5">
        <v>2</v>
      </c>
      <c r="S5" s="132" t="s">
        <v>9</v>
      </c>
      <c r="T5" s="140">
        <f>SUMIF(GERAL[CONDUTOR],$S5,GERAL[M])</f>
        <v>0</v>
      </c>
    </row>
    <row r="6" spans="1:21" s="60" customFormat="1" ht="13.8" customHeight="1" x14ac:dyDescent="0.3">
      <c r="B6" s="220" t="s">
        <v>13</v>
      </c>
      <c r="C6" s="58" t="s">
        <v>14</v>
      </c>
      <c r="D6" s="58" t="s">
        <v>15</v>
      </c>
      <c r="E6" s="221" t="s">
        <v>16</v>
      </c>
      <c r="F6" s="222"/>
      <c r="G6" s="58"/>
      <c r="H6" s="58"/>
      <c r="I6" s="217" t="s">
        <v>17</v>
      </c>
      <c r="J6" s="217" t="s">
        <v>18</v>
      </c>
      <c r="K6" s="217" t="s">
        <v>19</v>
      </c>
      <c r="L6" s="227" t="s">
        <v>298</v>
      </c>
      <c r="M6" s="216" t="s">
        <v>299</v>
      </c>
      <c r="N6" s="216">
        <v>0.85</v>
      </c>
      <c r="P6" s="115">
        <f>IF(M6="SIM",P5*0.85,P5/0.85)</f>
        <v>108.55119999999981</v>
      </c>
      <c r="Q6" s="14" t="s">
        <v>280</v>
      </c>
      <c r="R6">
        <v>3</v>
      </c>
      <c r="S6" s="132" t="s">
        <v>12</v>
      </c>
      <c r="T6" s="140">
        <f>SUMIF(GERAL[CONDUTOR],$S6,GERAL[M])</f>
        <v>0</v>
      </c>
    </row>
    <row r="7" spans="1:21" s="60" customFormat="1" ht="13.8" customHeight="1" x14ac:dyDescent="0.3">
      <c r="B7" s="218"/>
      <c r="C7" s="14" t="s">
        <v>21</v>
      </c>
      <c r="D7" s="14" t="s">
        <v>22</v>
      </c>
      <c r="E7" s="58" t="s">
        <v>23</v>
      </c>
      <c r="F7" s="58" t="s">
        <v>24</v>
      </c>
      <c r="G7" s="75"/>
      <c r="H7" s="75"/>
      <c r="I7" s="218"/>
      <c r="J7" s="218"/>
      <c r="K7" s="218"/>
      <c r="L7" s="228"/>
      <c r="M7" s="216"/>
      <c r="N7" s="216"/>
      <c r="P7" s="104">
        <f>IFERROR(P5/P3,"")</f>
        <v>0.85138196078431227</v>
      </c>
      <c r="Q7" s="14" t="s">
        <v>281</v>
      </c>
      <c r="S7" s="132" t="s">
        <v>284</v>
      </c>
      <c r="T7" s="140">
        <f>SUMIF(GERAL[CONDUTOR],$S7,GERAL[M])</f>
        <v>97</v>
      </c>
    </row>
    <row r="8" spans="1:21" s="5" customFormat="1" ht="38.4" customHeight="1" x14ac:dyDescent="0.3">
      <c r="B8" s="142" t="s">
        <v>13</v>
      </c>
      <c r="C8" s="143" t="s">
        <v>14</v>
      </c>
      <c r="D8" s="143" t="s">
        <v>25</v>
      </c>
      <c r="E8" s="142" t="s">
        <v>26</v>
      </c>
      <c r="F8" s="142" t="s">
        <v>27</v>
      </c>
      <c r="G8" s="142" t="s">
        <v>28</v>
      </c>
      <c r="H8" s="142" t="s">
        <v>29</v>
      </c>
      <c r="I8" s="142" t="s">
        <v>30</v>
      </c>
      <c r="J8" s="142" t="s">
        <v>18</v>
      </c>
      <c r="K8" s="143" t="s">
        <v>31</v>
      </c>
      <c r="L8" s="142" t="s">
        <v>32</v>
      </c>
      <c r="M8" s="142" t="s">
        <v>33</v>
      </c>
      <c r="N8" s="142" t="s">
        <v>34</v>
      </c>
      <c r="R8" s="60"/>
      <c r="S8" s="60"/>
      <c r="T8" s="60"/>
    </row>
    <row r="9" spans="1:21" s="6" customFormat="1" x14ac:dyDescent="0.3">
      <c r="A9" s="186" t="s">
        <v>311</v>
      </c>
      <c r="B9" s="130">
        <v>1</v>
      </c>
      <c r="C9" s="130">
        <v>0</v>
      </c>
      <c r="D9" s="112">
        <v>4</v>
      </c>
      <c r="E9" s="151">
        <f>IFERROR(VLOOKUP(GERAL[[#This Row],[PONTO]],COORD,2,0),"")</f>
        <v>0</v>
      </c>
      <c r="F9" s="151">
        <f>IFERROR(VLOOKUP(GERAL[[#This Row],[PONTO]],COORD,3,0),"")</f>
        <v>0</v>
      </c>
      <c r="G9" s="109">
        <f>IFERROR(VLOOKUP(GERAL[[#This Row],[PONTO]],RAMAIS_ATUAL,24,0),"")</f>
        <v>4</v>
      </c>
      <c r="H9" s="109">
        <f>IFERROR(SUMIF(GERAL[TRECHO],GERAL[[#This Row],[PONTO]],GERAL[CLT ACUMULADO])+GERAL[[#This Row],[CLIENTES]],"")</f>
        <v>90</v>
      </c>
      <c r="I9" s="110">
        <f>IFERROR(VLOOKUP(GERAL[[#This Row],[PONTO]],
      RAMAIS_ATUAL,
      IF($J$2="SIM",25,23),
      FALSE),
"")</f>
        <v>7.2943999999999996</v>
      </c>
      <c r="J9" s="110">
        <f>IFERROR(  ( IF(  TRIM(UPPER($J$2))="SIM",  VLOOKUP(GERAL[[#This Row],[CLT ACUMULADO]],AUX_CLAN,4,FALSE),  SUMIF(GERAL[TRECHO],GERAL[[#This Row],[PONTO]],GERAL[ACUMULADA])+GERAL[[#This Row],[TOTAL DO TRECHO]]  ) )/ IF($M$6="SIM",N6,1),"")</f>
        <v>127.70729411764684</v>
      </c>
      <c r="K9" s="110">
        <f>IFERROR(SQRT((GERAL[[#This Row],[X]]-$Q$11)^2+(GERAL[[#This Row],[Y]]-$Q$12)^2),"")</f>
        <v>0</v>
      </c>
      <c r="L9" s="129" t="s">
        <v>3</v>
      </c>
      <c r="M9" s="131" t="s">
        <v>35</v>
      </c>
      <c r="N9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120.90774588529672</v>
      </c>
      <c r="P9" s="204" t="s">
        <v>36</v>
      </c>
      <c r="Q9" s="205"/>
      <c r="R9" s="5"/>
      <c r="S9" s="5"/>
      <c r="T9" s="5">
        <v>0</v>
      </c>
      <c r="U9" s="6" t="str">
        <f>IF(T9="","",VLOOKUP(T9,$R$3:$S$6,2,0))</f>
        <v>240 Cu</v>
      </c>
    </row>
    <row r="10" spans="1:21" x14ac:dyDescent="0.3">
      <c r="A10" s="9"/>
      <c r="B10" s="130"/>
      <c r="C10" s="130"/>
      <c r="D10" s="112"/>
      <c r="E10" s="152" t="str">
        <f>IFERROR(VLOOKUP(GERAL[[#This Row],[PONTO]],COORD,2,0),"")</f>
        <v/>
      </c>
      <c r="F10" s="152" t="str">
        <f>IFERROR(VLOOKUP(GERAL[[#This Row],[PONTO]],COORD,3,0),"")</f>
        <v/>
      </c>
      <c r="G10" s="112" t="str">
        <f>IFERROR(VLOOKUP(GERAL[[#This Row],[PONTO]],RAMAIS_ATUAL,24,0),"")</f>
        <v/>
      </c>
      <c r="H10" s="112" t="str">
        <f>IFERROR(SUMIF(GERAL[TRECHO],GERAL[[#This Row],[PONTO]],GERAL[CLT ACUMULADO])+GERAL[[#This Row],[CLIENTES]],"")</f>
        <v/>
      </c>
      <c r="I10" s="55" t="str">
        <f>IFERROR(VLOOKUP(GERAL[[#This Row],[PONTO]],
      RAMAIS_ATUAL,
      IF($J$2="SIM",25,23),
      FALSE),
"")</f>
        <v/>
      </c>
      <c r="J10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10" s="55" t="str">
        <f>IFERROR(SQRT((GERAL[[#This Row],[X]]-$Q$11)^2+(GERAL[[#This Row],[Y]]-$Q$12)^2),"")</f>
        <v/>
      </c>
      <c r="L10" s="130"/>
      <c r="M10" s="132"/>
      <c r="N10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10" s="206"/>
      <c r="Q10" s="206"/>
      <c r="R10" s="141" t="s">
        <v>3</v>
      </c>
      <c r="S10" s="141" t="s">
        <v>38</v>
      </c>
      <c r="T10" s="199" t="s">
        <v>252</v>
      </c>
      <c r="U10" s="6"/>
    </row>
    <row r="11" spans="1:21" s="6" customFormat="1" x14ac:dyDescent="0.3">
      <c r="A11" s="9" t="s">
        <v>364</v>
      </c>
      <c r="B11" s="130">
        <v>2</v>
      </c>
      <c r="C11" s="130">
        <v>1</v>
      </c>
      <c r="D11" s="112">
        <v>38</v>
      </c>
      <c r="E11" s="152">
        <f>IFERROR(VLOOKUP(GERAL[[#This Row],[PONTO]],COORD,2,0),"")</f>
        <v>0</v>
      </c>
      <c r="F11" s="152">
        <f>IFERROR(VLOOKUP(GERAL[[#This Row],[PONTO]],COORD,3,0),"")</f>
        <v>0</v>
      </c>
      <c r="G11" s="112">
        <f>IFERROR(VLOOKUP(GERAL[[#This Row],[PONTO]],RAMAIS_ATUAL,24,0),"")</f>
        <v>0</v>
      </c>
      <c r="H11" s="112">
        <f>IFERROR(SUMIF(GERAL[TRECHO],GERAL[[#This Row],[PONTO]],GERAL[CLT ACUMULADO])+GERAL[[#This Row],[CLIENTES]],"")</f>
        <v>23</v>
      </c>
      <c r="I11" s="55">
        <f>IFERROR(VLOOKUP(GERAL[[#This Row],[PONTO]],
      RAMAIS_ATUAL,
      IF($J$2="SIM",25,23),
      FALSE),
"")</f>
        <v>0</v>
      </c>
      <c r="J11" s="55">
        <f>IFERROR(IF(TRIM(UPPER($J$2))="SIM",
      VLOOKUP(GERAL[[#This Row],[CLT ACUMULADO]],AUX_CLAN,4,FALSE),
      SUMIF(GERAL[TRECHO],GERAL[[#This Row],[PONTO]],GERAL[ACUMULADA])+GERAL[[#This Row],[TOTAL DO TRECHO]]),
"")</f>
        <v>36.227599999999995</v>
      </c>
      <c r="K11" s="55">
        <f>IFERROR(SQRT((GERAL[[#This Row],[X]]-$Q$11)^2+(GERAL[[#This Row],[Y]]-$Q$12)^2),"")</f>
        <v>0</v>
      </c>
      <c r="L11" s="132" t="s">
        <v>283</v>
      </c>
      <c r="M11" s="132" t="s">
        <v>284</v>
      </c>
      <c r="N11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118.46753746888656</v>
      </c>
      <c r="P11" s="11" t="s">
        <v>26</v>
      </c>
      <c r="Q11" s="13">
        <f>IFERROR(SUMPRODUCT(GERAL[TOTAL DO TRECHO],GERAL[X])/SUM(GERAL[TOTAL DO TRECHO]),"INSERIR DADOS")</f>
        <v>0</v>
      </c>
      <c r="R11" s="141" t="s">
        <v>40</v>
      </c>
      <c r="S11" s="141">
        <v>4</v>
      </c>
      <c r="T11" s="199">
        <v>2</v>
      </c>
      <c r="U11" s="6" t="str">
        <f t="shared" ref="U11:U51" si="0">IF(T11="","",VLOOKUP(T11,$R$3:$S$6,2,0))</f>
        <v>185 Al - MX</v>
      </c>
    </row>
    <row r="12" spans="1:21" x14ac:dyDescent="0.3">
      <c r="A12" s="9" t="s">
        <v>314</v>
      </c>
      <c r="B12" s="130">
        <v>3</v>
      </c>
      <c r="C12" s="130">
        <v>2</v>
      </c>
      <c r="D12" s="112">
        <v>18</v>
      </c>
      <c r="E12" s="152">
        <f>IFERROR(VLOOKUP(GERAL[[#This Row],[PONTO]],COORD,2,0),"")</f>
        <v>0</v>
      </c>
      <c r="F12" s="152">
        <f>IFERROR(VLOOKUP(GERAL[[#This Row],[PONTO]],COORD,3,0),"")</f>
        <v>0</v>
      </c>
      <c r="G12" s="112">
        <f>IFERROR(VLOOKUP(GERAL[[#This Row],[PONTO]],RAMAIS_ATUAL,24,0),"")</f>
        <v>10</v>
      </c>
      <c r="H12" s="112">
        <f>IFERROR(SUMIF(GERAL[TRECHO],GERAL[[#This Row],[PONTO]],GERAL[CLT ACUMULADO])+GERAL[[#This Row],[CLIENTES]],"")</f>
        <v>23</v>
      </c>
      <c r="I12" s="55">
        <f>IFERROR(VLOOKUP(GERAL[[#This Row],[PONTO]],
      RAMAIS_ATUAL,
      IF($J$2="SIM",25,23),
      FALSE),
"")</f>
        <v>18.123200000000001</v>
      </c>
      <c r="J12" s="55">
        <f>IFERROR(IF(TRIM(UPPER($J$2))="SIM",
      VLOOKUP(GERAL[[#This Row],[CLT ACUMULADO]],AUX_CLAN,4,FALSE),
      SUMIF(GERAL[TRECHO],GERAL[[#This Row],[PONTO]],GERAL[ACUMULADA])+GERAL[[#This Row],[TOTAL DO TRECHO]]),
"")</f>
        <v>36.227599999999995</v>
      </c>
      <c r="K12" s="55">
        <f>IFERROR(SQRT((GERAL[[#This Row],[X]]-$Q$11)^2+(GERAL[[#This Row],[Y]]-$Q$12)^2),"")</f>
        <v>0</v>
      </c>
      <c r="L12" s="132" t="s">
        <v>283</v>
      </c>
      <c r="M12" s="132" t="s">
        <v>284</v>
      </c>
      <c r="N12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117.39661314249197</v>
      </c>
      <c r="P12" s="12" t="s">
        <v>27</v>
      </c>
      <c r="Q12" s="13">
        <f>IFERROR(SUMPRODUCT(GERAL[TOTAL DO TRECHO],GERAL[Y])/SUM(GERAL[TOTAL DO TRECHO]),"INSERIR DADOS")</f>
        <v>0</v>
      </c>
      <c r="R12" s="141" t="s">
        <v>42</v>
      </c>
      <c r="S12" s="141">
        <v>4</v>
      </c>
      <c r="T12" s="199">
        <v>1</v>
      </c>
      <c r="U12" s="6" t="str">
        <f t="shared" si="0"/>
        <v>70 Al - MX</v>
      </c>
    </row>
    <row r="13" spans="1:21" s="6" customFormat="1" x14ac:dyDescent="0.3">
      <c r="A13" s="186" t="s">
        <v>319</v>
      </c>
      <c r="B13" s="130">
        <v>4</v>
      </c>
      <c r="C13" s="130">
        <v>3</v>
      </c>
      <c r="D13" s="112">
        <v>18</v>
      </c>
      <c r="E13" s="152">
        <f>IFERROR(VLOOKUP(GERAL[[#This Row],[PONTO]],COORD,2,0),"")</f>
        <v>0</v>
      </c>
      <c r="F13" s="152">
        <f>IFERROR(VLOOKUP(GERAL[[#This Row],[PONTO]],COORD,3,0),"")</f>
        <v>0</v>
      </c>
      <c r="G13" s="112">
        <f>IFERROR(VLOOKUP(GERAL[[#This Row],[PONTO]],RAMAIS_ATUAL,24,0),"")</f>
        <v>13</v>
      </c>
      <c r="H13" s="112">
        <f>IFERROR(SUMIF(GERAL[TRECHO],GERAL[[#This Row],[PONTO]],GERAL[CLT ACUMULADO])+GERAL[[#This Row],[CLIENTES]],"")</f>
        <v>13</v>
      </c>
      <c r="I13" s="55">
        <f>IFERROR(VLOOKUP(GERAL[[#This Row],[PONTO]],
      RAMAIS_ATUAL,
      IF($J$2="SIM",25,23),
      FALSE),
"")</f>
        <v>22.522400000000001</v>
      </c>
      <c r="J13" s="55">
        <f>IFERROR(IF(TRIM(UPPER($J$2))="SIM",
      VLOOKUP(GERAL[[#This Row],[CLT ACUMULADO]],AUX_CLAN,4,FALSE),
      SUMIF(GERAL[TRECHO],GERAL[[#This Row],[PONTO]],GERAL[ACUMULADA])+GERAL[[#This Row],[TOTAL DO TRECHO]]),
"")</f>
        <v>22.522400000000001</v>
      </c>
      <c r="K13" s="55">
        <f>IFERROR(SQRT((GERAL[[#This Row],[X]]-$Q$11)^2+(GERAL[[#This Row],[Y]]-$Q$12)^2),"")</f>
        <v>0</v>
      </c>
      <c r="L13" s="132" t="s">
        <v>283</v>
      </c>
      <c r="M13" s="132" t="s">
        <v>284</v>
      </c>
      <c r="N13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116.75954872800291</v>
      </c>
      <c r="R13" s="141" t="s">
        <v>45</v>
      </c>
      <c r="S13" s="141">
        <v>4</v>
      </c>
      <c r="T13" s="199">
        <v>1</v>
      </c>
      <c r="U13" s="6" t="str">
        <f t="shared" si="0"/>
        <v>70 Al - MX</v>
      </c>
    </row>
    <row r="14" spans="1:21" x14ac:dyDescent="0.3">
      <c r="A14" s="9"/>
      <c r="B14" s="130"/>
      <c r="C14" s="130"/>
      <c r="D14" s="112"/>
      <c r="E14" s="152" t="str">
        <f>IFERROR(VLOOKUP(GERAL[[#This Row],[PONTO]],COORD,2,0),"")</f>
        <v/>
      </c>
      <c r="F14" s="152" t="str">
        <f>IFERROR(VLOOKUP(GERAL[[#This Row],[PONTO]],COORD,3,0),"")</f>
        <v/>
      </c>
      <c r="G14" s="112" t="str">
        <f>IFERROR(VLOOKUP(GERAL[[#This Row],[PONTO]],RAMAIS_ATUAL,24,0),"")</f>
        <v/>
      </c>
      <c r="H14" s="112" t="str">
        <f>IFERROR(SUMIF(GERAL[TRECHO],GERAL[[#This Row],[PONTO]],GERAL[CLT ACUMULADO])+GERAL[[#This Row],[CLIENTES]],"")</f>
        <v/>
      </c>
      <c r="I14" s="55" t="str">
        <f>IFERROR(VLOOKUP(GERAL[[#This Row],[PONTO]],
      RAMAIS_ATUAL,
      IF($J$2="SIM",25,23),
      FALSE),
"")</f>
        <v/>
      </c>
      <c r="J14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14" s="55" t="str">
        <f>IFERROR(SQRT((GERAL[[#This Row],[X]]-$Q$11)^2+(GERAL[[#This Row],[Y]]-$Q$12)^2),"")</f>
        <v/>
      </c>
      <c r="L14" s="132"/>
      <c r="M14" s="132"/>
      <c r="N14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14" s="204" t="s">
        <v>37</v>
      </c>
      <c r="Q14" s="205"/>
      <c r="R14" s="141" t="s">
        <v>46</v>
      </c>
      <c r="S14" s="141">
        <v>4</v>
      </c>
      <c r="T14" s="199">
        <v>1</v>
      </c>
      <c r="U14" s="6" t="str">
        <f t="shared" si="0"/>
        <v>70 Al - MX</v>
      </c>
    </row>
    <row r="15" spans="1:21" s="6" customFormat="1" x14ac:dyDescent="0.3">
      <c r="A15" s="186" t="s">
        <v>363</v>
      </c>
      <c r="B15" s="130">
        <v>5</v>
      </c>
      <c r="C15" s="130">
        <v>1</v>
      </c>
      <c r="D15" s="112">
        <v>16</v>
      </c>
      <c r="E15" s="152">
        <f>IFERROR(VLOOKUP(GERAL[[#This Row],[PONTO]],COORD,2,0),"")</f>
        <v>0</v>
      </c>
      <c r="F15" s="152">
        <f>IFERROR(VLOOKUP(GERAL[[#This Row],[PONTO]],COORD,3,0),"")</f>
        <v>0</v>
      </c>
      <c r="G15" s="112">
        <f>IFERROR(VLOOKUP(GERAL[[#This Row],[PONTO]],RAMAIS_ATUAL,24,0),"")</f>
        <v>17</v>
      </c>
      <c r="H15" s="112">
        <f>IFERROR(SUMIF(GERAL[TRECHO],GERAL[[#This Row],[PONTO]],GERAL[CLT ACUMULADO])+GERAL[[#This Row],[CLIENTES]],"")</f>
        <v>63</v>
      </c>
      <c r="I15" s="55">
        <f>IFERROR(VLOOKUP(GERAL[[#This Row],[PONTO]],
      RAMAIS_ATUAL,
      IF($J$2="SIM",25,23),
      FALSE),
"")</f>
        <v>28.387999999999998</v>
      </c>
      <c r="J15" s="55">
        <f>IFERROR(IF(TRIM(UPPER($J$2))="SIM",
      VLOOKUP(GERAL[[#This Row],[CLT ACUMULADO]],AUX_CLAN,4,FALSE),
      SUMIF(GERAL[TRECHO],GERAL[[#This Row],[PONTO]],GERAL[ACUMULADA])+GERAL[[#This Row],[TOTAL DO TRECHO]]),
"")</f>
        <v>80.125599999999991</v>
      </c>
      <c r="K15" s="55">
        <f>IFERROR(SQRT((GERAL[[#This Row],[X]]-$Q$11)^2+(GERAL[[#This Row],[Y]]-$Q$12)^2),"")</f>
        <v>0</v>
      </c>
      <c r="L15" s="132" t="s">
        <v>305</v>
      </c>
      <c r="M15" s="132" t="s">
        <v>284</v>
      </c>
      <c r="N15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118.33094087724234</v>
      </c>
      <c r="P15" s="206"/>
      <c r="Q15" s="206"/>
      <c r="R15" s="141" t="s">
        <v>47</v>
      </c>
      <c r="S15" s="141">
        <v>4</v>
      </c>
      <c r="T15" s="199"/>
      <c r="U15" s="6" t="str">
        <f t="shared" si="0"/>
        <v/>
      </c>
    </row>
    <row r="16" spans="1:21" x14ac:dyDescent="0.3">
      <c r="A16" s="9" t="s">
        <v>315</v>
      </c>
      <c r="B16" s="130">
        <v>6</v>
      </c>
      <c r="C16" s="130">
        <v>5</v>
      </c>
      <c r="D16" s="112">
        <v>3</v>
      </c>
      <c r="E16" s="152">
        <f>IFERROR(VLOOKUP(GERAL[[#This Row],[PONTO]],COORD,2,0),"")</f>
        <v>0</v>
      </c>
      <c r="F16" s="152">
        <f>IFERROR(VLOOKUP(GERAL[[#This Row],[PONTO]],COORD,3,0),"")</f>
        <v>0</v>
      </c>
      <c r="G16" s="112">
        <f>IFERROR(VLOOKUP(GERAL[[#This Row],[PONTO]],RAMAIS_ATUAL,24,0),"")</f>
        <v>0</v>
      </c>
      <c r="H16" s="112">
        <f>IFERROR(SUMIF(GERAL[TRECHO],GERAL[[#This Row],[PONTO]],GERAL[CLT ACUMULADO])+GERAL[[#This Row],[CLIENTES]],"")</f>
        <v>45</v>
      </c>
      <c r="I16" s="55">
        <f>IFERROR(VLOOKUP(GERAL[[#This Row],[PONTO]],
      RAMAIS_ATUAL,
      IF($J$2="SIM",25,23),
      FALSE),
"")</f>
        <v>0</v>
      </c>
      <c r="J16" s="55">
        <f>IFERROR(IF(TRIM(UPPER($J$2))="SIM",
      VLOOKUP(GERAL[[#This Row],[CLT ACUMULADO]],AUX_CLAN,4,FALSE),
      SUMIF(GERAL[TRECHO],GERAL[[#This Row],[PONTO]],GERAL[ACUMULADA])+GERAL[[#This Row],[TOTAL DO TRECHO]]),
"")</f>
        <v>61.175199999999997</v>
      </c>
      <c r="K16" s="55">
        <f>IFERROR(SQRT((GERAL[[#This Row],[X]]-$Q$11)^2+(GERAL[[#This Row],[Y]]-$Q$12)^2),"")</f>
        <v>0</v>
      </c>
      <c r="L16" s="132" t="s">
        <v>305</v>
      </c>
      <c r="M16" s="132" t="s">
        <v>284</v>
      </c>
      <c r="N16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118.00580962008807</v>
      </c>
      <c r="P16" s="210">
        <f>INDEX(GERAL[PONTO],MATCH(MIN(GERAL[SNAP]),GERAL[SNAP],0))</f>
        <v>1</v>
      </c>
      <c r="Q16" s="203"/>
      <c r="R16" s="141" t="s">
        <v>50</v>
      </c>
      <c r="S16" s="141">
        <v>4</v>
      </c>
      <c r="T16" s="199">
        <v>2</v>
      </c>
      <c r="U16" s="6" t="str">
        <f t="shared" si="0"/>
        <v>185 Al - MX</v>
      </c>
    </row>
    <row r="17" spans="1:21" s="6" customFormat="1" x14ac:dyDescent="0.3">
      <c r="A17" s="9" t="s">
        <v>316</v>
      </c>
      <c r="B17" s="130">
        <v>7</v>
      </c>
      <c r="C17" s="130">
        <v>6</v>
      </c>
      <c r="D17" s="112">
        <v>44</v>
      </c>
      <c r="E17" s="152">
        <f>IFERROR(VLOOKUP(GERAL[[#This Row],[PONTO]],COORD,2,0),"")</f>
        <v>0</v>
      </c>
      <c r="F17" s="152">
        <f>IFERROR(VLOOKUP(GERAL[[#This Row],[PONTO]],COORD,3,0),"")</f>
        <v>0</v>
      </c>
      <c r="G17" s="112">
        <f>IFERROR(VLOOKUP(GERAL[[#This Row],[PONTO]],RAMAIS_ATUAL,24,0),"")</f>
        <v>28</v>
      </c>
      <c r="H17" s="112">
        <f>IFERROR(SUMIF(GERAL[TRECHO],GERAL[[#This Row],[PONTO]],GERAL[CLT ACUMULADO])+GERAL[[#This Row],[CLIENTES]],"")</f>
        <v>45</v>
      </c>
      <c r="I17" s="55">
        <f>IFERROR(VLOOKUP(GERAL[[#This Row],[PONTO]],
      RAMAIS_ATUAL,
      IF($J$2="SIM",25,23),
      FALSE),
"")</f>
        <v>41.961599999999997</v>
      </c>
      <c r="J17" s="55">
        <f>IFERROR(IF(TRIM(UPPER($J$2))="SIM",
      VLOOKUP(GERAL[[#This Row],[CLT ACUMULADO]],AUX_CLAN,4,FALSE),
      SUMIF(GERAL[TRECHO],GERAL[[#This Row],[PONTO]],GERAL[ACUMULADA])+GERAL[[#This Row],[TOTAL DO TRECHO]]),
"")</f>
        <v>61.175199999999997</v>
      </c>
      <c r="K17" s="55">
        <f>IFERROR(SQRT((GERAL[[#This Row],[X]]-$Q$11)^2+(GERAL[[#This Row],[Y]]-$Q$12)^2),"")</f>
        <v>0</v>
      </c>
      <c r="L17" s="132" t="s">
        <v>305</v>
      </c>
      <c r="M17" s="132" t="s">
        <v>6</v>
      </c>
      <c r="N17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114.03619967082201</v>
      </c>
      <c r="R17" s="141"/>
      <c r="S17" s="141"/>
      <c r="T17" s="199">
        <v>1</v>
      </c>
      <c r="U17" s="6" t="str">
        <f t="shared" si="0"/>
        <v>70 Al - MX</v>
      </c>
    </row>
    <row r="18" spans="1:21" x14ac:dyDescent="0.3">
      <c r="A18" s="9" t="s">
        <v>317</v>
      </c>
      <c r="B18" s="130">
        <v>8</v>
      </c>
      <c r="C18" s="130">
        <v>7</v>
      </c>
      <c r="D18" s="112">
        <v>40</v>
      </c>
      <c r="E18" s="152">
        <f>IFERROR(VLOOKUP(GERAL[[#This Row],[PONTO]],COORD,2,0),"")</f>
        <v>0</v>
      </c>
      <c r="F18" s="152">
        <f>IFERROR(VLOOKUP(GERAL[[#This Row],[PONTO]],COORD,3,0),"")</f>
        <v>0</v>
      </c>
      <c r="G18" s="112">
        <f>IFERROR(VLOOKUP(GERAL[[#This Row],[PONTO]],RAMAIS_ATUAL,24,0),"")</f>
        <v>17</v>
      </c>
      <c r="H18" s="112">
        <f>IFERROR(SUMIF(GERAL[TRECHO],GERAL[[#This Row],[PONTO]],GERAL[CLT ACUMULADO])+GERAL[[#This Row],[CLIENTES]],"")</f>
        <v>17</v>
      </c>
      <c r="I18" s="55">
        <f>IFERROR(VLOOKUP(GERAL[[#This Row],[PONTO]],
      RAMAIS_ATUAL,
      IF($J$2="SIM",25,23),
      FALSE),
"")</f>
        <v>28.387999999999998</v>
      </c>
      <c r="J18" s="55">
        <f>IFERROR(IF(TRIM(UPPER($J$2))="SIM",
      VLOOKUP(GERAL[[#This Row],[CLT ACUMULADO]],AUX_CLAN,4,FALSE),
      SUMIF(GERAL[TRECHO],GERAL[[#This Row],[PONTO]],GERAL[ACUMULADA])+GERAL[[#This Row],[TOTAL DO TRECHO]]),
"")</f>
        <v>28.387999999999998</v>
      </c>
      <c r="K18" s="55">
        <f>IFERROR(SQRT((GERAL[[#This Row],[X]]-$Q$11)^2+(GERAL[[#This Row],[Y]]-$Q$12)^2),"")</f>
        <v>0</v>
      </c>
      <c r="L18" s="132" t="s">
        <v>305</v>
      </c>
      <c r="M18" s="132" t="s">
        <v>6</v>
      </c>
      <c r="N18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112.49419414660517</v>
      </c>
      <c r="P18" s="214" t="s">
        <v>44</v>
      </c>
      <c r="Q18" s="205"/>
      <c r="R18" s="141" t="s">
        <v>39</v>
      </c>
      <c r="S18" s="141" t="s">
        <v>33</v>
      </c>
      <c r="T18" s="199">
        <v>1</v>
      </c>
      <c r="U18" s="6" t="str">
        <f t="shared" si="0"/>
        <v>70 Al - MX</v>
      </c>
    </row>
    <row r="19" spans="1:21" s="6" customFormat="1" x14ac:dyDescent="0.3">
      <c r="A19" s="201"/>
      <c r="B19" s="130">
        <v>9</v>
      </c>
      <c r="C19" s="130">
        <v>5</v>
      </c>
      <c r="D19" s="112">
        <v>4</v>
      </c>
      <c r="E19" s="152">
        <f>IFERROR(VLOOKUP(GERAL[[#This Row],[PONTO]],COORD,2,0),"")</f>
        <v>0</v>
      </c>
      <c r="F19" s="152">
        <f>IFERROR(VLOOKUP(GERAL[[#This Row],[PONTO]],COORD,3,0),"")</f>
        <v>0</v>
      </c>
      <c r="G19" s="112">
        <f>IFERROR(VLOOKUP(GERAL[[#This Row],[PONTO]],RAMAIS_ATUAL,24,0),"")</f>
        <v>1</v>
      </c>
      <c r="H19" s="112">
        <f>IFERROR(SUMIF(GERAL[TRECHO],GERAL[[#This Row],[PONTO]],GERAL[CLT ACUMULADO])+GERAL[[#This Row],[CLIENTES]],"")</f>
        <v>1</v>
      </c>
      <c r="I19" s="55">
        <f>IFERROR(VLOOKUP(GERAL[[#This Row],[PONTO]],
      RAMAIS_ATUAL,
      IF($J$2="SIM",25,23),
      FALSE),
"")</f>
        <v>7.2943999999999996</v>
      </c>
      <c r="J19" s="55">
        <f>IFERROR(IF(TRIM(UPPER($J$2))="SIM",
      VLOOKUP(GERAL[[#This Row],[CLT ACUMULADO]],AUX_CLAN,4,FALSE),
      SUMIF(GERAL[TRECHO],GERAL[[#This Row],[PONTO]],GERAL[ACUMULADA])+GERAL[[#This Row],[TOTAL DO TRECHO]]),
"")</f>
        <v>7.2943999999999996</v>
      </c>
      <c r="K19" s="55">
        <f>IFERROR(SQRT((GERAL[[#This Row],[X]]-$Q$11)^2+(GERAL[[#This Row],[Y]]-$Q$12)^2),"")</f>
        <v>0</v>
      </c>
      <c r="L19" s="132" t="s">
        <v>305</v>
      </c>
      <c r="M19" s="132" t="s">
        <v>284</v>
      </c>
      <c r="N19" s="139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>118.28738140321222</v>
      </c>
      <c r="P19" s="206"/>
      <c r="Q19" s="206"/>
      <c r="R19" s="141" t="s">
        <v>41</v>
      </c>
      <c r="S19" s="141" t="s">
        <v>35</v>
      </c>
      <c r="T19" s="199">
        <v>1</v>
      </c>
      <c r="U19" s="6" t="str">
        <f t="shared" si="0"/>
        <v>70 Al - MX</v>
      </c>
    </row>
    <row r="20" spans="1:21" x14ac:dyDescent="0.3">
      <c r="A20" s="9"/>
      <c r="B20" s="130"/>
      <c r="C20" s="130"/>
      <c r="D20" s="112"/>
      <c r="E20" s="152" t="str">
        <f>IFERROR(VLOOKUP(GERAL[[#This Row],[PONTO]],COORD,2,0),"")</f>
        <v/>
      </c>
      <c r="F20" s="152" t="str">
        <f>IFERROR(VLOOKUP(GERAL[[#This Row],[PONTO]],COORD,3,0),"")</f>
        <v/>
      </c>
      <c r="G20" s="112" t="str">
        <f>IFERROR(VLOOKUP(GERAL[[#This Row],[PONTO]],RAMAIS_ATUAL,24,0),"")</f>
        <v/>
      </c>
      <c r="H20" s="112" t="str">
        <f>IFERROR(SUMIF(GERAL[TRECHO],GERAL[[#This Row],[PONTO]],GERAL[CLT ACUMULADO])+GERAL[[#This Row],[CLIENTES]],"")</f>
        <v/>
      </c>
      <c r="I20" s="55" t="str">
        <f>IFERROR(VLOOKUP(GERAL[[#This Row],[PONTO]],
      RAMAIS_ATUAL,
      IF($J$2="SIM",25,23),
      FALSE),
"")</f>
        <v/>
      </c>
      <c r="J20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0" s="55" t="str">
        <f>IFERROR(SQRT((GERAL[[#This Row],[X]]-$Q$11)^2+(GERAL[[#This Row],[Y]]-$Q$12)^2),"")</f>
        <v/>
      </c>
      <c r="L20" s="132"/>
      <c r="M20" s="132"/>
      <c r="N20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0" s="207">
        <f>P25/400</f>
        <v>0.46250000000000002</v>
      </c>
      <c r="Q20" s="203"/>
      <c r="R20" s="141" t="s">
        <v>43</v>
      </c>
      <c r="S20" s="141" t="s">
        <v>35</v>
      </c>
      <c r="T20" s="6"/>
      <c r="U20" s="6" t="str">
        <f t="shared" si="0"/>
        <v/>
      </c>
    </row>
    <row r="21" spans="1:21" s="6" customFormat="1" x14ac:dyDescent="0.3">
      <c r="A21" s="9"/>
      <c r="B21" s="130"/>
      <c r="C21" s="130"/>
      <c r="D21" s="112"/>
      <c r="E21" s="152" t="str">
        <f>IFERROR(VLOOKUP(GERAL[[#This Row],[PONTO]],COORD,2,0),"")</f>
        <v/>
      </c>
      <c r="F21" s="152" t="str">
        <f>IFERROR(VLOOKUP(GERAL[[#This Row],[PONTO]],COORD,3,0),"")</f>
        <v/>
      </c>
      <c r="G21" s="112" t="str">
        <f>IFERROR(VLOOKUP(GERAL[[#This Row],[PONTO]],RAMAIS_ATUAL,24,0),"")</f>
        <v/>
      </c>
      <c r="H21" s="112" t="str">
        <f>IFERROR(SUMIF(GERAL[TRECHO],GERAL[[#This Row],[PONTO]],GERAL[CLT ACUMULADO])+GERAL[[#This Row],[CLIENTES]],"")</f>
        <v/>
      </c>
      <c r="I21" s="55" t="str">
        <f>IFERROR(VLOOKUP(GERAL[[#This Row],[PONTO]],
      RAMAIS_ATUAL,
      IF($J$2="SIM",25,23),
      FALSE),
"")</f>
        <v/>
      </c>
      <c r="J21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1" s="55" t="str">
        <f>IFERROR(SQRT((GERAL[[#This Row],[X]]-$Q$11)^2+(GERAL[[#This Row],[Y]]-$Q$12)^2),"")</f>
        <v/>
      </c>
      <c r="L21" s="132"/>
      <c r="M21" s="132"/>
      <c r="N21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1" s="212" t="s">
        <v>49</v>
      </c>
      <c r="Q21" s="213"/>
      <c r="R21" s="141" t="s">
        <v>43</v>
      </c>
      <c r="S21" s="141" t="s">
        <v>35</v>
      </c>
      <c r="U21" s="6" t="str">
        <f t="shared" si="0"/>
        <v/>
      </c>
    </row>
    <row r="22" spans="1:21" x14ac:dyDescent="0.3">
      <c r="A22" s="9"/>
      <c r="B22" s="130"/>
      <c r="C22" s="130"/>
      <c r="D22" s="112"/>
      <c r="E22" s="152" t="str">
        <f>IFERROR(VLOOKUP(GERAL[[#This Row],[PONTO]],COORD,2,0),"")</f>
        <v/>
      </c>
      <c r="F22" s="152" t="str">
        <f>IFERROR(VLOOKUP(GERAL[[#This Row],[PONTO]],COORD,3,0),"")</f>
        <v/>
      </c>
      <c r="G22" s="112" t="str">
        <f>IFERROR(VLOOKUP(GERAL[[#This Row],[PONTO]],RAMAIS_ATUAL,24,0),"")</f>
        <v/>
      </c>
      <c r="H22" s="112" t="str">
        <f>IFERROR(SUMIF(GERAL[TRECHO],GERAL[[#This Row],[PONTO]],GERAL[CLT ACUMULADO])+GERAL[[#This Row],[CLIENTES]],"")</f>
        <v/>
      </c>
      <c r="I22" s="55" t="str">
        <f>IFERROR(VLOOKUP(GERAL[[#This Row],[PONTO]],
      RAMAIS_ATUAL,
      IF($J$2="SIM",25,23),
      FALSE),
"")</f>
        <v/>
      </c>
      <c r="J22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2" s="55" t="str">
        <f>IFERROR(SQRT((GERAL[[#This Row],[X]]-$Q$11)^2+(GERAL[[#This Row],[Y]]-$Q$12)^2),"")</f>
        <v/>
      </c>
      <c r="L22" s="132"/>
      <c r="M22" s="132"/>
      <c r="N22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R22" s="141" t="s">
        <v>43</v>
      </c>
      <c r="S22" s="141" t="s">
        <v>35</v>
      </c>
      <c r="T22" s="6"/>
      <c r="U22" s="6" t="str">
        <f t="shared" si="0"/>
        <v/>
      </c>
    </row>
    <row r="23" spans="1:21" s="6" customFormat="1" x14ac:dyDescent="0.3">
      <c r="A23" s="9"/>
      <c r="B23" s="130"/>
      <c r="C23" s="130"/>
      <c r="D23" s="112"/>
      <c r="E23" s="152" t="str">
        <f>IFERROR(VLOOKUP(GERAL[[#This Row],[PONTO]],COORD,2,0),"")</f>
        <v/>
      </c>
      <c r="F23" s="152" t="str">
        <f>IFERROR(VLOOKUP(GERAL[[#This Row],[PONTO]],COORD,3,0),"")</f>
        <v/>
      </c>
      <c r="G23" s="112" t="str">
        <f>IFERROR(VLOOKUP(GERAL[[#This Row],[PONTO]],RAMAIS_ATUAL,24,0),"")</f>
        <v/>
      </c>
      <c r="H23" s="112" t="str">
        <f>IFERROR(SUMIF(GERAL[TRECHO],GERAL[[#This Row],[PONTO]],GERAL[CLT ACUMULADO])+GERAL[[#This Row],[CLIENTES]],"")</f>
        <v/>
      </c>
      <c r="I23" s="55" t="str">
        <f>IFERROR(VLOOKUP(GERAL[[#This Row],[PONTO]],
      RAMAIS_ATUAL,
      IF($J$2="SIM",25,23),
      FALSE),
"")</f>
        <v/>
      </c>
      <c r="J23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3" s="55" t="str">
        <f>IFERROR(SQRT((GERAL[[#This Row],[X]]-$Q$11)^2+(GERAL[[#This Row],[Y]]-$Q$12)^2),"")</f>
        <v/>
      </c>
      <c r="L23" s="132"/>
      <c r="M23" s="132"/>
      <c r="N23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3" s="204" t="s">
        <v>52</v>
      </c>
      <c r="Q23" s="205"/>
      <c r="R23" s="141" t="s">
        <v>48</v>
      </c>
      <c r="S23" s="141" t="s">
        <v>35</v>
      </c>
      <c r="U23" s="6" t="str">
        <f t="shared" si="0"/>
        <v/>
      </c>
    </row>
    <row r="24" spans="1:21" x14ac:dyDescent="0.3">
      <c r="A24" s="9"/>
      <c r="B24" s="130"/>
      <c r="C24" s="130"/>
      <c r="D24" s="112"/>
      <c r="E24" s="152" t="str">
        <f>IFERROR(VLOOKUP(GERAL[[#This Row],[PONTO]],COORD,2,0),"")</f>
        <v/>
      </c>
      <c r="F24" s="152" t="str">
        <f>IFERROR(VLOOKUP(GERAL[[#This Row],[PONTO]],COORD,3,0),"")</f>
        <v/>
      </c>
      <c r="G24" s="112" t="str">
        <f>IFERROR(VLOOKUP(GERAL[[#This Row],[PONTO]],RAMAIS_ATUAL,24,0),"")</f>
        <v/>
      </c>
      <c r="H24" s="112" t="str">
        <f>IFERROR(SUMIF(GERAL[TRECHO],GERAL[[#This Row],[PONTO]],GERAL[CLT ACUMULADO])+GERAL[[#This Row],[CLIENTES]],"")</f>
        <v/>
      </c>
      <c r="I24" s="55" t="str">
        <f>IFERROR(VLOOKUP(GERAL[[#This Row],[PONTO]],
      RAMAIS_ATUAL,
      IF($J$2="SIM",25,23),
      FALSE),
"")</f>
        <v/>
      </c>
      <c r="J24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4" s="55" t="str">
        <f>IFERROR(SQRT((GERAL[[#This Row],[X]]-$Q$11)^2+(GERAL[[#This Row],[Y]]-$Q$12)^2),"")</f>
        <v/>
      </c>
      <c r="L24" s="132"/>
      <c r="M24" s="132"/>
      <c r="N24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4" s="206"/>
      <c r="Q24" s="206"/>
      <c r="R24" s="141" t="s">
        <v>51</v>
      </c>
      <c r="S24" s="141" t="s">
        <v>35</v>
      </c>
      <c r="T24" s="6"/>
      <c r="U24" s="6" t="str">
        <f t="shared" si="0"/>
        <v/>
      </c>
    </row>
    <row r="25" spans="1:21" x14ac:dyDescent="0.3">
      <c r="A25" s="9"/>
      <c r="B25" s="130"/>
      <c r="C25" s="130"/>
      <c r="D25" s="112"/>
      <c r="E25" s="153" t="str">
        <f>IFERROR(VLOOKUP(GERAL[[#This Row],[PONTO]],COORD,2,0),"")</f>
        <v/>
      </c>
      <c r="F25" s="153" t="str">
        <f>IFERROR(VLOOKUP(GERAL[[#This Row],[PONTO]],COORD,3,0),"")</f>
        <v/>
      </c>
      <c r="G25" s="112" t="str">
        <f>IFERROR(VLOOKUP(GERAL[[#This Row],[PONTO]],RAMAIS_ATUAL,24,0),"")</f>
        <v/>
      </c>
      <c r="H25" s="112" t="str">
        <f>IFERROR(SUMIF(GERAL[TRECHO],GERAL[[#This Row],[PONTO]],GERAL[CLT ACUMULADO])+GERAL[[#This Row],[CLIENTES]],"")</f>
        <v/>
      </c>
      <c r="I25" s="55" t="str">
        <f>IFERROR(VLOOKUP(GERAL[[#This Row],[PONTO]],
      RAMAIS_ATUAL,
      IF($J$2="SIM",25,23),
      FALSE),
"")</f>
        <v/>
      </c>
      <c r="J25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5" s="55" t="str">
        <f>IFERROR(SQRT((GERAL[[#This Row],[X]]-$Q$11)^2+(GERAL[[#This Row],[Y]]-$Q$12)^2),"")</f>
        <v/>
      </c>
      <c r="L25" s="132"/>
      <c r="M25" s="132"/>
      <c r="N25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5" s="211">
        <f>SUM(GERAL[M])</f>
        <v>185</v>
      </c>
      <c r="Q25" s="203"/>
      <c r="T25" s="6"/>
      <c r="U25" s="6" t="str">
        <f t="shared" si="0"/>
        <v/>
      </c>
    </row>
    <row r="26" spans="1:21" x14ac:dyDescent="0.3">
      <c r="A26" s="9"/>
      <c r="B26" s="130"/>
      <c r="C26" s="130"/>
      <c r="D26" s="112"/>
      <c r="E26" s="153" t="str">
        <f>IFERROR(VLOOKUP(GERAL[[#This Row],[PONTO]],COORD,2,0),"")</f>
        <v/>
      </c>
      <c r="F26" s="153" t="str">
        <f>IFERROR(VLOOKUP(GERAL[[#This Row],[PONTO]],COORD,3,0),"")</f>
        <v/>
      </c>
      <c r="G26" s="112" t="str">
        <f>IFERROR(VLOOKUP(GERAL[[#This Row],[PONTO]],RAMAIS_ATUAL,24,0),"")</f>
        <v/>
      </c>
      <c r="H26" s="112" t="str">
        <f>IFERROR(SUMIF(GERAL[TRECHO],GERAL[[#This Row],[PONTO]],GERAL[CLT ACUMULADO])+GERAL[[#This Row],[CLIENTES]],"")</f>
        <v/>
      </c>
      <c r="I26" s="55" t="str">
        <f>IFERROR(VLOOKUP(GERAL[[#This Row],[PONTO]],
      RAMAIS_ATUAL,
      IF($J$2="SIM",25,23),
      FALSE),
"")</f>
        <v/>
      </c>
      <c r="J26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6" s="55" t="str">
        <f>IFERROR(SQRT((GERAL[[#This Row],[X]]-$Q$11)^2+(GERAL[[#This Row],[Y]]-$Q$12)^2),"")</f>
        <v/>
      </c>
      <c r="L26" s="132"/>
      <c r="M26" s="132"/>
      <c r="N26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26" s="6"/>
      <c r="U26" s="6" t="str">
        <f t="shared" si="0"/>
        <v/>
      </c>
    </row>
    <row r="27" spans="1:21" x14ac:dyDescent="0.3">
      <c r="A27" s="9"/>
      <c r="B27" s="130"/>
      <c r="C27" s="130"/>
      <c r="D27" s="112"/>
      <c r="E27" s="153" t="str">
        <f>IFERROR(VLOOKUP(GERAL[[#This Row],[PONTO]],COORD,2,0),"")</f>
        <v/>
      </c>
      <c r="F27" s="153" t="str">
        <f>IFERROR(VLOOKUP(GERAL[[#This Row],[PONTO]],COORD,3,0),"")</f>
        <v/>
      </c>
      <c r="G27" s="112" t="str">
        <f>IFERROR(VLOOKUP(GERAL[[#This Row],[PONTO]],RAMAIS_ATUAL,24,0),"")</f>
        <v/>
      </c>
      <c r="H27" s="112" t="str">
        <f>IFERROR(SUMIF(GERAL[TRECHO],GERAL[[#This Row],[PONTO]],GERAL[CLT ACUMULADO])+GERAL[[#This Row],[CLIENTES]],"")</f>
        <v/>
      </c>
      <c r="I27" s="55" t="str">
        <f>IFERROR(VLOOKUP(GERAL[[#This Row],[PONTO]],
      RAMAIS_ATUAL,
      IF($J$2="SIM",25,23),
      FALSE),
"")</f>
        <v/>
      </c>
      <c r="J27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7" s="55" t="str">
        <f>IFERROR(SQRT((GERAL[[#This Row],[X]]-$Q$11)^2+(GERAL[[#This Row],[Y]]-$Q$12)^2),"")</f>
        <v/>
      </c>
      <c r="L27" s="132"/>
      <c r="M27" s="132"/>
      <c r="N27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7" s="204" t="s">
        <v>53</v>
      </c>
      <c r="Q27" s="205"/>
      <c r="T27" s="6"/>
      <c r="U27" s="6" t="str">
        <f t="shared" si="0"/>
        <v/>
      </c>
    </row>
    <row r="28" spans="1:21" x14ac:dyDescent="0.3">
      <c r="A28" s="9"/>
      <c r="B28" s="130"/>
      <c r="C28" s="130"/>
      <c r="D28" s="112"/>
      <c r="E28" s="153" t="str">
        <f>IFERROR(VLOOKUP(GERAL[[#This Row],[PONTO]],COORD,2,0),"")</f>
        <v/>
      </c>
      <c r="F28" s="153" t="str">
        <f>IFERROR(VLOOKUP(GERAL[[#This Row],[PONTO]],COORD,3,0),"")</f>
        <v/>
      </c>
      <c r="G28" s="112" t="str">
        <f>IFERROR(VLOOKUP(GERAL[[#This Row],[PONTO]],RAMAIS_ATUAL,24,0),"")</f>
        <v/>
      </c>
      <c r="H28" s="112" t="str">
        <f>IFERROR(SUMIF(GERAL[TRECHO],GERAL[[#This Row],[PONTO]],GERAL[CLT ACUMULADO])+GERAL[[#This Row],[CLIENTES]],"")</f>
        <v/>
      </c>
      <c r="I28" s="55" t="str">
        <f>IFERROR(VLOOKUP(GERAL[[#This Row],[PONTO]],
      RAMAIS_ATUAL,
      IF($J$2="SIM",25,23),
      FALSE),
"")</f>
        <v/>
      </c>
      <c r="J28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8" s="55" t="str">
        <f>IFERROR(SQRT((GERAL[[#This Row],[X]]-$Q$11)^2+(GERAL[[#This Row],[Y]]-$Q$12)^2),"")</f>
        <v/>
      </c>
      <c r="L28" s="130"/>
      <c r="M28" s="132"/>
      <c r="N28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8" s="206"/>
      <c r="Q28" s="206"/>
      <c r="T28" s="6"/>
      <c r="U28" s="6" t="str">
        <f t="shared" si="0"/>
        <v/>
      </c>
    </row>
    <row r="29" spans="1:21" x14ac:dyDescent="0.3">
      <c r="A29" s="9"/>
      <c r="B29" s="130"/>
      <c r="C29" s="130"/>
      <c r="D29" s="112"/>
      <c r="E29" s="153" t="str">
        <f>IFERROR(VLOOKUP(GERAL[[#This Row],[PONTO]],COORD,2,0),"")</f>
        <v/>
      </c>
      <c r="F29" s="153" t="str">
        <f>IFERROR(VLOOKUP(GERAL[[#This Row],[PONTO]],COORD,3,0),"")</f>
        <v/>
      </c>
      <c r="G29" s="112" t="str">
        <f>IFERROR(VLOOKUP(GERAL[[#This Row],[PONTO]],RAMAIS_ATUAL,24,0),"")</f>
        <v/>
      </c>
      <c r="H29" s="112" t="str">
        <f>IFERROR(SUMIF(GERAL[TRECHO],GERAL[[#This Row],[PONTO]],GERAL[CLT ACUMULADO])+GERAL[[#This Row],[CLIENTES]],"")</f>
        <v/>
      </c>
      <c r="I29" s="55" t="str">
        <f>IFERROR(VLOOKUP(GERAL[[#This Row],[PONTO]],
      RAMAIS_ATUAL,
      IF($J$2="SIM",25,23),
      FALSE),
"")</f>
        <v/>
      </c>
      <c r="J29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29" s="55" t="str">
        <f>IFERROR(SQRT((GERAL[[#This Row],[X]]-$Q$11)^2+(GERAL[[#This Row],[Y]]-$Q$12)^2),"")</f>
        <v/>
      </c>
      <c r="L29" s="130"/>
      <c r="M29" s="132"/>
      <c r="N29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29" s="202">
        <f>DMDI</f>
        <v>1.88</v>
      </c>
      <c r="Q29" s="203"/>
      <c r="S29">
        <v>625569.66829484899</v>
      </c>
      <c r="T29" s="6"/>
      <c r="U29" s="6" t="str">
        <f t="shared" si="0"/>
        <v/>
      </c>
    </row>
    <row r="30" spans="1:21" x14ac:dyDescent="0.3">
      <c r="A30" s="9"/>
      <c r="B30" s="130"/>
      <c r="C30" s="130"/>
      <c r="D30" s="112"/>
      <c r="E30" s="153" t="str">
        <f>IFERROR(VLOOKUP(GERAL[[#This Row],[PONTO]],COORD,2,0),"")</f>
        <v/>
      </c>
      <c r="F30" s="153" t="str">
        <f>IFERROR(VLOOKUP(GERAL[[#This Row],[PONTO]],COORD,3,0),"")</f>
        <v/>
      </c>
      <c r="G30" s="112" t="str">
        <f>IFERROR(VLOOKUP(GERAL[[#This Row],[PONTO]],RAMAIS_ATUAL,24,0),"")</f>
        <v/>
      </c>
      <c r="H30" s="112" t="str">
        <f>IFERROR(SUMIF(GERAL[TRECHO],GERAL[[#This Row],[PONTO]],GERAL[CLT ACUMULADO])+GERAL[[#This Row],[CLIENTES]],"")</f>
        <v/>
      </c>
      <c r="I30" s="55" t="str">
        <f>IFERROR(VLOOKUP(GERAL[[#This Row],[PONTO]],
      RAMAIS_ATUAL,
      IF($J$2="SIM",25,23),
      FALSE),
"")</f>
        <v/>
      </c>
      <c r="J30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0" s="55" t="str">
        <f>IFERROR(SQRT((GERAL[[#This Row],[X]]-$Q$11)^2+(GERAL[[#This Row],[Y]]-$Q$12)^2),"")</f>
        <v/>
      </c>
      <c r="L30" s="130"/>
      <c r="M30" s="132"/>
      <c r="N30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S30">
        <v>7477589.9338365896</v>
      </c>
      <c r="T30" s="6"/>
      <c r="U30" s="6" t="str">
        <f t="shared" si="0"/>
        <v/>
      </c>
    </row>
    <row r="31" spans="1:21" x14ac:dyDescent="0.3">
      <c r="A31" s="9"/>
      <c r="B31" s="130"/>
      <c r="C31" s="130"/>
      <c r="D31" s="112"/>
      <c r="E31" s="153" t="str">
        <f>IFERROR(VLOOKUP(GERAL[[#This Row],[PONTO]],COORD,2,0),"")</f>
        <v/>
      </c>
      <c r="F31" s="153" t="str">
        <f>IFERROR(VLOOKUP(GERAL[[#This Row],[PONTO]],COORD,3,0),"")</f>
        <v/>
      </c>
      <c r="G31" s="112" t="str">
        <f>IFERROR(VLOOKUP(GERAL[[#This Row],[PONTO]],RAMAIS_ATUAL,24,0),"")</f>
        <v/>
      </c>
      <c r="H31" s="112" t="str">
        <f>IFERROR(SUMIF(GERAL[TRECHO],GERAL[[#This Row],[PONTO]],GERAL[CLT ACUMULADO])+GERAL[[#This Row],[CLIENTES]],"")</f>
        <v/>
      </c>
      <c r="I31" s="55" t="str">
        <f>IFERROR(VLOOKUP(GERAL[[#This Row],[PONTO]],
      RAMAIS_ATUAL,
      IF($J$2="SIM",25,23),
      FALSE),
"")</f>
        <v/>
      </c>
      <c r="J31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1" s="55" t="str">
        <f>IFERROR(SQRT((GERAL[[#This Row],[X]]-$Q$11)^2+(GERAL[[#This Row],[Y]]-$Q$12)^2),"")</f>
        <v/>
      </c>
      <c r="L31" s="130"/>
      <c r="M31" s="132"/>
      <c r="N31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31" s="14" t="s">
        <v>344</v>
      </c>
      <c r="Q31" s="91">
        <f>'LADO 1'!Q24</f>
        <v>116.42921543884667</v>
      </c>
      <c r="T31" s="6"/>
      <c r="U31" s="6" t="str">
        <f t="shared" si="0"/>
        <v/>
      </c>
    </row>
    <row r="32" spans="1:21" x14ac:dyDescent="0.3">
      <c r="A32" s="9"/>
      <c r="B32" s="130"/>
      <c r="C32" s="130"/>
      <c r="D32" s="112"/>
      <c r="E32" s="153" t="str">
        <f>IFERROR(VLOOKUP(GERAL[[#This Row],[PONTO]],COORD,2,0),"")</f>
        <v/>
      </c>
      <c r="F32" s="153" t="str">
        <f>IFERROR(VLOOKUP(GERAL[[#This Row],[PONTO]],COORD,3,0),"")</f>
        <v/>
      </c>
      <c r="G32" s="112" t="str">
        <f>IFERROR(VLOOKUP(GERAL[[#This Row],[PONTO]],RAMAIS_ATUAL,24,0),"")</f>
        <v/>
      </c>
      <c r="H32" s="112" t="str">
        <f>IFERROR(SUMIF(GERAL[TRECHO],GERAL[[#This Row],[PONTO]],GERAL[CLT ACUMULADO])+GERAL[[#This Row],[CLIENTES]],"")</f>
        <v/>
      </c>
      <c r="I32" s="55" t="str">
        <f>IFERROR(VLOOKUP(GERAL[[#This Row],[PONTO]],
      RAMAIS_ATUAL,
      IF($J$2="SIM",25,23),
      FALSE),
"")</f>
        <v/>
      </c>
      <c r="J32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2" s="55" t="str">
        <f>IFERROR(SQRT((GERAL[[#This Row],[X]]-$Q$11)^2+(GERAL[[#This Row],[Y]]-$Q$12)^2),"")</f>
        <v/>
      </c>
      <c r="L32" s="130"/>
      <c r="M32" s="132"/>
      <c r="N32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32" s="14" t="s">
        <v>345</v>
      </c>
      <c r="Q32" s="91">
        <f>'LADO 2'!Q23</f>
        <v>112.16386085744891</v>
      </c>
      <c r="R32" s="59">
        <f>J9</f>
        <v>127.70729411764684</v>
      </c>
      <c r="T32" s="6"/>
      <c r="U32" s="6" t="str">
        <f t="shared" si="0"/>
        <v/>
      </c>
    </row>
    <row r="33" spans="1:21" x14ac:dyDescent="0.3">
      <c r="A33" s="9"/>
      <c r="B33" s="130"/>
      <c r="C33" s="130"/>
      <c r="D33" s="112"/>
      <c r="E33" s="153" t="str">
        <f>IFERROR(VLOOKUP(GERAL[[#This Row],[PONTO]],COORD,2,0),"")</f>
        <v/>
      </c>
      <c r="F33" s="153" t="str">
        <f>IFERROR(VLOOKUP(GERAL[[#This Row],[PONTO]],COORD,3,0),"")</f>
        <v/>
      </c>
      <c r="G33" s="112" t="str">
        <f>IFERROR(VLOOKUP(GERAL[[#This Row],[PONTO]],RAMAIS_ATUAL,24,0),"")</f>
        <v/>
      </c>
      <c r="H33" s="112" t="str">
        <f>IFERROR(SUMIF(GERAL[TRECHO],GERAL[[#This Row],[PONTO]],GERAL[CLT ACUMULADO])+GERAL[[#This Row],[CLIENTES]],"")</f>
        <v/>
      </c>
      <c r="I33" s="55" t="str">
        <f>IFERROR(VLOOKUP(GERAL[[#This Row],[PONTO]],
      RAMAIS_ATUAL,
      IF($J$2="SIM",25,23),
      FALSE),
"")</f>
        <v/>
      </c>
      <c r="J33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3" s="55" t="str">
        <f>IFERROR(SQRT((GERAL[[#This Row],[X]]-$Q$11)^2+(GERAL[[#This Row],[Y]]-$Q$12)^2),"")</f>
        <v/>
      </c>
      <c r="L33" s="130"/>
      <c r="M33" s="132"/>
      <c r="N33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33" s="14" t="s">
        <v>346</v>
      </c>
      <c r="Q33" s="91">
        <f>'LADO 3'!Q23</f>
        <v>122.71711598329536</v>
      </c>
      <c r="R33" s="59" t="str">
        <f>J23</f>
        <v/>
      </c>
      <c r="T33" s="6"/>
      <c r="U33" s="6" t="str">
        <f t="shared" si="0"/>
        <v/>
      </c>
    </row>
    <row r="34" spans="1:21" x14ac:dyDescent="0.3">
      <c r="A34" s="9"/>
      <c r="B34" s="130"/>
      <c r="C34" s="130"/>
      <c r="D34" s="112"/>
      <c r="E34" s="153" t="str">
        <f>IFERROR(VLOOKUP(GERAL[[#This Row],[PONTO]],COORD,2,0),"")</f>
        <v/>
      </c>
      <c r="F34" s="153" t="str">
        <f>IFERROR(VLOOKUP(GERAL[[#This Row],[PONTO]],COORD,3,0),"")</f>
        <v/>
      </c>
      <c r="G34" s="112" t="str">
        <f>IFERROR(VLOOKUP(GERAL[[#This Row],[PONTO]],RAMAIS_ATUAL,24,0),"")</f>
        <v/>
      </c>
      <c r="H34" s="112" t="str">
        <f>IFERROR(SUMIF(GERAL[TRECHO],GERAL[[#This Row],[PONTO]],GERAL[CLT ACUMULADO])+GERAL[[#This Row],[CLIENTES]],"")</f>
        <v/>
      </c>
      <c r="I34" s="55" t="str">
        <f>IFERROR(VLOOKUP(GERAL[[#This Row],[PONTO]],
      RAMAIS_ATUAL,
      IF($J$2="SIM",25,23),
      FALSE),
"")</f>
        <v/>
      </c>
      <c r="J34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4" s="55" t="str">
        <f>IFERROR(SQRT((GERAL[[#This Row],[X]]-$Q$11)^2+(GERAL[[#This Row],[Y]]-$Q$12)^2),"")</f>
        <v/>
      </c>
      <c r="L34" s="130"/>
      <c r="M34" s="132"/>
      <c r="N34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P34" s="14" t="s">
        <v>354</v>
      </c>
      <c r="Q34" s="91">
        <f>'LADO 4'!Q23</f>
        <v>126.68672593256142</v>
      </c>
      <c r="R34" s="59" t="str">
        <f>J24</f>
        <v/>
      </c>
      <c r="T34" s="6"/>
      <c r="U34" s="6" t="str">
        <f t="shared" si="0"/>
        <v/>
      </c>
    </row>
    <row r="35" spans="1:21" x14ac:dyDescent="0.3">
      <c r="A35" s="9"/>
      <c r="B35" s="130"/>
      <c r="C35" s="130"/>
      <c r="D35" s="112"/>
      <c r="E35" s="153" t="str">
        <f>IFERROR(VLOOKUP(GERAL[[#This Row],[PONTO]],COORD,2,0),"")</f>
        <v/>
      </c>
      <c r="F35" s="153" t="str">
        <f>IFERROR(VLOOKUP(GERAL[[#This Row],[PONTO]],COORD,3,0),"")</f>
        <v/>
      </c>
      <c r="G35" s="112" t="str">
        <f>IFERROR(VLOOKUP(GERAL[[#This Row],[PONTO]],RAMAIS_ATUAL,24,0),"")</f>
        <v/>
      </c>
      <c r="H35" s="112" t="str">
        <f>IFERROR(SUMIF(GERAL[TRECHO],GERAL[[#This Row],[PONTO]],GERAL[CLT ACUMULADO])+GERAL[[#This Row],[CLIENTES]],"")</f>
        <v/>
      </c>
      <c r="I35" s="55" t="str">
        <f>IFERROR(VLOOKUP(GERAL[[#This Row],[PONTO]],
      RAMAIS_ATUAL,
      IF($J$2="SIM",25,23),
      FALSE),
"")</f>
        <v/>
      </c>
      <c r="J35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5" s="55" t="str">
        <f>IFERROR(SQRT((GERAL[[#This Row],[X]]-$Q$11)^2+(GERAL[[#This Row],[Y]]-$Q$12)^2),"")</f>
        <v/>
      </c>
      <c r="L35" s="130"/>
      <c r="M35" s="132"/>
      <c r="N35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35" s="6"/>
      <c r="U35" s="6" t="str">
        <f t="shared" si="0"/>
        <v/>
      </c>
    </row>
    <row r="36" spans="1:21" x14ac:dyDescent="0.3">
      <c r="B36" s="130"/>
      <c r="C36" s="130"/>
      <c r="D36" s="112"/>
      <c r="E36" s="153" t="str">
        <f>IFERROR(VLOOKUP(GERAL[[#This Row],[PONTO]],COORD,2,0),"")</f>
        <v/>
      </c>
      <c r="F36" s="153" t="str">
        <f>IFERROR(VLOOKUP(GERAL[[#This Row],[PONTO]],COORD,3,0),"")</f>
        <v/>
      </c>
      <c r="G36" s="112" t="str">
        <f>IFERROR(VLOOKUP(GERAL[[#This Row],[PONTO]],RAMAIS_ATUAL,24,0),"")</f>
        <v/>
      </c>
      <c r="H36" s="112" t="str">
        <f>IFERROR(SUMIF(GERAL[TRECHO],GERAL[[#This Row],[PONTO]],GERAL[CLT ACUMULADO])+GERAL[[#This Row],[CLIENTES]],"")</f>
        <v/>
      </c>
      <c r="I36" s="55" t="str">
        <f>IFERROR(VLOOKUP(GERAL[[#This Row],[PONTO]],
      RAMAIS_ATUAL,
      IF($J$2="SIM",25,23),
      FALSE),
"")</f>
        <v/>
      </c>
      <c r="J36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6" s="55" t="str">
        <f>IFERROR(SQRT((GERAL[[#This Row],[X]]-$Q$11)^2+(GERAL[[#This Row],[Y]]-$Q$12)^2),"")</f>
        <v/>
      </c>
      <c r="L36" s="130"/>
      <c r="M36" s="132"/>
      <c r="N36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U36" s="6" t="str">
        <f t="shared" si="0"/>
        <v/>
      </c>
    </row>
    <row r="37" spans="1:21" x14ac:dyDescent="0.3">
      <c r="A37" s="9"/>
      <c r="B37" s="130"/>
      <c r="C37" s="130"/>
      <c r="D37" s="112"/>
      <c r="E37" s="153" t="str">
        <f>IFERROR(VLOOKUP(GERAL[[#This Row],[PONTO]],COORD,2,0),"")</f>
        <v/>
      </c>
      <c r="F37" s="153" t="str">
        <f>IFERROR(VLOOKUP(GERAL[[#This Row],[PONTO]],COORD,3,0),"")</f>
        <v/>
      </c>
      <c r="G37" s="112" t="str">
        <f>IFERROR(VLOOKUP(GERAL[[#This Row],[PONTO]],RAMAIS_ATUAL,24,0),"")</f>
        <v/>
      </c>
      <c r="H37" s="112" t="str">
        <f>IFERROR(SUMIF(GERAL[TRECHO],GERAL[[#This Row],[PONTO]],GERAL[CLT ACUMULADO])+GERAL[[#This Row],[CLIENTES]],"")</f>
        <v/>
      </c>
      <c r="I37" s="55" t="str">
        <f>IFERROR(VLOOKUP(GERAL[[#This Row],[PONTO]],
      RAMAIS_ATUAL,
      IF($J$2="SIM",25,23),
      FALSE),
"")</f>
        <v/>
      </c>
      <c r="J37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7" s="55" t="str">
        <f>IFERROR(SQRT((GERAL[[#This Row],[X]]-$Q$11)^2+(GERAL[[#This Row],[Y]]-$Q$12)^2),"")</f>
        <v/>
      </c>
      <c r="L37" s="130"/>
      <c r="M37" s="132"/>
      <c r="N37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37" s="6"/>
      <c r="U37" s="6" t="str">
        <f t="shared" si="0"/>
        <v/>
      </c>
    </row>
    <row r="38" spans="1:21" x14ac:dyDescent="0.3">
      <c r="A38" s="9"/>
      <c r="B38" s="130"/>
      <c r="C38" s="130"/>
      <c r="D38" s="112"/>
      <c r="E38" s="153" t="str">
        <f>IFERROR(VLOOKUP(GERAL[[#This Row],[PONTO]],COORD,2,0),"")</f>
        <v/>
      </c>
      <c r="F38" s="153" t="str">
        <f>IFERROR(VLOOKUP(GERAL[[#This Row],[PONTO]],COORD,3,0),"")</f>
        <v/>
      </c>
      <c r="G38" s="112" t="str">
        <f>IFERROR(VLOOKUP(GERAL[[#This Row],[PONTO]],RAMAIS_ATUAL,24,0),"")</f>
        <v/>
      </c>
      <c r="H38" s="112" t="str">
        <f>IFERROR(SUMIF(GERAL[TRECHO],GERAL[[#This Row],[PONTO]],GERAL[CLT ACUMULADO])+GERAL[[#This Row],[CLIENTES]],"")</f>
        <v/>
      </c>
      <c r="I38" s="55" t="str">
        <f>IFERROR(VLOOKUP(GERAL[[#This Row],[PONTO]],
      RAMAIS_ATUAL,
      IF($J$2="SIM",25,23),
      FALSE),
"")</f>
        <v/>
      </c>
      <c r="J38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8" s="55" t="str">
        <f>IFERROR(SQRT((GERAL[[#This Row],[X]]-$Q$11)^2+(GERAL[[#This Row],[Y]]-$Q$12)^2),"")</f>
        <v/>
      </c>
      <c r="L38" s="130"/>
      <c r="M38" s="132"/>
      <c r="N38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38" s="6"/>
      <c r="U38" s="6" t="str">
        <f t="shared" si="0"/>
        <v/>
      </c>
    </row>
    <row r="39" spans="1:21" x14ac:dyDescent="0.3">
      <c r="A39" s="9"/>
      <c r="B39" s="130"/>
      <c r="C39" s="130"/>
      <c r="D39" s="112"/>
      <c r="E39" s="153" t="str">
        <f>IFERROR(VLOOKUP(GERAL[[#This Row],[PONTO]],COORD,2,0),"")</f>
        <v/>
      </c>
      <c r="F39" s="153" t="str">
        <f>IFERROR(VLOOKUP(GERAL[[#This Row],[PONTO]],COORD,3,0),"")</f>
        <v/>
      </c>
      <c r="G39" s="112" t="str">
        <f>IFERROR(VLOOKUP(GERAL[[#This Row],[PONTO]],RAMAIS_ATUAL,24,0),"")</f>
        <v/>
      </c>
      <c r="H39" s="112" t="str">
        <f>IFERROR(SUMIF(GERAL[TRECHO],GERAL[[#This Row],[PONTO]],GERAL[CLT ACUMULADO])+GERAL[[#This Row],[CLIENTES]],"")</f>
        <v/>
      </c>
      <c r="I39" s="55" t="str">
        <f>IFERROR(VLOOKUP(GERAL[[#This Row],[PONTO]],
      RAMAIS_ATUAL,
      IF($J$2="SIM",25,23),
      FALSE),
"")</f>
        <v/>
      </c>
      <c r="J39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39" s="55" t="str">
        <f>IFERROR(SQRT((GERAL[[#This Row],[X]]-$Q$11)^2+(GERAL[[#This Row],[Y]]-$Q$12)^2),"")</f>
        <v/>
      </c>
      <c r="L39" s="130"/>
      <c r="M39" s="132"/>
      <c r="N39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39" s="6"/>
      <c r="U39" s="6" t="str">
        <f t="shared" si="0"/>
        <v/>
      </c>
    </row>
    <row r="40" spans="1:21" x14ac:dyDescent="0.3">
      <c r="A40" s="9"/>
      <c r="B40" s="130"/>
      <c r="C40" s="130"/>
      <c r="D40" s="112"/>
      <c r="E40" s="153" t="str">
        <f>IFERROR(VLOOKUP(GERAL[[#This Row],[PONTO]],COORD,2,0),"")</f>
        <v/>
      </c>
      <c r="F40" s="153" t="str">
        <f>IFERROR(VLOOKUP(GERAL[[#This Row],[PONTO]],COORD,3,0),"")</f>
        <v/>
      </c>
      <c r="G40" s="112" t="str">
        <f>IFERROR(VLOOKUP(GERAL[[#This Row],[PONTO]],RAMAIS_ATUAL,24,0),"")</f>
        <v/>
      </c>
      <c r="H40" s="112" t="str">
        <f>IFERROR(SUMIF(GERAL[TRECHO],GERAL[[#This Row],[PONTO]],GERAL[CLT ACUMULADO])+GERAL[[#This Row],[CLIENTES]],"")</f>
        <v/>
      </c>
      <c r="I40" s="55" t="str">
        <f>IFERROR(VLOOKUP(GERAL[[#This Row],[PONTO]],
      RAMAIS_ATUAL,
      IF($J$2="SIM",25,23),
      FALSE),
"")</f>
        <v/>
      </c>
      <c r="J40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0" s="55" t="str">
        <f>IFERROR(SQRT((GERAL[[#This Row],[X]]-$Q$11)^2+(GERAL[[#This Row],[Y]]-$Q$12)^2),"")</f>
        <v/>
      </c>
      <c r="L40" s="130"/>
      <c r="M40" s="132"/>
      <c r="N40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40" s="6"/>
      <c r="U40" s="6" t="str">
        <f t="shared" si="0"/>
        <v/>
      </c>
    </row>
    <row r="41" spans="1:21" x14ac:dyDescent="0.3">
      <c r="A41" s="9"/>
      <c r="B41" s="130"/>
      <c r="C41" s="130"/>
      <c r="D41" s="112"/>
      <c r="E41" s="153" t="str">
        <f>IFERROR(VLOOKUP(GERAL[[#This Row],[PONTO]],COORD,2,0),"")</f>
        <v/>
      </c>
      <c r="F41" s="153" t="str">
        <f>IFERROR(VLOOKUP(GERAL[[#This Row],[PONTO]],COORD,3,0),"")</f>
        <v/>
      </c>
      <c r="G41" s="112" t="str">
        <f>IFERROR(VLOOKUP(GERAL[[#This Row],[PONTO]],RAMAIS_ATUAL,24,0),"")</f>
        <v/>
      </c>
      <c r="H41" s="112" t="str">
        <f>IFERROR(SUMIF(GERAL[TRECHO],GERAL[[#This Row],[PONTO]],GERAL[CLT ACUMULADO])+GERAL[[#This Row],[CLIENTES]],"")</f>
        <v/>
      </c>
      <c r="I41" s="55" t="str">
        <f>IFERROR(VLOOKUP(GERAL[[#This Row],[PONTO]],
      RAMAIS_ATUAL,
      IF($J$2="SIM",25,23),
      FALSE),
"")</f>
        <v/>
      </c>
      <c r="J41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1" s="55" t="str">
        <f>IFERROR(SQRT((GERAL[[#This Row],[X]]-$Q$11)^2+(GERAL[[#This Row],[Y]]-$Q$12)^2),"")</f>
        <v/>
      </c>
      <c r="L41" s="130"/>
      <c r="M41" s="132"/>
      <c r="N41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41" s="6"/>
      <c r="U41" s="6" t="str">
        <f t="shared" si="0"/>
        <v/>
      </c>
    </row>
    <row r="42" spans="1:21" x14ac:dyDescent="0.3">
      <c r="A42" s="9"/>
      <c r="B42" s="130"/>
      <c r="C42" s="130"/>
      <c r="D42" s="112"/>
      <c r="E42" s="153" t="str">
        <f>IFERROR(VLOOKUP(GERAL[[#This Row],[PONTO]],COORD,2,0),"")</f>
        <v/>
      </c>
      <c r="F42" s="153" t="str">
        <f>IFERROR(VLOOKUP(GERAL[[#This Row],[PONTO]],COORD,3,0),"")</f>
        <v/>
      </c>
      <c r="G42" s="112" t="str">
        <f>IFERROR(VLOOKUP(GERAL[[#This Row],[PONTO]],RAMAIS_ATUAL,24,0),"")</f>
        <v/>
      </c>
      <c r="H42" s="112" t="str">
        <f>IFERROR(SUMIF(GERAL[TRECHO],GERAL[[#This Row],[PONTO]],GERAL[CLT ACUMULADO])+GERAL[[#This Row],[CLIENTES]],"")</f>
        <v/>
      </c>
      <c r="I42" s="55" t="str">
        <f>IFERROR(VLOOKUP(GERAL[[#This Row],[PONTO]],
      RAMAIS_ATUAL,
      IF($J$2="SIM",25,23),
      FALSE),
"")</f>
        <v/>
      </c>
      <c r="J42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2" s="55" t="str">
        <f>IFERROR(SQRT((GERAL[[#This Row],[X]]-$Q$11)^2+(GERAL[[#This Row],[Y]]-$Q$12)^2),"")</f>
        <v/>
      </c>
      <c r="L42" s="130"/>
      <c r="M42" s="132"/>
      <c r="N42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42" s="6"/>
      <c r="U42" s="6" t="str">
        <f t="shared" si="0"/>
        <v/>
      </c>
    </row>
    <row r="43" spans="1:21" x14ac:dyDescent="0.3">
      <c r="A43" s="9"/>
      <c r="B43" s="130"/>
      <c r="C43" s="130"/>
      <c r="D43" s="112"/>
      <c r="E43" s="153" t="str">
        <f>IFERROR(VLOOKUP(GERAL[[#This Row],[PONTO]],COORD,2,0),"")</f>
        <v/>
      </c>
      <c r="F43" s="153" t="str">
        <f>IFERROR(VLOOKUP(GERAL[[#This Row],[PONTO]],COORD,3,0),"")</f>
        <v/>
      </c>
      <c r="G43" s="112" t="str">
        <f>IFERROR(VLOOKUP(GERAL[[#This Row],[PONTO]],RAMAIS_ATUAL,24,0),"")</f>
        <v/>
      </c>
      <c r="H43" s="112" t="str">
        <f>IFERROR(SUMIF(GERAL[TRECHO],GERAL[[#This Row],[PONTO]],GERAL[CLT ACUMULADO])+GERAL[[#This Row],[CLIENTES]],"")</f>
        <v/>
      </c>
      <c r="I43" s="55" t="str">
        <f>IFERROR(VLOOKUP(GERAL[[#This Row],[PONTO]],
      RAMAIS_ATUAL,
      IF($J$2="SIM",25,23),
      FALSE),
"")</f>
        <v/>
      </c>
      <c r="J43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3" s="55" t="str">
        <f>IFERROR(SQRT((GERAL[[#This Row],[X]]-$Q$11)^2+(GERAL[[#This Row],[Y]]-$Q$12)^2),"")</f>
        <v/>
      </c>
      <c r="L43" s="130"/>
      <c r="M43" s="132"/>
      <c r="N43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43" s="6"/>
      <c r="U43" s="6" t="str">
        <f t="shared" si="0"/>
        <v/>
      </c>
    </row>
    <row r="44" spans="1:21" x14ac:dyDescent="0.3">
      <c r="A44" s="9"/>
      <c r="B44" s="130"/>
      <c r="C44" s="130"/>
      <c r="D44" s="112"/>
      <c r="E44" s="153" t="str">
        <f>IFERROR(VLOOKUP(GERAL[[#This Row],[PONTO]],COORD,2,0),"")</f>
        <v/>
      </c>
      <c r="F44" s="153" t="str">
        <f>IFERROR(VLOOKUP(GERAL[[#This Row],[PONTO]],COORD,3,0),"")</f>
        <v/>
      </c>
      <c r="G44" s="112" t="str">
        <f>IFERROR(VLOOKUP(GERAL[[#This Row],[PONTO]],RAMAIS_ATUAL,24,0),"")</f>
        <v/>
      </c>
      <c r="H44" s="112" t="str">
        <f>IFERROR(SUMIF(GERAL[TRECHO],GERAL[[#This Row],[PONTO]],GERAL[CLT ACUMULADO])+GERAL[[#This Row],[CLIENTES]],"")</f>
        <v/>
      </c>
      <c r="I44" s="55" t="str">
        <f>IFERROR(VLOOKUP(GERAL[[#This Row],[PONTO]],
      RAMAIS_ATUAL,
      IF($J$2="SIM",25,23),
      FALSE),
"")</f>
        <v/>
      </c>
      <c r="J44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4" s="55" t="str">
        <f>IFERROR(SQRT((GERAL[[#This Row],[X]]-$Q$11)^2+(GERAL[[#This Row],[Y]]-$Q$12)^2),"")</f>
        <v/>
      </c>
      <c r="L44" s="130"/>
      <c r="M44" s="132"/>
      <c r="N44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44" s="6"/>
      <c r="U44" s="6" t="str">
        <f t="shared" si="0"/>
        <v/>
      </c>
    </row>
    <row r="45" spans="1:21" x14ac:dyDescent="0.3">
      <c r="B45" s="130"/>
      <c r="C45" s="130"/>
      <c r="D45" s="112"/>
      <c r="E45" s="153" t="str">
        <f>IFERROR(VLOOKUP(GERAL[[#This Row],[PONTO]],COORD,2,0),"")</f>
        <v/>
      </c>
      <c r="F45" s="153" t="str">
        <f>IFERROR(VLOOKUP(GERAL[[#This Row],[PONTO]],COORD,3,0),"")</f>
        <v/>
      </c>
      <c r="G45" s="112" t="str">
        <f>IFERROR(VLOOKUP(GERAL[[#This Row],[PONTO]],RAMAIS_ATUAL,24,0),"")</f>
        <v/>
      </c>
      <c r="H45" s="112" t="str">
        <f>IFERROR(SUMIF(GERAL[TRECHO],GERAL[[#This Row],[PONTO]],GERAL[CLT ACUMULADO])+GERAL[[#This Row],[CLIENTES]],"")</f>
        <v/>
      </c>
      <c r="I45" s="55" t="str">
        <f>IFERROR(VLOOKUP(GERAL[[#This Row],[PONTO]],
      RAMAIS_ATUAL,
      IF($J$2="SIM",25,23),
      FALSE),
"")</f>
        <v/>
      </c>
      <c r="J45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5" s="55" t="str">
        <f>IFERROR(SQRT((GERAL[[#This Row],[X]]-$Q$11)^2+(GERAL[[#This Row],[Y]]-$Q$12)^2),"")</f>
        <v/>
      </c>
      <c r="L45" s="130"/>
      <c r="M45" s="132" t="str">
        <f t="shared" ref="M45:M51" si="1">IF(U45&lt;&gt;"",U45,"")</f>
        <v/>
      </c>
      <c r="N45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45" s="6"/>
      <c r="U45" s="6" t="str">
        <f t="shared" si="0"/>
        <v/>
      </c>
    </row>
    <row r="46" spans="1:21" x14ac:dyDescent="0.3">
      <c r="B46" s="130"/>
      <c r="C46" s="130"/>
      <c r="D46" s="112"/>
      <c r="E46" s="153" t="str">
        <f>IFERROR(VLOOKUP(GERAL[[#This Row],[PONTO]],COORD,2,0),"")</f>
        <v/>
      </c>
      <c r="F46" s="153" t="str">
        <f>IFERROR(VLOOKUP(GERAL[[#This Row],[PONTO]],COORD,3,0),"")</f>
        <v/>
      </c>
      <c r="G46" s="112" t="str">
        <f>IFERROR(VLOOKUP(GERAL[[#This Row],[PONTO]],RAMAIS_ATUAL,24,0),"")</f>
        <v/>
      </c>
      <c r="H46" s="112" t="str">
        <f>IFERROR(SUMIF(GERAL[TRECHO],GERAL[[#This Row],[PONTO]],GERAL[CLT ACUMULADO])+GERAL[[#This Row],[CLIENTES]],"")</f>
        <v/>
      </c>
      <c r="I46" s="55" t="str">
        <f>IFERROR(VLOOKUP(GERAL[[#This Row],[PONTO]],
      RAMAIS_ATUAL,
      IF($J$2="SIM",25,23),
      FALSE),
"")</f>
        <v/>
      </c>
      <c r="J46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6" s="55" t="str">
        <f>IFERROR(SQRT((GERAL[[#This Row],[X]]-$Q$11)^2+(GERAL[[#This Row],[Y]]-$Q$12)^2),"")</f>
        <v/>
      </c>
      <c r="L46" s="130"/>
      <c r="M46" s="132" t="str">
        <f t="shared" si="1"/>
        <v/>
      </c>
      <c r="N46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T46" s="6"/>
      <c r="U46" s="6" t="str">
        <f t="shared" si="0"/>
        <v/>
      </c>
    </row>
    <row r="47" spans="1:21" x14ac:dyDescent="0.3">
      <c r="B47" s="130"/>
      <c r="C47" s="130"/>
      <c r="D47" s="112"/>
      <c r="E47" s="153" t="str">
        <f>IFERROR(VLOOKUP(GERAL[[#This Row],[PONTO]],COORD,2,0),"")</f>
        <v/>
      </c>
      <c r="F47" s="153" t="str">
        <f>IFERROR(VLOOKUP(GERAL[[#This Row],[PONTO]],COORD,3,0),"")</f>
        <v/>
      </c>
      <c r="G47" s="112" t="str">
        <f>IFERROR(VLOOKUP(GERAL[[#This Row],[PONTO]],RAMAIS_ATUAL,24,0),"")</f>
        <v/>
      </c>
      <c r="H47" s="112" t="str">
        <f>IFERROR(SUMIF(GERAL[TRECHO],GERAL[[#This Row],[PONTO]],GERAL[CLT ACUMULADO])+GERAL[[#This Row],[CLIENTES]],"")</f>
        <v/>
      </c>
      <c r="I47" s="55" t="str">
        <f>IFERROR(VLOOKUP(GERAL[[#This Row],[PONTO]],
      RAMAIS_ATUAL,
      IF($J$2="SIM",25,23),
      FALSE),
"")</f>
        <v/>
      </c>
      <c r="J47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7" s="55" t="str">
        <f>IFERROR(SQRT((GERAL[[#This Row],[X]]-$Q$11)^2+(GERAL[[#This Row],[Y]]-$Q$12)^2),"")</f>
        <v/>
      </c>
      <c r="L47" s="130"/>
      <c r="M47" s="132" t="str">
        <f t="shared" si="1"/>
        <v/>
      </c>
      <c r="N47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U47" s="6" t="str">
        <f t="shared" si="0"/>
        <v/>
      </c>
    </row>
    <row r="48" spans="1:21" x14ac:dyDescent="0.3">
      <c r="B48" s="130"/>
      <c r="C48" s="130"/>
      <c r="D48" s="112"/>
      <c r="E48" s="153" t="str">
        <f>IFERROR(VLOOKUP(GERAL[[#This Row],[PONTO]],COORD,2,0),"")</f>
        <v/>
      </c>
      <c r="F48" s="153" t="str">
        <f>IFERROR(VLOOKUP(GERAL[[#This Row],[PONTO]],COORD,3,0),"")</f>
        <v/>
      </c>
      <c r="G48" s="112" t="str">
        <f>IFERROR(VLOOKUP(GERAL[[#This Row],[PONTO]],RAMAIS_ATUAL,24,0),"")</f>
        <v/>
      </c>
      <c r="H48" s="112" t="str">
        <f>IFERROR(SUMIF(GERAL[TRECHO],GERAL[[#This Row],[PONTO]],GERAL[CLT ACUMULADO])+GERAL[[#This Row],[CLIENTES]],"")</f>
        <v/>
      </c>
      <c r="I48" s="55" t="str">
        <f>IFERROR(VLOOKUP(GERAL[[#This Row],[PONTO]],
      RAMAIS_ATUAL,
      IF($J$2="SIM",25,23),
      FALSE),
"")</f>
        <v/>
      </c>
      <c r="J48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8" s="55" t="str">
        <f>IFERROR(SQRT((GERAL[[#This Row],[X]]-$Q$11)^2+(GERAL[[#This Row],[Y]]-$Q$12)^2),"")</f>
        <v/>
      </c>
      <c r="L48" s="130"/>
      <c r="M48" s="132" t="str">
        <f t="shared" si="1"/>
        <v/>
      </c>
      <c r="N48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U48" s="6" t="str">
        <f t="shared" si="0"/>
        <v/>
      </c>
    </row>
    <row r="49" spans="2:21" x14ac:dyDescent="0.3">
      <c r="B49" s="130"/>
      <c r="C49" s="130"/>
      <c r="D49" s="112"/>
      <c r="E49" s="153" t="str">
        <f>IFERROR(VLOOKUP(GERAL[[#This Row],[PONTO]],COORD,2,0),"")</f>
        <v/>
      </c>
      <c r="F49" s="153" t="str">
        <f>IFERROR(VLOOKUP(GERAL[[#This Row],[PONTO]],COORD,3,0),"")</f>
        <v/>
      </c>
      <c r="G49" s="112" t="str">
        <f>IFERROR(VLOOKUP(GERAL[[#This Row],[PONTO]],RAMAIS_ATUAL,24,0),"")</f>
        <v/>
      </c>
      <c r="H49" s="112" t="str">
        <f>IFERROR(SUMIF(GERAL[TRECHO],GERAL[[#This Row],[PONTO]],GERAL[CLT ACUMULADO])+GERAL[[#This Row],[CLIENTES]],"")</f>
        <v/>
      </c>
      <c r="I49" s="55" t="str">
        <f>IFERROR(VLOOKUP(GERAL[[#This Row],[PONTO]],
      RAMAIS_ATUAL,
      IF($J$2="SIM",25,23),
      FALSE),
"")</f>
        <v/>
      </c>
      <c r="J49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49" s="55" t="str">
        <f>IFERROR(SQRT((GERAL[[#This Row],[X]]-$Q$11)^2+(GERAL[[#This Row],[Y]]-$Q$12)^2),"")</f>
        <v/>
      </c>
      <c r="L49" s="130"/>
      <c r="M49" s="132" t="str">
        <f t="shared" si="1"/>
        <v/>
      </c>
      <c r="N49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U49" s="6" t="str">
        <f t="shared" si="0"/>
        <v/>
      </c>
    </row>
    <row r="50" spans="2:21" x14ac:dyDescent="0.3">
      <c r="B50" s="130"/>
      <c r="C50" s="130"/>
      <c r="D50" s="112"/>
      <c r="E50" s="153" t="str">
        <f>IFERROR(VLOOKUP(GERAL[[#This Row],[PONTO]],COORD,2,0),"")</f>
        <v/>
      </c>
      <c r="F50" s="153" t="str">
        <f>IFERROR(VLOOKUP(GERAL[[#This Row],[PONTO]],COORD,3,0),"")</f>
        <v/>
      </c>
      <c r="G50" s="112" t="str">
        <f>IFERROR(VLOOKUP(GERAL[[#This Row],[PONTO]],RAMAIS_ATUAL,24,0),"")</f>
        <v/>
      </c>
      <c r="H50" s="112" t="str">
        <f>IFERROR(SUMIF(GERAL[TRECHO],GERAL[[#This Row],[PONTO]],GERAL[CLT ACUMULADO])+GERAL[[#This Row],[CLIENTES]],"")</f>
        <v/>
      </c>
      <c r="I50" s="55" t="str">
        <f>IFERROR(VLOOKUP(GERAL[[#This Row],[PONTO]],
      RAMAIS_ATUAL,
      IF($J$2="SIM",25,23),
      FALSE),
"")</f>
        <v/>
      </c>
      <c r="J50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50" s="55" t="str">
        <f>IFERROR(SQRT((GERAL[[#This Row],[X]]-$Q$11)^2+(GERAL[[#This Row],[Y]]-$Q$12)^2),"")</f>
        <v/>
      </c>
      <c r="L50" s="130"/>
      <c r="M50" s="132" t="str">
        <f t="shared" si="1"/>
        <v/>
      </c>
      <c r="N50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U50" s="6" t="str">
        <f t="shared" si="0"/>
        <v/>
      </c>
    </row>
    <row r="51" spans="2:21" x14ac:dyDescent="0.3">
      <c r="B51" s="130"/>
      <c r="C51" s="130"/>
      <c r="D51" s="112" t="str">
        <f>IFERROR(IF(GERAL[[#This Row],[LADO]]="TRAFO",4,SQRT((VLOOKUP(GERAL[[#This Row],[TRECHO]],Tabela13[],2,0)-GERAL[[#This Row],[X]])^2+(VLOOKUP(GERAL[[#This Row],[TRECHO]],Tabela13[],3,0)-GERAL[[#This Row],[Y]])^2)),"")</f>
        <v/>
      </c>
      <c r="E51" s="153" t="str">
        <f>IFERROR(VLOOKUP(GERAL[[#This Row],[PONTO]],COORD,2,0),"")</f>
        <v/>
      </c>
      <c r="F51" s="153" t="str">
        <f>IFERROR(VLOOKUP(GERAL[[#This Row],[PONTO]],COORD,3,0),"")</f>
        <v/>
      </c>
      <c r="G51" s="112" t="str">
        <f>IFERROR(VLOOKUP(GERAL[[#This Row],[PONTO]],RAMAIS_ATUAL,24,0),"")</f>
        <v/>
      </c>
      <c r="H51" s="112" t="str">
        <f>IFERROR(SUMIF(GERAL[TRECHO],GERAL[[#This Row],[PONTO]],GERAL[CLT ACUMULADO])+GERAL[[#This Row],[CLIENTES]],"")</f>
        <v/>
      </c>
      <c r="I51" s="55" t="str">
        <f>IFERROR(VLOOKUP(GERAL[[#This Row],[PONTO]],
      RAMAIS_ATUAL,
      IF($J$2="SIM",25,23),
      FALSE),
"")</f>
        <v/>
      </c>
      <c r="J51" s="55" t="str">
        <f>IFERROR(IF(TRIM(UPPER($J$2))="SIM",
      VLOOKUP(GERAL[[#This Row],[CLT ACUMULADO]],AUX_CLAN,4,FALSE),
      SUMIF(GERAL[TRECHO],GERAL[[#This Row],[PONTO]],GERAL[ACUMULADA])+GERAL[[#This Row],[TOTAL DO TRECHO]]),
"")</f>
        <v/>
      </c>
      <c r="K51" s="55" t="str">
        <f>IFERROR(SQRT((GERAL[[#This Row],[X]]-$Q$11)^2+(GERAL[[#This Row],[Y]]-$Q$12)^2),"")</f>
        <v/>
      </c>
      <c r="L51" s="130"/>
      <c r="M51" s="132" t="str">
        <f t="shared" si="1"/>
        <v/>
      </c>
      <c r="N51" s="139" t="str">
        <f>IFERROR(IF(GERAL[[#This Row],[LADO]]="LADO 1",VLOOKUP(GERAL[[#This Row],[PONTO]],Tabela7[],16,0),IF(GERAL[[#This Row],[LADO]]="LADO 2",VLOOKUP(GERAL[[#This Row],[PONTO]],DIR_ATUAL[],16,0),IF(GERAL[[#This Row],[LADO]]="LADO 3",VLOOKUP(GERAL[[#This Row],[PONTO]],DIR_ATUAL22[],16,0),IF(GERAL[[#This Row],[LADO]]="LADO 4",VLOOKUP(GERAL[[#This Row],[PONTO]],DIR_ATUAL2224[],16,0),IF(GERAL[[#This Row],[LADO]]="TRAFO",T_LINHA_MONO*(1-QT_MTTR),""))))),"IGNORADO")</f>
        <v/>
      </c>
      <c r="U51" s="6" t="str">
        <f t="shared" si="0"/>
        <v/>
      </c>
    </row>
    <row r="52" spans="2:21" x14ac:dyDescent="0.3">
      <c r="E52" s="7"/>
      <c r="F52" s="7"/>
      <c r="G52" s="7"/>
      <c r="H52" s="7"/>
    </row>
    <row r="53" spans="2:21" x14ac:dyDescent="0.3">
      <c r="E53" s="7"/>
      <c r="F53" s="7"/>
      <c r="G53" s="7"/>
      <c r="H53" s="7"/>
    </row>
    <row r="54" spans="2:21" x14ac:dyDescent="0.3">
      <c r="E54" s="7"/>
      <c r="F54" s="7"/>
      <c r="G54" s="7"/>
      <c r="H54" s="7"/>
    </row>
    <row r="55" spans="2:21" x14ac:dyDescent="0.3">
      <c r="E55" s="7"/>
      <c r="F55" s="7"/>
      <c r="G55" s="7"/>
      <c r="H55" s="7"/>
    </row>
    <row r="56" spans="2:21" x14ac:dyDescent="0.3">
      <c r="E56" s="7"/>
      <c r="F56" s="7"/>
      <c r="G56" s="7"/>
      <c r="H56" s="7"/>
    </row>
    <row r="57" spans="2:21" x14ac:dyDescent="0.3">
      <c r="E57" s="7"/>
      <c r="F57" s="7"/>
      <c r="G57" s="7"/>
      <c r="H57" s="7"/>
    </row>
    <row r="58" spans="2:21" x14ac:dyDescent="0.3">
      <c r="E58" s="7"/>
      <c r="F58" s="7"/>
      <c r="G58" s="7"/>
      <c r="H58" s="7"/>
    </row>
    <row r="59" spans="2:21" x14ac:dyDescent="0.3">
      <c r="E59" s="7"/>
      <c r="F59" s="7"/>
      <c r="G59" s="7"/>
      <c r="H59" s="7"/>
    </row>
    <row r="60" spans="2:21" x14ac:dyDescent="0.3">
      <c r="E60" s="7"/>
      <c r="F60" s="7"/>
      <c r="G60" s="7"/>
      <c r="H60" s="7"/>
    </row>
    <row r="61" spans="2:21" x14ac:dyDescent="0.3">
      <c r="E61" s="7"/>
      <c r="F61" s="7"/>
      <c r="G61" s="7"/>
      <c r="H61" s="7"/>
    </row>
    <row r="62" spans="2:21" x14ac:dyDescent="0.3">
      <c r="E62" s="7"/>
      <c r="F62" s="7"/>
      <c r="G62" s="7"/>
      <c r="H62" s="7"/>
    </row>
    <row r="63" spans="2:21" x14ac:dyDescent="0.3">
      <c r="E63" s="7"/>
      <c r="F63" s="7"/>
      <c r="G63" s="7"/>
      <c r="H63" s="7"/>
    </row>
    <row r="64" spans="2:21" x14ac:dyDescent="0.3">
      <c r="E64" s="7"/>
      <c r="F64" s="7"/>
      <c r="G64" s="7"/>
      <c r="H64" s="7"/>
    </row>
    <row r="65" spans="5:8" x14ac:dyDescent="0.3">
      <c r="E65" s="7"/>
      <c r="F65" s="7"/>
      <c r="G65" s="7"/>
      <c r="H65" s="7"/>
    </row>
    <row r="66" spans="5:8" x14ac:dyDescent="0.3">
      <c r="E66" s="7"/>
      <c r="F66" s="7"/>
      <c r="G66" s="7"/>
      <c r="H66" s="7"/>
    </row>
    <row r="67" spans="5:8" x14ac:dyDescent="0.3">
      <c r="E67" s="7"/>
      <c r="F67" s="7"/>
      <c r="G67" s="7"/>
      <c r="H67" s="7"/>
    </row>
    <row r="68" spans="5:8" x14ac:dyDescent="0.3">
      <c r="E68" s="7"/>
      <c r="F68" s="7"/>
      <c r="G68" s="7"/>
      <c r="H68" s="7"/>
    </row>
    <row r="69" spans="5:8" x14ac:dyDescent="0.3">
      <c r="E69" s="7"/>
      <c r="F69" s="7"/>
      <c r="G69" s="7"/>
      <c r="H69" s="7"/>
    </row>
    <row r="70" spans="5:8" x14ac:dyDescent="0.3">
      <c r="E70" s="7"/>
      <c r="F70" s="7"/>
      <c r="G70" s="7"/>
      <c r="H70" s="7"/>
    </row>
    <row r="71" spans="5:8" x14ac:dyDescent="0.3">
      <c r="E71" s="7"/>
      <c r="F71" s="7"/>
      <c r="G71" s="7"/>
      <c r="H71" s="7"/>
    </row>
    <row r="72" spans="5:8" x14ac:dyDescent="0.3">
      <c r="E72" s="7"/>
      <c r="F72" s="7"/>
      <c r="G72" s="7"/>
      <c r="H72" s="7"/>
    </row>
    <row r="73" spans="5:8" x14ac:dyDescent="0.3">
      <c r="E73" s="7"/>
      <c r="F73" s="7"/>
      <c r="G73" s="7"/>
      <c r="H73" s="7"/>
    </row>
    <row r="74" spans="5:8" x14ac:dyDescent="0.3">
      <c r="E74" s="7"/>
      <c r="F74" s="7"/>
      <c r="G74" s="7"/>
      <c r="H74" s="7"/>
    </row>
    <row r="75" spans="5:8" x14ac:dyDescent="0.3">
      <c r="E75" s="7"/>
      <c r="F75" s="7"/>
      <c r="G75" s="7"/>
      <c r="H75" s="7"/>
    </row>
    <row r="76" spans="5:8" x14ac:dyDescent="0.3">
      <c r="E76" s="7"/>
      <c r="F76" s="7"/>
      <c r="G76" s="7"/>
      <c r="H76" s="7"/>
    </row>
    <row r="77" spans="5:8" x14ac:dyDescent="0.3">
      <c r="E77" s="7"/>
      <c r="F77" s="7"/>
      <c r="G77" s="7"/>
      <c r="H77" s="7"/>
    </row>
    <row r="78" spans="5:8" x14ac:dyDescent="0.3">
      <c r="E78" s="7"/>
      <c r="F78" s="7"/>
      <c r="G78" s="7"/>
      <c r="H78" s="7"/>
    </row>
    <row r="79" spans="5:8" x14ac:dyDescent="0.3">
      <c r="E79" s="7"/>
      <c r="F79" s="7"/>
      <c r="G79" s="7"/>
      <c r="H79" s="7"/>
    </row>
    <row r="80" spans="5:8" x14ac:dyDescent="0.3">
      <c r="E80" s="7"/>
      <c r="F80" s="7"/>
      <c r="G80" s="7"/>
      <c r="H80" s="7"/>
    </row>
    <row r="81" spans="5:8" x14ac:dyDescent="0.3">
      <c r="E81" s="7"/>
      <c r="F81" s="7"/>
      <c r="G81" s="7"/>
      <c r="H81" s="7"/>
    </row>
    <row r="82" spans="5:8" x14ac:dyDescent="0.3">
      <c r="E82" s="7"/>
      <c r="F82" s="7"/>
      <c r="G82" s="7"/>
      <c r="H82" s="7"/>
    </row>
    <row r="83" spans="5:8" x14ac:dyDescent="0.3">
      <c r="E83" s="7"/>
      <c r="F83" s="7"/>
      <c r="G83" s="7"/>
      <c r="H83" s="7"/>
    </row>
    <row r="84" spans="5:8" x14ac:dyDescent="0.3">
      <c r="E84" s="7"/>
      <c r="F84" s="7"/>
      <c r="G84" s="7"/>
      <c r="H84" s="7"/>
    </row>
    <row r="85" spans="5:8" x14ac:dyDescent="0.3">
      <c r="E85" s="7"/>
      <c r="F85" s="7"/>
      <c r="G85" s="7"/>
      <c r="H85" s="7"/>
    </row>
    <row r="86" spans="5:8" x14ac:dyDescent="0.3">
      <c r="E86" s="7"/>
      <c r="F86" s="7"/>
      <c r="G86" s="7"/>
      <c r="H86" s="7"/>
    </row>
    <row r="87" spans="5:8" x14ac:dyDescent="0.3">
      <c r="E87" s="7"/>
      <c r="F87" s="7"/>
      <c r="G87" s="7"/>
      <c r="H87" s="7"/>
    </row>
    <row r="88" spans="5:8" x14ac:dyDescent="0.3">
      <c r="E88" s="7"/>
      <c r="F88" s="7"/>
      <c r="G88" s="7"/>
      <c r="H88" s="7"/>
    </row>
    <row r="89" spans="5:8" x14ac:dyDescent="0.3">
      <c r="E89" s="7"/>
      <c r="F89" s="7"/>
      <c r="G89" s="7"/>
      <c r="H89" s="7"/>
    </row>
    <row r="90" spans="5:8" x14ac:dyDescent="0.3">
      <c r="E90" s="7"/>
      <c r="F90" s="7"/>
      <c r="G90" s="7"/>
      <c r="H90" s="7"/>
    </row>
    <row r="91" spans="5:8" x14ac:dyDescent="0.3">
      <c r="E91" s="7"/>
      <c r="F91" s="7"/>
      <c r="G91" s="7"/>
      <c r="H91" s="7"/>
    </row>
    <row r="92" spans="5:8" x14ac:dyDescent="0.3">
      <c r="E92" s="7"/>
      <c r="F92" s="7"/>
      <c r="G92" s="7"/>
      <c r="H92" s="7"/>
    </row>
    <row r="93" spans="5:8" x14ac:dyDescent="0.3">
      <c r="E93" s="7"/>
      <c r="F93" s="7"/>
      <c r="G93" s="7"/>
      <c r="H93" s="7"/>
    </row>
    <row r="94" spans="5:8" x14ac:dyDescent="0.3">
      <c r="E94" s="7"/>
      <c r="F94" s="7"/>
      <c r="G94" s="7"/>
      <c r="H94" s="7"/>
    </row>
    <row r="95" spans="5:8" x14ac:dyDescent="0.3">
      <c r="E95" s="7"/>
      <c r="F95" s="7"/>
      <c r="G95" s="7"/>
      <c r="H95" s="7"/>
    </row>
    <row r="96" spans="5:8" x14ac:dyDescent="0.3">
      <c r="E96" s="7"/>
      <c r="F96" s="7"/>
      <c r="G96" s="7"/>
      <c r="H96" s="7"/>
    </row>
    <row r="97" spans="5:8" x14ac:dyDescent="0.3">
      <c r="E97" s="7"/>
      <c r="F97" s="7"/>
      <c r="G97" s="7"/>
      <c r="H97" s="7"/>
    </row>
    <row r="98" spans="5:8" x14ac:dyDescent="0.3">
      <c r="E98" s="7"/>
      <c r="F98" s="7"/>
      <c r="G98" s="7"/>
      <c r="H98" s="7"/>
    </row>
    <row r="99" spans="5:8" x14ac:dyDescent="0.3">
      <c r="E99" s="7"/>
      <c r="F99" s="7"/>
      <c r="G99" s="7"/>
      <c r="H99" s="7"/>
    </row>
    <row r="100" spans="5:8" x14ac:dyDescent="0.3">
      <c r="E100" s="7"/>
      <c r="F100" s="7"/>
      <c r="G100" s="7"/>
      <c r="H100" s="7"/>
    </row>
    <row r="101" spans="5:8" x14ac:dyDescent="0.3">
      <c r="E101" s="7"/>
      <c r="F101" s="7"/>
      <c r="G101" s="7"/>
      <c r="H101" s="7"/>
    </row>
    <row r="102" spans="5:8" x14ac:dyDescent="0.3">
      <c r="E102" s="7"/>
      <c r="F102" s="7"/>
      <c r="G102" s="7"/>
      <c r="H102" s="7"/>
    </row>
    <row r="103" spans="5:8" x14ac:dyDescent="0.3">
      <c r="E103" s="7"/>
      <c r="F103" s="7"/>
      <c r="G103" s="7"/>
      <c r="H103" s="7"/>
    </row>
    <row r="104" spans="5:8" x14ac:dyDescent="0.3">
      <c r="E104" s="7"/>
      <c r="F104" s="7"/>
      <c r="G104" s="7"/>
      <c r="H104" s="7"/>
    </row>
    <row r="105" spans="5:8" x14ac:dyDescent="0.3">
      <c r="E105" s="7"/>
      <c r="F105" s="7"/>
      <c r="G105" s="7"/>
      <c r="H105" s="7"/>
    </row>
    <row r="106" spans="5:8" x14ac:dyDescent="0.3">
      <c r="E106" s="7"/>
      <c r="F106" s="7"/>
      <c r="G106" s="7"/>
      <c r="H106" s="7"/>
    </row>
    <row r="107" spans="5:8" x14ac:dyDescent="0.3">
      <c r="E107" s="7"/>
      <c r="F107" s="7"/>
      <c r="G107" s="7"/>
      <c r="H107" s="7"/>
    </row>
    <row r="108" spans="5:8" x14ac:dyDescent="0.3">
      <c r="E108" s="7"/>
      <c r="F108" s="7"/>
      <c r="G108" s="7"/>
      <c r="H108" s="7"/>
    </row>
    <row r="109" spans="5:8" x14ac:dyDescent="0.3">
      <c r="E109" s="7"/>
      <c r="F109" s="7"/>
      <c r="G109" s="7"/>
      <c r="H109" s="7"/>
    </row>
    <row r="110" spans="5:8" x14ac:dyDescent="0.3">
      <c r="E110" s="7"/>
      <c r="F110" s="7"/>
      <c r="G110" s="7"/>
      <c r="H110" s="7"/>
    </row>
    <row r="111" spans="5:8" x14ac:dyDescent="0.3">
      <c r="E111" s="7"/>
      <c r="F111" s="7"/>
      <c r="G111" s="7"/>
      <c r="H111" s="7"/>
    </row>
    <row r="112" spans="5:8" x14ac:dyDescent="0.3">
      <c r="E112" s="7"/>
      <c r="F112" s="7"/>
      <c r="G112" s="7"/>
      <c r="H112" s="7"/>
    </row>
    <row r="113" spans="5:8" x14ac:dyDescent="0.3">
      <c r="E113" s="7"/>
      <c r="F113" s="7"/>
      <c r="G113" s="7"/>
      <c r="H113" s="7"/>
    </row>
    <row r="114" spans="5:8" x14ac:dyDescent="0.3">
      <c r="E114" s="7"/>
      <c r="F114" s="7"/>
      <c r="G114" s="7"/>
      <c r="H114" s="7"/>
    </row>
    <row r="115" spans="5:8" x14ac:dyDescent="0.3">
      <c r="E115" s="7"/>
      <c r="F115" s="7"/>
      <c r="G115" s="7"/>
      <c r="H115" s="7"/>
    </row>
    <row r="116" spans="5:8" x14ac:dyDescent="0.3">
      <c r="E116" s="7"/>
      <c r="F116" s="7"/>
      <c r="G116" s="7"/>
      <c r="H116" s="7"/>
    </row>
    <row r="117" spans="5:8" x14ac:dyDescent="0.3">
      <c r="E117" s="7"/>
      <c r="F117" s="7"/>
      <c r="G117" s="7"/>
      <c r="H117" s="7"/>
    </row>
    <row r="118" spans="5:8" x14ac:dyDescent="0.3">
      <c r="E118" s="7"/>
      <c r="F118" s="7"/>
      <c r="G118" s="7"/>
      <c r="H118" s="7"/>
    </row>
    <row r="119" spans="5:8" x14ac:dyDescent="0.3">
      <c r="E119" s="7"/>
      <c r="F119" s="7"/>
      <c r="G119" s="7"/>
      <c r="H119" s="7"/>
    </row>
    <row r="120" spans="5:8" x14ac:dyDescent="0.3">
      <c r="E120" s="7"/>
      <c r="F120" s="7"/>
      <c r="G120" s="7"/>
      <c r="H120" s="7"/>
    </row>
    <row r="121" spans="5:8" x14ac:dyDescent="0.3">
      <c r="E121" s="7"/>
      <c r="F121" s="7"/>
      <c r="G121" s="7"/>
      <c r="H121" s="7"/>
    </row>
    <row r="122" spans="5:8" x14ac:dyDescent="0.3">
      <c r="E122" s="7"/>
      <c r="F122" s="7"/>
      <c r="G122" s="7"/>
      <c r="H122" s="7"/>
    </row>
    <row r="123" spans="5:8" x14ac:dyDescent="0.3">
      <c r="E123" s="7"/>
      <c r="F123" s="7"/>
      <c r="G123" s="7"/>
      <c r="H123" s="7"/>
    </row>
    <row r="124" spans="5:8" x14ac:dyDescent="0.3">
      <c r="E124" s="7"/>
      <c r="F124" s="7"/>
      <c r="G124" s="7"/>
      <c r="H124" s="7"/>
    </row>
    <row r="125" spans="5:8" x14ac:dyDescent="0.3">
      <c r="E125" s="7"/>
      <c r="F125" s="7"/>
      <c r="G125" s="7"/>
      <c r="H125" s="7"/>
    </row>
    <row r="126" spans="5:8" x14ac:dyDescent="0.3">
      <c r="E126" s="7"/>
      <c r="F126" s="7"/>
      <c r="G126" s="7"/>
      <c r="H126" s="7"/>
    </row>
    <row r="127" spans="5:8" x14ac:dyDescent="0.3">
      <c r="E127" s="7"/>
      <c r="F127" s="7"/>
      <c r="G127" s="7"/>
      <c r="H127" s="7"/>
    </row>
    <row r="128" spans="5:8" x14ac:dyDescent="0.3">
      <c r="E128" s="7"/>
      <c r="F128" s="7"/>
      <c r="G128" s="7"/>
      <c r="H128" s="7"/>
    </row>
    <row r="129" spans="5:8" x14ac:dyDescent="0.3">
      <c r="E129" s="7"/>
      <c r="F129" s="7"/>
      <c r="G129" s="7"/>
      <c r="H129" s="7"/>
    </row>
    <row r="130" spans="5:8" x14ac:dyDescent="0.3">
      <c r="E130" s="7"/>
      <c r="F130" s="7"/>
      <c r="G130" s="7"/>
      <c r="H130" s="7"/>
    </row>
    <row r="131" spans="5:8" x14ac:dyDescent="0.3">
      <c r="E131" s="7"/>
      <c r="F131" s="7"/>
      <c r="G131" s="7"/>
      <c r="H131" s="7"/>
    </row>
    <row r="132" spans="5:8" x14ac:dyDescent="0.3">
      <c r="E132" s="7"/>
      <c r="F132" s="7"/>
      <c r="G132" s="7"/>
      <c r="H132" s="7"/>
    </row>
    <row r="133" spans="5:8" x14ac:dyDescent="0.3">
      <c r="E133" s="7"/>
      <c r="F133" s="7"/>
      <c r="G133" s="7"/>
      <c r="H133" s="7"/>
    </row>
    <row r="134" spans="5:8" x14ac:dyDescent="0.3">
      <c r="E134" s="7"/>
      <c r="F134" s="7"/>
      <c r="G134" s="7"/>
      <c r="H134" s="7"/>
    </row>
    <row r="135" spans="5:8" x14ac:dyDescent="0.3">
      <c r="E135" s="7"/>
      <c r="F135" s="7"/>
      <c r="G135" s="7"/>
      <c r="H135" s="7"/>
    </row>
    <row r="136" spans="5:8" x14ac:dyDescent="0.3">
      <c r="E136" s="7"/>
      <c r="F136" s="7"/>
      <c r="G136" s="7"/>
      <c r="H136" s="7"/>
    </row>
    <row r="137" spans="5:8" x14ac:dyDescent="0.3">
      <c r="E137" s="7"/>
      <c r="F137" s="7"/>
      <c r="G137" s="7"/>
      <c r="H137" s="7"/>
    </row>
    <row r="138" spans="5:8" x14ac:dyDescent="0.3">
      <c r="E138" s="7"/>
      <c r="F138" s="7"/>
      <c r="G138" s="7"/>
      <c r="H138" s="7"/>
    </row>
    <row r="139" spans="5:8" x14ac:dyDescent="0.3">
      <c r="E139" s="7"/>
      <c r="F139" s="7"/>
      <c r="G139" s="7"/>
      <c r="H139" s="7"/>
    </row>
    <row r="140" spans="5:8" x14ac:dyDescent="0.3">
      <c r="E140" s="7"/>
      <c r="F140" s="7"/>
      <c r="G140" s="7"/>
      <c r="H140" s="7"/>
    </row>
    <row r="141" spans="5:8" x14ac:dyDescent="0.3">
      <c r="E141" s="7"/>
      <c r="F141" s="7"/>
      <c r="G141" s="7"/>
      <c r="H141" s="7"/>
    </row>
    <row r="142" spans="5:8" x14ac:dyDescent="0.3">
      <c r="E142" s="7"/>
      <c r="F142" s="7"/>
      <c r="G142" s="7"/>
      <c r="H142" s="7"/>
    </row>
    <row r="143" spans="5:8" x14ac:dyDescent="0.3">
      <c r="E143" s="7"/>
      <c r="F143" s="7"/>
      <c r="G143" s="7"/>
      <c r="H143" s="7"/>
    </row>
    <row r="144" spans="5:8" x14ac:dyDescent="0.3">
      <c r="E144" s="7"/>
      <c r="F144" s="7"/>
      <c r="G144" s="7"/>
      <c r="H144" s="7"/>
    </row>
    <row r="145" spans="5:8" x14ac:dyDescent="0.3">
      <c r="E145" s="7"/>
      <c r="F145" s="7"/>
      <c r="G145" s="7"/>
      <c r="H145" s="7"/>
    </row>
    <row r="146" spans="5:8" x14ac:dyDescent="0.3">
      <c r="E146" s="7"/>
      <c r="F146" s="7"/>
      <c r="G146" s="7"/>
      <c r="H146" s="7"/>
    </row>
    <row r="147" spans="5:8" x14ac:dyDescent="0.3">
      <c r="E147" s="7"/>
      <c r="F147" s="7"/>
      <c r="G147" s="7"/>
      <c r="H147" s="7"/>
    </row>
    <row r="148" spans="5:8" x14ac:dyDescent="0.3">
      <c r="E148" s="7"/>
      <c r="F148" s="7"/>
      <c r="G148" s="7"/>
      <c r="H148" s="7"/>
    </row>
    <row r="149" spans="5:8" x14ac:dyDescent="0.3">
      <c r="E149" s="7"/>
      <c r="F149" s="7"/>
      <c r="G149" s="7"/>
      <c r="H149" s="7"/>
    </row>
    <row r="150" spans="5:8" x14ac:dyDescent="0.3">
      <c r="E150" s="7"/>
      <c r="F150" s="7"/>
      <c r="G150" s="7"/>
      <c r="H150" s="7"/>
    </row>
    <row r="151" spans="5:8" x14ac:dyDescent="0.3">
      <c r="E151" s="7"/>
      <c r="F151" s="7"/>
      <c r="G151" s="7"/>
      <c r="H151" s="7"/>
    </row>
    <row r="152" spans="5:8" x14ac:dyDescent="0.3">
      <c r="E152" s="7"/>
      <c r="F152" s="7"/>
      <c r="G152" s="7"/>
      <c r="H152" s="7"/>
    </row>
    <row r="153" spans="5:8" x14ac:dyDescent="0.3">
      <c r="E153" s="7"/>
      <c r="F153" s="7"/>
      <c r="G153" s="7"/>
      <c r="H153" s="7"/>
    </row>
    <row r="154" spans="5:8" x14ac:dyDescent="0.3">
      <c r="E154" s="7"/>
      <c r="F154" s="7"/>
      <c r="G154" s="7"/>
      <c r="H154" s="7"/>
    </row>
    <row r="155" spans="5:8" x14ac:dyDescent="0.3">
      <c r="E155" s="7"/>
      <c r="F155" s="7"/>
      <c r="G155" s="7"/>
      <c r="H155" s="7"/>
    </row>
    <row r="156" spans="5:8" x14ac:dyDescent="0.3">
      <c r="E156" s="7"/>
      <c r="F156" s="7"/>
      <c r="G156" s="7"/>
      <c r="H156" s="7"/>
    </row>
    <row r="157" spans="5:8" x14ac:dyDescent="0.3">
      <c r="E157" s="7"/>
      <c r="F157" s="7"/>
      <c r="G157" s="7"/>
      <c r="H157" s="7"/>
    </row>
    <row r="158" spans="5:8" x14ac:dyDescent="0.3">
      <c r="E158" s="7"/>
      <c r="F158" s="7"/>
      <c r="G158" s="7"/>
      <c r="H158" s="7"/>
    </row>
    <row r="159" spans="5:8" x14ac:dyDescent="0.3">
      <c r="E159" s="7"/>
      <c r="F159" s="7"/>
      <c r="G159" s="7"/>
      <c r="H159" s="7"/>
    </row>
    <row r="160" spans="5:8" x14ac:dyDescent="0.3">
      <c r="E160" s="7"/>
      <c r="F160" s="7"/>
      <c r="G160" s="7"/>
      <c r="H160" s="7"/>
    </row>
    <row r="161" spans="5:8" x14ac:dyDescent="0.3">
      <c r="E161" s="7"/>
      <c r="F161" s="7"/>
      <c r="G161" s="7"/>
      <c r="H161" s="7"/>
    </row>
    <row r="162" spans="5:8" x14ac:dyDescent="0.3">
      <c r="E162" s="7"/>
      <c r="F162" s="7"/>
      <c r="G162" s="7"/>
      <c r="H162" s="7"/>
    </row>
    <row r="163" spans="5:8" x14ac:dyDescent="0.3">
      <c r="E163" s="7"/>
      <c r="F163" s="7"/>
      <c r="G163" s="7"/>
      <c r="H163" s="7"/>
    </row>
    <row r="164" spans="5:8" x14ac:dyDescent="0.3">
      <c r="E164" s="7"/>
      <c r="F164" s="7"/>
      <c r="G164" s="7"/>
      <c r="H164" s="7"/>
    </row>
    <row r="165" spans="5:8" x14ac:dyDescent="0.3">
      <c r="E165" s="7"/>
      <c r="F165" s="7"/>
      <c r="G165" s="7"/>
      <c r="H165" s="7"/>
    </row>
    <row r="166" spans="5:8" x14ac:dyDescent="0.3">
      <c r="E166" s="7"/>
      <c r="F166" s="7"/>
      <c r="G166" s="7"/>
      <c r="H166" s="7"/>
    </row>
    <row r="167" spans="5:8" x14ac:dyDescent="0.3">
      <c r="E167" s="7"/>
      <c r="F167" s="7"/>
      <c r="G167" s="7"/>
      <c r="H167" s="7"/>
    </row>
    <row r="168" spans="5:8" x14ac:dyDescent="0.3">
      <c r="E168" s="7"/>
      <c r="F168" s="7"/>
      <c r="G168" s="7"/>
      <c r="H168" s="7"/>
    </row>
    <row r="169" spans="5:8" x14ac:dyDescent="0.3">
      <c r="E169" s="7"/>
      <c r="F169" s="7"/>
      <c r="G169" s="7"/>
      <c r="H169" s="7"/>
    </row>
    <row r="170" spans="5:8" x14ac:dyDescent="0.3">
      <c r="E170" s="7"/>
      <c r="F170" s="7"/>
      <c r="G170" s="7"/>
      <c r="H170" s="7"/>
    </row>
    <row r="171" spans="5:8" x14ac:dyDescent="0.3">
      <c r="E171" s="7"/>
      <c r="F171" s="7"/>
      <c r="G171" s="7"/>
      <c r="H171" s="7"/>
    </row>
    <row r="172" spans="5:8" x14ac:dyDescent="0.3">
      <c r="E172" s="7"/>
      <c r="F172" s="7"/>
      <c r="G172" s="7"/>
      <c r="H172" s="7"/>
    </row>
    <row r="173" spans="5:8" x14ac:dyDescent="0.3">
      <c r="E173" s="7"/>
      <c r="F173" s="7"/>
      <c r="G173" s="7"/>
      <c r="H173" s="7"/>
    </row>
    <row r="174" spans="5:8" x14ac:dyDescent="0.3">
      <c r="E174" s="7"/>
      <c r="F174" s="7"/>
      <c r="G174" s="7"/>
      <c r="H174" s="7"/>
    </row>
    <row r="175" spans="5:8" x14ac:dyDescent="0.3">
      <c r="E175" s="7"/>
      <c r="F175" s="7"/>
      <c r="G175" s="7"/>
      <c r="H175" s="7"/>
    </row>
    <row r="176" spans="5:8" x14ac:dyDescent="0.3">
      <c r="E176" s="7"/>
      <c r="F176" s="7"/>
      <c r="G176" s="7"/>
      <c r="H176" s="7"/>
    </row>
    <row r="177" spans="5:8" x14ac:dyDescent="0.3">
      <c r="E177" s="7"/>
      <c r="F177" s="7"/>
      <c r="G177" s="7"/>
      <c r="H177" s="7"/>
    </row>
    <row r="178" spans="5:8" x14ac:dyDescent="0.3">
      <c r="E178" s="7"/>
      <c r="F178" s="7"/>
      <c r="G178" s="7"/>
      <c r="H178" s="7"/>
    </row>
    <row r="179" spans="5:8" x14ac:dyDescent="0.3">
      <c r="E179" s="7"/>
      <c r="F179" s="7"/>
      <c r="G179" s="7"/>
      <c r="H179" s="7"/>
    </row>
    <row r="180" spans="5:8" x14ac:dyDescent="0.3">
      <c r="E180" s="7"/>
      <c r="F180" s="7"/>
      <c r="G180" s="7"/>
      <c r="H180" s="7"/>
    </row>
    <row r="181" spans="5:8" x14ac:dyDescent="0.3">
      <c r="E181" s="7"/>
      <c r="F181" s="7"/>
      <c r="G181" s="7"/>
      <c r="H181" s="7"/>
    </row>
    <row r="182" spans="5:8" x14ac:dyDescent="0.3">
      <c r="E182" s="7"/>
      <c r="F182" s="7"/>
      <c r="G182" s="7"/>
      <c r="H182" s="7"/>
    </row>
    <row r="183" spans="5:8" x14ac:dyDescent="0.3">
      <c r="E183" s="7"/>
      <c r="F183" s="7"/>
      <c r="G183" s="7"/>
      <c r="H183" s="7"/>
    </row>
    <row r="184" spans="5:8" x14ac:dyDescent="0.3">
      <c r="E184" s="7"/>
      <c r="F184" s="7"/>
      <c r="G184" s="7"/>
      <c r="H184" s="7"/>
    </row>
    <row r="185" spans="5:8" x14ac:dyDescent="0.3">
      <c r="E185" s="7"/>
      <c r="F185" s="7"/>
      <c r="G185" s="7"/>
      <c r="H185" s="7"/>
    </row>
    <row r="186" spans="5:8" x14ac:dyDescent="0.3">
      <c r="E186" s="7"/>
      <c r="F186" s="7"/>
      <c r="G186" s="7"/>
      <c r="H186" s="7"/>
    </row>
    <row r="187" spans="5:8" x14ac:dyDescent="0.3">
      <c r="E187" s="7"/>
      <c r="F187" s="7"/>
      <c r="G187" s="7"/>
      <c r="H187" s="7"/>
    </row>
    <row r="188" spans="5:8" x14ac:dyDescent="0.3">
      <c r="E188" s="7"/>
      <c r="F188" s="7"/>
      <c r="G188" s="7"/>
      <c r="H188" s="7"/>
    </row>
    <row r="189" spans="5:8" x14ac:dyDescent="0.3">
      <c r="E189" s="7"/>
      <c r="F189" s="7"/>
      <c r="G189" s="7"/>
      <c r="H189" s="7"/>
    </row>
    <row r="190" spans="5:8" x14ac:dyDescent="0.3">
      <c r="E190" s="7"/>
      <c r="F190" s="7"/>
      <c r="G190" s="7"/>
      <c r="H190" s="7"/>
    </row>
    <row r="191" spans="5:8" x14ac:dyDescent="0.3">
      <c r="E191" s="7"/>
      <c r="F191" s="7"/>
      <c r="G191" s="7"/>
      <c r="H191" s="7"/>
    </row>
    <row r="192" spans="5:8" x14ac:dyDescent="0.3">
      <c r="E192" s="7"/>
      <c r="F192" s="7"/>
      <c r="G192" s="7"/>
      <c r="H192" s="7"/>
    </row>
    <row r="193" spans="5:8" x14ac:dyDescent="0.3">
      <c r="E193" s="7"/>
      <c r="F193" s="7"/>
      <c r="G193" s="7"/>
      <c r="H193" s="7"/>
    </row>
    <row r="194" spans="5:8" x14ac:dyDescent="0.3">
      <c r="E194" s="7"/>
      <c r="F194" s="7"/>
      <c r="G194" s="7"/>
      <c r="H194" s="7"/>
    </row>
    <row r="195" spans="5:8" x14ac:dyDescent="0.3">
      <c r="E195" s="7"/>
      <c r="F195" s="7"/>
      <c r="G195" s="7"/>
      <c r="H195" s="7"/>
    </row>
    <row r="196" spans="5:8" x14ac:dyDescent="0.3">
      <c r="E196" s="7"/>
      <c r="F196" s="7"/>
      <c r="G196" s="7"/>
      <c r="H196" s="7"/>
    </row>
    <row r="197" spans="5:8" x14ac:dyDescent="0.3">
      <c r="E197" s="7"/>
      <c r="F197" s="7"/>
      <c r="G197" s="7"/>
      <c r="H197" s="7"/>
    </row>
    <row r="198" spans="5:8" x14ac:dyDescent="0.3">
      <c r="E198" s="7"/>
      <c r="F198" s="7"/>
      <c r="G198" s="7"/>
      <c r="H198" s="7"/>
    </row>
    <row r="199" spans="5:8" x14ac:dyDescent="0.3">
      <c r="E199" s="7"/>
      <c r="F199" s="7"/>
      <c r="G199" s="7"/>
      <c r="H199" s="7"/>
    </row>
    <row r="200" spans="5:8" x14ac:dyDescent="0.3">
      <c r="E200" s="7"/>
      <c r="F200" s="7"/>
      <c r="G200" s="7"/>
      <c r="H200" s="7"/>
    </row>
    <row r="201" spans="5:8" x14ac:dyDescent="0.3">
      <c r="E201" s="7"/>
      <c r="F201" s="7"/>
      <c r="G201" s="7"/>
      <c r="H201" s="7"/>
    </row>
    <row r="202" spans="5:8" x14ac:dyDescent="0.3">
      <c r="E202" s="7"/>
      <c r="F202" s="7"/>
      <c r="G202" s="7"/>
      <c r="H202" s="7"/>
    </row>
    <row r="203" spans="5:8" x14ac:dyDescent="0.3">
      <c r="E203" s="7"/>
      <c r="F203" s="7"/>
      <c r="G203" s="7"/>
      <c r="H203" s="7"/>
    </row>
    <row r="204" spans="5:8" x14ac:dyDescent="0.3">
      <c r="E204" s="7"/>
      <c r="F204" s="7"/>
      <c r="G204" s="7"/>
      <c r="H204" s="7"/>
    </row>
    <row r="205" spans="5:8" x14ac:dyDescent="0.3">
      <c r="E205" s="7"/>
      <c r="F205" s="7"/>
      <c r="G205" s="7"/>
      <c r="H205" s="7"/>
    </row>
    <row r="206" spans="5:8" x14ac:dyDescent="0.3">
      <c r="E206" s="7"/>
      <c r="F206" s="7"/>
      <c r="G206" s="7"/>
      <c r="H206" s="7"/>
    </row>
    <row r="207" spans="5:8" x14ac:dyDescent="0.3">
      <c r="E207" s="7"/>
      <c r="F207" s="7"/>
      <c r="G207" s="7"/>
      <c r="H207" s="7"/>
    </row>
    <row r="208" spans="5:8" x14ac:dyDescent="0.3">
      <c r="E208" s="7"/>
      <c r="F208" s="7"/>
      <c r="G208" s="7"/>
      <c r="H208" s="7"/>
    </row>
    <row r="209" spans="5:8" x14ac:dyDescent="0.3">
      <c r="E209" s="7"/>
      <c r="F209" s="7"/>
      <c r="G209" s="7"/>
      <c r="H209" s="7"/>
    </row>
    <row r="210" spans="5:8" x14ac:dyDescent="0.3">
      <c r="E210" s="7"/>
      <c r="F210" s="7"/>
      <c r="G210" s="7"/>
      <c r="H210" s="7"/>
    </row>
    <row r="211" spans="5:8" x14ac:dyDescent="0.3">
      <c r="E211" s="7"/>
      <c r="F211" s="7"/>
      <c r="G211" s="7"/>
      <c r="H211" s="7"/>
    </row>
    <row r="212" spans="5:8" x14ac:dyDescent="0.3">
      <c r="E212" s="7"/>
      <c r="F212" s="7"/>
      <c r="G212" s="7"/>
      <c r="H212" s="7"/>
    </row>
    <row r="213" spans="5:8" x14ac:dyDescent="0.3">
      <c r="E213" s="7"/>
      <c r="F213" s="7"/>
      <c r="G213" s="7"/>
      <c r="H213" s="7"/>
    </row>
    <row r="214" spans="5:8" x14ac:dyDescent="0.3">
      <c r="E214" s="7"/>
      <c r="F214" s="7"/>
      <c r="G214" s="7"/>
      <c r="H214" s="7"/>
    </row>
    <row r="215" spans="5:8" x14ac:dyDescent="0.3">
      <c r="E215" s="7"/>
      <c r="F215" s="7"/>
      <c r="G215" s="7"/>
      <c r="H215" s="7"/>
    </row>
    <row r="216" spans="5:8" x14ac:dyDescent="0.3">
      <c r="E216" s="7"/>
      <c r="F216" s="7"/>
      <c r="G216" s="7"/>
      <c r="H216" s="7"/>
    </row>
    <row r="217" spans="5:8" x14ac:dyDescent="0.3">
      <c r="E217" s="7"/>
      <c r="F217" s="7"/>
      <c r="G217" s="7"/>
      <c r="H217" s="7"/>
    </row>
    <row r="218" spans="5:8" x14ac:dyDescent="0.3">
      <c r="E218" s="7"/>
      <c r="F218" s="7"/>
      <c r="G218" s="7"/>
      <c r="H218" s="7"/>
    </row>
    <row r="219" spans="5:8" x14ac:dyDescent="0.3">
      <c r="E219" s="7"/>
      <c r="F219" s="7"/>
      <c r="G219" s="7"/>
      <c r="H219" s="7"/>
    </row>
    <row r="220" spans="5:8" x14ac:dyDescent="0.3">
      <c r="E220" s="7"/>
      <c r="F220" s="7"/>
      <c r="G220" s="7"/>
      <c r="H220" s="7"/>
    </row>
    <row r="221" spans="5:8" x14ac:dyDescent="0.3">
      <c r="E221" s="7"/>
      <c r="F221" s="7"/>
      <c r="G221" s="7"/>
      <c r="H221" s="7"/>
    </row>
    <row r="222" spans="5:8" x14ac:dyDescent="0.3">
      <c r="E222" s="7"/>
      <c r="F222" s="7"/>
      <c r="G222" s="7"/>
      <c r="H222" s="7"/>
    </row>
    <row r="223" spans="5:8" x14ac:dyDescent="0.3">
      <c r="E223" s="7"/>
      <c r="F223" s="7"/>
      <c r="G223" s="7"/>
      <c r="H223" s="7"/>
    </row>
    <row r="224" spans="5:8" x14ac:dyDescent="0.3">
      <c r="E224" s="7"/>
      <c r="F224" s="7"/>
      <c r="G224" s="7"/>
      <c r="H224" s="7"/>
    </row>
    <row r="225" spans="5:8" x14ac:dyDescent="0.3">
      <c r="E225" s="7"/>
      <c r="F225" s="7"/>
      <c r="G225" s="7"/>
      <c r="H225" s="7"/>
    </row>
    <row r="226" spans="5:8" x14ac:dyDescent="0.3">
      <c r="E226" s="7"/>
      <c r="F226" s="7"/>
      <c r="G226" s="7"/>
      <c r="H226" s="7"/>
    </row>
    <row r="227" spans="5:8" x14ac:dyDescent="0.3">
      <c r="E227" s="7"/>
      <c r="F227" s="7"/>
      <c r="G227" s="7"/>
      <c r="H227" s="7"/>
    </row>
    <row r="228" spans="5:8" x14ac:dyDescent="0.3">
      <c r="E228" s="7"/>
      <c r="F228" s="7"/>
      <c r="G228" s="7"/>
      <c r="H228" s="7"/>
    </row>
    <row r="229" spans="5:8" x14ac:dyDescent="0.3">
      <c r="E229" s="7"/>
      <c r="F229" s="7"/>
      <c r="G229" s="7"/>
      <c r="H229" s="7"/>
    </row>
    <row r="230" spans="5:8" x14ac:dyDescent="0.3">
      <c r="E230" s="7"/>
      <c r="F230" s="7"/>
      <c r="G230" s="7"/>
      <c r="H230" s="7"/>
    </row>
    <row r="231" spans="5:8" x14ac:dyDescent="0.3">
      <c r="E231" s="7"/>
      <c r="F231" s="7"/>
      <c r="G231" s="7"/>
      <c r="H231" s="7"/>
    </row>
    <row r="232" spans="5:8" x14ac:dyDescent="0.3">
      <c r="E232" s="7"/>
      <c r="F232" s="7"/>
      <c r="G232" s="7"/>
      <c r="H232" s="7"/>
    </row>
    <row r="233" spans="5:8" x14ac:dyDescent="0.3">
      <c r="E233" s="7"/>
      <c r="F233" s="7"/>
      <c r="G233" s="7"/>
      <c r="H233" s="7"/>
    </row>
    <row r="234" spans="5:8" x14ac:dyDescent="0.3">
      <c r="E234" s="7"/>
      <c r="F234" s="7"/>
      <c r="G234" s="7"/>
      <c r="H234" s="7"/>
    </row>
    <row r="235" spans="5:8" x14ac:dyDescent="0.3">
      <c r="E235" s="7"/>
      <c r="F235" s="7"/>
      <c r="G235" s="7"/>
      <c r="H235" s="7"/>
    </row>
    <row r="236" spans="5:8" x14ac:dyDescent="0.3">
      <c r="E236" s="7"/>
      <c r="F236" s="7"/>
      <c r="G236" s="7"/>
      <c r="H236" s="7"/>
    </row>
    <row r="237" spans="5:8" x14ac:dyDescent="0.3">
      <c r="E237" s="7"/>
      <c r="F237" s="7"/>
      <c r="G237" s="7"/>
      <c r="H237" s="7"/>
    </row>
    <row r="238" spans="5:8" x14ac:dyDescent="0.3">
      <c r="E238" s="7"/>
      <c r="F238" s="7"/>
      <c r="G238" s="7"/>
      <c r="H238" s="7"/>
    </row>
    <row r="239" spans="5:8" x14ac:dyDescent="0.3">
      <c r="E239" s="7"/>
      <c r="F239" s="7"/>
      <c r="G239" s="7"/>
      <c r="H239" s="7"/>
    </row>
    <row r="240" spans="5:8" x14ac:dyDescent="0.3">
      <c r="E240" s="7"/>
      <c r="F240" s="7"/>
      <c r="G240" s="7"/>
      <c r="H240" s="7"/>
    </row>
    <row r="241" spans="5:8" x14ac:dyDescent="0.3">
      <c r="E241" s="7"/>
      <c r="F241" s="7"/>
      <c r="G241" s="7"/>
      <c r="H241" s="7"/>
    </row>
    <row r="242" spans="5:8" x14ac:dyDescent="0.3">
      <c r="E242" s="7"/>
      <c r="F242" s="7"/>
      <c r="G242" s="7"/>
      <c r="H242" s="7"/>
    </row>
    <row r="243" spans="5:8" x14ac:dyDescent="0.3">
      <c r="E243" s="7"/>
      <c r="F243" s="7"/>
      <c r="G243" s="7"/>
      <c r="H243" s="7"/>
    </row>
    <row r="244" spans="5:8" x14ac:dyDescent="0.3">
      <c r="E244" s="7"/>
      <c r="F244" s="7"/>
      <c r="G244" s="7"/>
      <c r="H244" s="7"/>
    </row>
    <row r="245" spans="5:8" x14ac:dyDescent="0.3">
      <c r="E245" s="7"/>
      <c r="F245" s="7"/>
      <c r="G245" s="7"/>
      <c r="H245" s="7"/>
    </row>
    <row r="246" spans="5:8" x14ac:dyDescent="0.3">
      <c r="E246" s="7"/>
      <c r="F246" s="7"/>
      <c r="G246" s="7"/>
      <c r="H246" s="7"/>
    </row>
    <row r="247" spans="5:8" x14ac:dyDescent="0.3">
      <c r="E247" s="7"/>
      <c r="F247" s="7"/>
      <c r="G247" s="7"/>
      <c r="H247" s="7"/>
    </row>
    <row r="248" spans="5:8" x14ac:dyDescent="0.3">
      <c r="E248" s="7"/>
      <c r="F248" s="7"/>
      <c r="G248" s="7"/>
      <c r="H248" s="7"/>
    </row>
    <row r="249" spans="5:8" x14ac:dyDescent="0.3">
      <c r="E249" s="7"/>
      <c r="F249" s="7"/>
      <c r="G249" s="7"/>
      <c r="H249" s="7"/>
    </row>
    <row r="250" spans="5:8" x14ac:dyDescent="0.3">
      <c r="E250" s="7"/>
      <c r="F250" s="7"/>
      <c r="G250" s="7"/>
      <c r="H250" s="7"/>
    </row>
    <row r="251" spans="5:8" x14ac:dyDescent="0.3">
      <c r="E251" s="7"/>
      <c r="F251" s="7"/>
      <c r="G251" s="7"/>
      <c r="H251" s="7"/>
    </row>
    <row r="252" spans="5:8" x14ac:dyDescent="0.3">
      <c r="E252" s="7"/>
      <c r="F252" s="7"/>
      <c r="G252" s="7"/>
      <c r="H252" s="7"/>
    </row>
    <row r="253" spans="5:8" x14ac:dyDescent="0.3">
      <c r="E253" s="7"/>
      <c r="F253" s="7"/>
      <c r="G253" s="7"/>
      <c r="H253" s="7"/>
    </row>
    <row r="254" spans="5:8" x14ac:dyDescent="0.3">
      <c r="E254" s="7"/>
      <c r="F254" s="7"/>
      <c r="G254" s="7"/>
      <c r="H254" s="7"/>
    </row>
    <row r="255" spans="5:8" x14ac:dyDescent="0.3">
      <c r="E255" s="7"/>
      <c r="F255" s="7"/>
      <c r="G255" s="7"/>
      <c r="H255" s="7"/>
    </row>
    <row r="256" spans="5:8" x14ac:dyDescent="0.3">
      <c r="E256" s="7"/>
      <c r="F256" s="7"/>
      <c r="G256" s="7"/>
      <c r="H256" s="7"/>
    </row>
    <row r="257" spans="5:8" x14ac:dyDescent="0.3">
      <c r="E257" s="7"/>
      <c r="F257" s="7"/>
      <c r="G257" s="7"/>
      <c r="H257" s="7"/>
    </row>
    <row r="258" spans="5:8" x14ac:dyDescent="0.3">
      <c r="E258" s="7"/>
      <c r="F258" s="7"/>
      <c r="G258" s="7"/>
      <c r="H258" s="7"/>
    </row>
    <row r="259" spans="5:8" x14ac:dyDescent="0.3">
      <c r="E259" s="7"/>
      <c r="F259" s="7"/>
      <c r="G259" s="7"/>
      <c r="H259" s="7"/>
    </row>
    <row r="260" spans="5:8" x14ac:dyDescent="0.3">
      <c r="E260" s="7"/>
      <c r="F260" s="7"/>
      <c r="G260" s="7"/>
      <c r="H260" s="7"/>
    </row>
    <row r="261" spans="5:8" x14ac:dyDescent="0.3">
      <c r="E261" s="7"/>
      <c r="F261" s="7"/>
      <c r="G261" s="7"/>
      <c r="H261" s="7"/>
    </row>
    <row r="262" spans="5:8" x14ac:dyDescent="0.3">
      <c r="E262" s="7"/>
      <c r="F262" s="7"/>
      <c r="G262" s="7"/>
      <c r="H262" s="7"/>
    </row>
    <row r="263" spans="5:8" x14ac:dyDescent="0.3">
      <c r="E263" s="7"/>
      <c r="F263" s="7"/>
      <c r="G263" s="7"/>
      <c r="H263" s="7"/>
    </row>
    <row r="264" spans="5:8" x14ac:dyDescent="0.3">
      <c r="E264" s="7"/>
      <c r="F264" s="7"/>
      <c r="G264" s="7"/>
      <c r="H264" s="7"/>
    </row>
    <row r="265" spans="5:8" x14ac:dyDescent="0.3">
      <c r="E265" s="7"/>
      <c r="F265" s="7"/>
      <c r="G265" s="7"/>
      <c r="H265" s="7"/>
    </row>
    <row r="266" spans="5:8" x14ac:dyDescent="0.3">
      <c r="E266" s="7"/>
      <c r="F266" s="7"/>
      <c r="G266" s="7"/>
      <c r="H266" s="7"/>
    </row>
    <row r="267" spans="5:8" x14ac:dyDescent="0.3">
      <c r="E267" s="7"/>
      <c r="F267" s="7"/>
      <c r="G267" s="7"/>
      <c r="H267" s="7"/>
    </row>
    <row r="268" spans="5:8" x14ac:dyDescent="0.3">
      <c r="E268" s="7"/>
      <c r="F268" s="7"/>
      <c r="G268" s="7"/>
      <c r="H268" s="7"/>
    </row>
    <row r="269" spans="5:8" x14ac:dyDescent="0.3">
      <c r="E269" s="7"/>
      <c r="F269" s="7"/>
      <c r="G269" s="7"/>
      <c r="H269" s="7"/>
    </row>
    <row r="270" spans="5:8" x14ac:dyDescent="0.3">
      <c r="E270" s="7"/>
      <c r="F270" s="7"/>
      <c r="G270" s="7"/>
      <c r="H270" s="7"/>
    </row>
    <row r="271" spans="5:8" x14ac:dyDescent="0.3">
      <c r="E271" s="7"/>
      <c r="F271" s="7"/>
      <c r="G271" s="7"/>
      <c r="H271" s="7"/>
    </row>
    <row r="272" spans="5:8" x14ac:dyDescent="0.3">
      <c r="E272" s="7"/>
      <c r="F272" s="7"/>
      <c r="G272" s="7"/>
      <c r="H272" s="7"/>
    </row>
    <row r="273" spans="5:8" x14ac:dyDescent="0.3">
      <c r="E273" s="7"/>
      <c r="F273" s="7"/>
      <c r="G273" s="7"/>
      <c r="H273" s="7"/>
    </row>
    <row r="274" spans="5:8" x14ac:dyDescent="0.3">
      <c r="E274" s="7"/>
      <c r="F274" s="7"/>
      <c r="G274" s="7"/>
      <c r="H274" s="7"/>
    </row>
    <row r="275" spans="5:8" x14ac:dyDescent="0.3">
      <c r="E275" s="7"/>
      <c r="F275" s="7"/>
      <c r="G275" s="7"/>
      <c r="H275" s="7"/>
    </row>
    <row r="276" spans="5:8" x14ac:dyDescent="0.3">
      <c r="E276" s="7"/>
      <c r="F276" s="7"/>
      <c r="G276" s="7"/>
      <c r="H276" s="7"/>
    </row>
    <row r="277" spans="5:8" x14ac:dyDescent="0.3">
      <c r="E277" s="7"/>
      <c r="F277" s="7"/>
      <c r="G277" s="7"/>
      <c r="H277" s="7"/>
    </row>
    <row r="278" spans="5:8" x14ac:dyDescent="0.3">
      <c r="E278" s="7"/>
      <c r="F278" s="7"/>
      <c r="G278" s="7"/>
      <c r="H278" s="7"/>
    </row>
    <row r="279" spans="5:8" x14ac:dyDescent="0.3">
      <c r="E279" s="7"/>
      <c r="F279" s="7"/>
      <c r="G279" s="7"/>
      <c r="H279" s="7"/>
    </row>
    <row r="280" spans="5:8" x14ac:dyDescent="0.3">
      <c r="E280" s="7"/>
      <c r="F280" s="7"/>
      <c r="G280" s="7"/>
      <c r="H280" s="7"/>
    </row>
    <row r="281" spans="5:8" x14ac:dyDescent="0.3">
      <c r="E281" s="7"/>
      <c r="F281" s="7"/>
      <c r="G281" s="7"/>
      <c r="H281" s="7"/>
    </row>
    <row r="282" spans="5:8" x14ac:dyDescent="0.3">
      <c r="E282" s="7"/>
      <c r="F282" s="7"/>
      <c r="G282" s="7"/>
      <c r="H282" s="7"/>
    </row>
    <row r="283" spans="5:8" x14ac:dyDescent="0.3">
      <c r="E283" s="7"/>
      <c r="F283" s="7"/>
      <c r="G283" s="7"/>
      <c r="H283" s="7"/>
    </row>
    <row r="284" spans="5:8" x14ac:dyDescent="0.3">
      <c r="E284" s="7"/>
      <c r="F284" s="7"/>
      <c r="G284" s="7"/>
      <c r="H284" s="7"/>
    </row>
    <row r="285" spans="5:8" x14ac:dyDescent="0.3">
      <c r="E285" s="7"/>
      <c r="F285" s="7"/>
      <c r="G285" s="7"/>
      <c r="H285" s="7"/>
    </row>
    <row r="286" spans="5:8" x14ac:dyDescent="0.3">
      <c r="E286" s="7"/>
      <c r="F286" s="7"/>
      <c r="G286" s="7"/>
      <c r="H286" s="7"/>
    </row>
    <row r="287" spans="5:8" x14ac:dyDescent="0.3">
      <c r="E287" s="7"/>
      <c r="F287" s="7"/>
      <c r="G287" s="7"/>
      <c r="H287" s="7"/>
    </row>
    <row r="288" spans="5:8" x14ac:dyDescent="0.3">
      <c r="E288" s="7"/>
      <c r="F288" s="7"/>
      <c r="G288" s="7"/>
      <c r="H288" s="7"/>
    </row>
    <row r="289" spans="5:8" x14ac:dyDescent="0.3">
      <c r="E289" s="7"/>
      <c r="F289" s="7"/>
      <c r="G289" s="7"/>
      <c r="H289" s="7"/>
    </row>
    <row r="290" spans="5:8" x14ac:dyDescent="0.3">
      <c r="E290" s="7"/>
      <c r="F290" s="7"/>
      <c r="G290" s="7"/>
      <c r="H290" s="7"/>
    </row>
    <row r="291" spans="5:8" x14ac:dyDescent="0.3">
      <c r="E291" s="7"/>
      <c r="F291" s="7"/>
      <c r="G291" s="7"/>
      <c r="H291" s="7"/>
    </row>
    <row r="292" spans="5:8" x14ac:dyDescent="0.3">
      <c r="E292" s="7"/>
      <c r="F292" s="7"/>
      <c r="G292" s="7"/>
      <c r="H292" s="7"/>
    </row>
    <row r="293" spans="5:8" x14ac:dyDescent="0.3">
      <c r="E293" s="7"/>
      <c r="F293" s="7"/>
      <c r="G293" s="7"/>
      <c r="H293" s="7"/>
    </row>
    <row r="294" spans="5:8" x14ac:dyDescent="0.3">
      <c r="E294" s="7"/>
      <c r="F294" s="7"/>
      <c r="G294" s="7"/>
      <c r="H294" s="7"/>
    </row>
    <row r="295" spans="5:8" x14ac:dyDescent="0.3">
      <c r="E295" s="7"/>
      <c r="F295" s="7"/>
      <c r="G295" s="7"/>
      <c r="H295" s="7"/>
    </row>
    <row r="296" spans="5:8" x14ac:dyDescent="0.3">
      <c r="E296" s="7"/>
      <c r="F296" s="7"/>
      <c r="G296" s="7"/>
      <c r="H296" s="7"/>
    </row>
    <row r="297" spans="5:8" x14ac:dyDescent="0.3">
      <c r="E297" s="7"/>
      <c r="F297" s="7"/>
      <c r="G297" s="7"/>
      <c r="H297" s="7"/>
    </row>
    <row r="298" spans="5:8" x14ac:dyDescent="0.3">
      <c r="E298" s="7"/>
      <c r="F298" s="7"/>
      <c r="G298" s="7"/>
      <c r="H298" s="7"/>
    </row>
    <row r="299" spans="5:8" x14ac:dyDescent="0.3">
      <c r="E299" s="7"/>
      <c r="F299" s="7"/>
      <c r="G299" s="7"/>
      <c r="H299" s="7"/>
    </row>
    <row r="300" spans="5:8" x14ac:dyDescent="0.3">
      <c r="E300" s="7"/>
      <c r="F300" s="7"/>
      <c r="G300" s="7"/>
      <c r="H300" s="7"/>
    </row>
    <row r="301" spans="5:8" x14ac:dyDescent="0.3">
      <c r="E301" s="7"/>
      <c r="F301" s="7"/>
      <c r="G301" s="7"/>
      <c r="H301" s="7"/>
    </row>
    <row r="302" spans="5:8" x14ac:dyDescent="0.3">
      <c r="E302" s="7"/>
      <c r="F302" s="7"/>
      <c r="G302" s="7"/>
      <c r="H302" s="7"/>
    </row>
    <row r="303" spans="5:8" x14ac:dyDescent="0.3">
      <c r="E303" s="7"/>
      <c r="F303" s="7"/>
      <c r="G303" s="7"/>
      <c r="H303" s="7"/>
    </row>
    <row r="304" spans="5:8" x14ac:dyDescent="0.3">
      <c r="E304" s="7"/>
      <c r="F304" s="7"/>
      <c r="G304" s="7"/>
      <c r="H304" s="7"/>
    </row>
    <row r="305" spans="5:8" x14ac:dyDescent="0.3">
      <c r="E305" s="7"/>
      <c r="F305" s="7"/>
      <c r="G305" s="7"/>
      <c r="H305" s="7"/>
    </row>
    <row r="306" spans="5:8" x14ac:dyDescent="0.3">
      <c r="E306" s="7"/>
      <c r="F306" s="7"/>
      <c r="G306" s="7"/>
      <c r="H306" s="7"/>
    </row>
    <row r="307" spans="5:8" x14ac:dyDescent="0.3">
      <c r="E307" s="7"/>
      <c r="F307" s="7"/>
      <c r="G307" s="7"/>
      <c r="H307" s="7"/>
    </row>
    <row r="308" spans="5:8" x14ac:dyDescent="0.3">
      <c r="E308" s="7"/>
      <c r="F308" s="7"/>
      <c r="G308" s="7"/>
      <c r="H308" s="7"/>
    </row>
    <row r="309" spans="5:8" x14ac:dyDescent="0.3">
      <c r="E309" s="7"/>
      <c r="F309" s="7"/>
      <c r="G309" s="7"/>
      <c r="H309" s="7"/>
    </row>
    <row r="310" spans="5:8" x14ac:dyDescent="0.3">
      <c r="E310" s="7"/>
      <c r="F310" s="7"/>
      <c r="G310" s="7"/>
      <c r="H310" s="7"/>
    </row>
    <row r="311" spans="5:8" x14ac:dyDescent="0.3">
      <c r="E311" s="7"/>
      <c r="F311" s="7"/>
      <c r="G311" s="7"/>
      <c r="H311" s="7"/>
    </row>
    <row r="312" spans="5:8" x14ac:dyDescent="0.3">
      <c r="E312" s="7"/>
      <c r="F312" s="7"/>
      <c r="G312" s="7"/>
      <c r="H312" s="7"/>
    </row>
    <row r="313" spans="5:8" x14ac:dyDescent="0.3">
      <c r="E313" s="7"/>
      <c r="F313" s="7"/>
      <c r="G313" s="7"/>
      <c r="H313" s="7"/>
    </row>
    <row r="314" spans="5:8" x14ac:dyDescent="0.3">
      <c r="E314" s="7"/>
      <c r="F314" s="7"/>
      <c r="G314" s="7"/>
      <c r="H314" s="7"/>
    </row>
    <row r="315" spans="5:8" x14ac:dyDescent="0.3">
      <c r="E315" s="7"/>
      <c r="F315" s="7"/>
      <c r="G315" s="7"/>
      <c r="H315" s="7"/>
    </row>
    <row r="316" spans="5:8" x14ac:dyDescent="0.3">
      <c r="E316" s="7"/>
      <c r="F316" s="7"/>
      <c r="G316" s="7"/>
      <c r="H316" s="7"/>
    </row>
    <row r="317" spans="5:8" x14ac:dyDescent="0.3">
      <c r="E317" s="7"/>
      <c r="F317" s="7"/>
      <c r="G317" s="7"/>
      <c r="H317" s="7"/>
    </row>
    <row r="318" spans="5:8" x14ac:dyDescent="0.3">
      <c r="E318" s="7"/>
      <c r="F318" s="7"/>
      <c r="G318" s="7"/>
      <c r="H318" s="7"/>
    </row>
    <row r="319" spans="5:8" x14ac:dyDescent="0.3">
      <c r="E319" s="7"/>
      <c r="F319" s="7"/>
      <c r="G319" s="7"/>
      <c r="H319" s="7"/>
    </row>
    <row r="320" spans="5:8" x14ac:dyDescent="0.3">
      <c r="E320" s="7"/>
      <c r="F320" s="7"/>
      <c r="G320" s="7"/>
      <c r="H320" s="7"/>
    </row>
    <row r="321" spans="5:8" x14ac:dyDescent="0.3">
      <c r="E321" s="7"/>
      <c r="F321" s="7"/>
      <c r="G321" s="7"/>
      <c r="H321" s="7"/>
    </row>
    <row r="322" spans="5:8" x14ac:dyDescent="0.3">
      <c r="E322" s="7"/>
      <c r="F322" s="7"/>
      <c r="G322" s="7"/>
      <c r="H322" s="7"/>
    </row>
    <row r="323" spans="5:8" x14ac:dyDescent="0.3">
      <c r="E323" s="7"/>
      <c r="F323" s="7"/>
      <c r="G323" s="7"/>
      <c r="H323" s="7"/>
    </row>
    <row r="324" spans="5:8" x14ac:dyDescent="0.3">
      <c r="E324" s="7"/>
      <c r="F324" s="7"/>
      <c r="G324" s="7"/>
      <c r="H324" s="7"/>
    </row>
    <row r="325" spans="5:8" x14ac:dyDescent="0.3">
      <c r="E325" s="7"/>
      <c r="F325" s="7"/>
      <c r="G325" s="7"/>
      <c r="H325" s="7"/>
    </row>
    <row r="326" spans="5:8" x14ac:dyDescent="0.3">
      <c r="E326" s="7"/>
      <c r="F326" s="7"/>
      <c r="G326" s="7"/>
      <c r="H326" s="7"/>
    </row>
    <row r="327" spans="5:8" x14ac:dyDescent="0.3">
      <c r="E327" s="7"/>
      <c r="F327" s="7"/>
      <c r="G327" s="7"/>
      <c r="H327" s="7"/>
    </row>
    <row r="328" spans="5:8" x14ac:dyDescent="0.3">
      <c r="E328" s="7"/>
      <c r="F328" s="7"/>
      <c r="G328" s="7"/>
      <c r="H328" s="7"/>
    </row>
    <row r="329" spans="5:8" x14ac:dyDescent="0.3">
      <c r="E329" s="7"/>
      <c r="F329" s="7"/>
      <c r="G329" s="7"/>
      <c r="H329" s="7"/>
    </row>
    <row r="330" spans="5:8" x14ac:dyDescent="0.3">
      <c r="E330" s="7"/>
      <c r="F330" s="7"/>
      <c r="G330" s="7"/>
      <c r="H330" s="7"/>
    </row>
    <row r="331" spans="5:8" x14ac:dyDescent="0.3">
      <c r="E331" s="7"/>
      <c r="F331" s="7"/>
      <c r="G331" s="7"/>
      <c r="H331" s="7"/>
    </row>
    <row r="332" spans="5:8" x14ac:dyDescent="0.3">
      <c r="E332" s="7"/>
      <c r="F332" s="7"/>
      <c r="G332" s="7"/>
      <c r="H332" s="7"/>
    </row>
    <row r="333" spans="5:8" x14ac:dyDescent="0.3">
      <c r="E333" s="7"/>
      <c r="F333" s="7"/>
      <c r="G333" s="7"/>
      <c r="H333" s="7"/>
    </row>
    <row r="334" spans="5:8" x14ac:dyDescent="0.3">
      <c r="E334" s="7"/>
      <c r="F334" s="7"/>
      <c r="G334" s="7"/>
      <c r="H334" s="7"/>
    </row>
    <row r="335" spans="5:8" x14ac:dyDescent="0.3">
      <c r="E335" s="7"/>
      <c r="F335" s="7"/>
      <c r="G335" s="7"/>
      <c r="H335" s="7"/>
    </row>
    <row r="336" spans="5:8" x14ac:dyDescent="0.3">
      <c r="E336" s="7"/>
      <c r="F336" s="7"/>
      <c r="G336" s="7"/>
      <c r="H336" s="7"/>
    </row>
    <row r="337" spans="5:8" x14ac:dyDescent="0.3">
      <c r="E337" s="7"/>
      <c r="F337" s="7"/>
      <c r="G337" s="7"/>
      <c r="H337" s="7"/>
    </row>
    <row r="338" spans="5:8" x14ac:dyDescent="0.3">
      <c r="E338" s="7"/>
      <c r="F338" s="7"/>
      <c r="G338" s="7"/>
      <c r="H338" s="7"/>
    </row>
    <row r="339" spans="5:8" x14ac:dyDescent="0.3">
      <c r="E339" s="7"/>
      <c r="F339" s="7"/>
      <c r="G339" s="7"/>
      <c r="H339" s="7"/>
    </row>
    <row r="340" spans="5:8" x14ac:dyDescent="0.3">
      <c r="E340" s="7"/>
      <c r="F340" s="7"/>
      <c r="G340" s="7"/>
      <c r="H340" s="7"/>
    </row>
    <row r="341" spans="5:8" x14ac:dyDescent="0.3">
      <c r="E341" s="7"/>
      <c r="F341" s="7"/>
      <c r="G341" s="7"/>
      <c r="H341" s="7"/>
    </row>
    <row r="342" spans="5:8" x14ac:dyDescent="0.3">
      <c r="E342" s="7"/>
      <c r="F342" s="7"/>
      <c r="G342" s="7"/>
      <c r="H342" s="7"/>
    </row>
    <row r="343" spans="5:8" x14ac:dyDescent="0.3">
      <c r="E343" s="7"/>
      <c r="F343" s="7"/>
      <c r="G343" s="7"/>
      <c r="H343" s="7"/>
    </row>
    <row r="344" spans="5:8" x14ac:dyDescent="0.3">
      <c r="E344" s="7"/>
      <c r="F344" s="7"/>
      <c r="G344" s="7"/>
      <c r="H344" s="7"/>
    </row>
    <row r="345" spans="5:8" x14ac:dyDescent="0.3">
      <c r="E345" s="7"/>
      <c r="F345" s="7"/>
      <c r="G345" s="7"/>
      <c r="H345" s="7"/>
    </row>
    <row r="346" spans="5:8" x14ac:dyDescent="0.3">
      <c r="E346" s="7"/>
      <c r="F346" s="7"/>
      <c r="G346" s="7"/>
      <c r="H346" s="7"/>
    </row>
    <row r="347" spans="5:8" x14ac:dyDescent="0.3">
      <c r="E347" s="7"/>
      <c r="F347" s="7"/>
      <c r="G347" s="7"/>
      <c r="H347" s="7"/>
    </row>
    <row r="348" spans="5:8" x14ac:dyDescent="0.3">
      <c r="E348" s="7"/>
      <c r="F348" s="7"/>
      <c r="G348" s="7"/>
      <c r="H348" s="7"/>
    </row>
    <row r="349" spans="5:8" x14ac:dyDescent="0.3">
      <c r="E349" s="7"/>
      <c r="F349" s="7"/>
      <c r="G349" s="7"/>
      <c r="H349" s="7"/>
    </row>
    <row r="350" spans="5:8" x14ac:dyDescent="0.3">
      <c r="E350" s="7"/>
      <c r="F350" s="7"/>
      <c r="G350" s="7"/>
      <c r="H350" s="7"/>
    </row>
    <row r="351" spans="5:8" x14ac:dyDescent="0.3">
      <c r="E351" s="7"/>
      <c r="F351" s="7"/>
      <c r="G351" s="7"/>
      <c r="H351" s="7"/>
    </row>
    <row r="352" spans="5:8" x14ac:dyDescent="0.3">
      <c r="E352" s="7"/>
      <c r="F352" s="7"/>
      <c r="G352" s="7"/>
      <c r="H352" s="7"/>
    </row>
    <row r="353" spans="5:8" x14ac:dyDescent="0.3">
      <c r="E353" s="7"/>
      <c r="F353" s="7"/>
      <c r="G353" s="7"/>
      <c r="H353" s="7"/>
    </row>
    <row r="354" spans="5:8" x14ac:dyDescent="0.3">
      <c r="E354" s="7"/>
      <c r="F354" s="7"/>
      <c r="G354" s="7"/>
      <c r="H354" s="7"/>
    </row>
    <row r="355" spans="5:8" x14ac:dyDescent="0.3">
      <c r="E355" s="7"/>
      <c r="F355" s="7"/>
      <c r="G355" s="7"/>
      <c r="H355" s="7"/>
    </row>
    <row r="356" spans="5:8" x14ac:dyDescent="0.3">
      <c r="E356" s="7"/>
      <c r="F356" s="7"/>
      <c r="G356" s="7"/>
      <c r="H356" s="7"/>
    </row>
    <row r="357" spans="5:8" x14ac:dyDescent="0.3">
      <c r="E357" s="7"/>
      <c r="F357" s="7"/>
      <c r="G357" s="7"/>
      <c r="H357" s="7"/>
    </row>
    <row r="358" spans="5:8" x14ac:dyDescent="0.3">
      <c r="E358" s="7"/>
      <c r="F358" s="7"/>
      <c r="G358" s="7"/>
      <c r="H358" s="7"/>
    </row>
    <row r="359" spans="5:8" x14ac:dyDescent="0.3">
      <c r="E359" s="7"/>
      <c r="F359" s="7"/>
      <c r="G359" s="7"/>
      <c r="H359" s="7"/>
    </row>
    <row r="360" spans="5:8" x14ac:dyDescent="0.3">
      <c r="E360" s="7"/>
      <c r="F360" s="7"/>
      <c r="G360" s="7"/>
      <c r="H360" s="7"/>
    </row>
    <row r="361" spans="5:8" x14ac:dyDescent="0.3">
      <c r="E361" s="7"/>
      <c r="F361" s="7"/>
      <c r="G361" s="7"/>
      <c r="H361" s="7"/>
    </row>
    <row r="362" spans="5:8" x14ac:dyDescent="0.3">
      <c r="E362" s="7"/>
      <c r="F362" s="7"/>
      <c r="G362" s="7"/>
      <c r="H362" s="7"/>
    </row>
    <row r="363" spans="5:8" x14ac:dyDescent="0.3">
      <c r="E363" s="7"/>
      <c r="F363" s="7"/>
      <c r="G363" s="7"/>
      <c r="H363" s="7"/>
    </row>
    <row r="364" spans="5:8" x14ac:dyDescent="0.3">
      <c r="E364" s="7"/>
      <c r="F364" s="7"/>
      <c r="G364" s="7"/>
      <c r="H364" s="7"/>
    </row>
    <row r="365" spans="5:8" x14ac:dyDescent="0.3">
      <c r="E365" s="7"/>
      <c r="F365" s="7"/>
      <c r="G365" s="7"/>
      <c r="H365" s="7"/>
    </row>
    <row r="366" spans="5:8" x14ac:dyDescent="0.3">
      <c r="E366" s="7"/>
      <c r="F366" s="7"/>
      <c r="G366" s="7"/>
      <c r="H366" s="7"/>
    </row>
    <row r="367" spans="5:8" x14ac:dyDescent="0.3">
      <c r="E367" s="7"/>
      <c r="F367" s="7"/>
      <c r="G367" s="7"/>
      <c r="H367" s="7"/>
    </row>
    <row r="368" spans="5:8" x14ac:dyDescent="0.3">
      <c r="E368" s="7"/>
      <c r="F368" s="7"/>
      <c r="G368" s="7"/>
      <c r="H368" s="7"/>
    </row>
    <row r="369" spans="5:8" x14ac:dyDescent="0.3">
      <c r="E369" s="7"/>
      <c r="F369" s="7"/>
      <c r="G369" s="7"/>
      <c r="H369" s="7"/>
    </row>
    <row r="370" spans="5:8" x14ac:dyDescent="0.3">
      <c r="E370" s="7"/>
      <c r="F370" s="7"/>
      <c r="G370" s="7"/>
      <c r="H370" s="7"/>
    </row>
    <row r="371" spans="5:8" x14ac:dyDescent="0.3">
      <c r="E371" s="7"/>
      <c r="F371" s="7"/>
      <c r="G371" s="7"/>
      <c r="H371" s="7"/>
    </row>
    <row r="372" spans="5:8" x14ac:dyDescent="0.3">
      <c r="E372" s="7"/>
      <c r="F372" s="7"/>
      <c r="G372" s="7"/>
      <c r="H372" s="7"/>
    </row>
    <row r="373" spans="5:8" x14ac:dyDescent="0.3">
      <c r="E373" s="7"/>
      <c r="F373" s="7"/>
      <c r="G373" s="7"/>
      <c r="H373" s="7"/>
    </row>
    <row r="374" spans="5:8" x14ac:dyDescent="0.3">
      <c r="E374" s="7"/>
      <c r="F374" s="7"/>
      <c r="G374" s="7"/>
      <c r="H374" s="7"/>
    </row>
    <row r="375" spans="5:8" x14ac:dyDescent="0.3">
      <c r="E375" s="7"/>
      <c r="F375" s="7"/>
      <c r="G375" s="7"/>
      <c r="H375" s="7"/>
    </row>
    <row r="376" spans="5:8" x14ac:dyDescent="0.3">
      <c r="E376" s="7"/>
      <c r="F376" s="7"/>
      <c r="G376" s="7"/>
      <c r="H376" s="7"/>
    </row>
    <row r="377" spans="5:8" x14ac:dyDescent="0.3">
      <c r="E377" s="7"/>
      <c r="F377" s="7"/>
      <c r="G377" s="7"/>
      <c r="H377" s="7"/>
    </row>
    <row r="378" spans="5:8" x14ac:dyDescent="0.3">
      <c r="E378" s="7"/>
      <c r="F378" s="7"/>
      <c r="G378" s="7"/>
      <c r="H378" s="7"/>
    </row>
    <row r="379" spans="5:8" x14ac:dyDescent="0.3">
      <c r="E379" s="7"/>
      <c r="F379" s="7"/>
      <c r="G379" s="7"/>
      <c r="H379" s="7"/>
    </row>
    <row r="380" spans="5:8" x14ac:dyDescent="0.3">
      <c r="E380" s="7"/>
      <c r="F380" s="7"/>
      <c r="G380" s="7"/>
      <c r="H380" s="7"/>
    </row>
    <row r="381" spans="5:8" x14ac:dyDescent="0.3">
      <c r="E381" s="7"/>
      <c r="F381" s="7"/>
      <c r="G381" s="7"/>
      <c r="H381" s="7"/>
    </row>
    <row r="382" spans="5:8" x14ac:dyDescent="0.3">
      <c r="E382" s="7"/>
      <c r="F382" s="7"/>
      <c r="G382" s="7"/>
      <c r="H382" s="7"/>
    </row>
    <row r="383" spans="5:8" x14ac:dyDescent="0.3">
      <c r="E383" s="7"/>
      <c r="F383" s="7"/>
      <c r="G383" s="7"/>
      <c r="H383" s="7"/>
    </row>
    <row r="384" spans="5:8" x14ac:dyDescent="0.3">
      <c r="E384" s="7"/>
      <c r="F384" s="7"/>
      <c r="G384" s="7"/>
      <c r="H384" s="7"/>
    </row>
    <row r="385" spans="5:8" x14ac:dyDescent="0.3">
      <c r="E385" s="7"/>
      <c r="F385" s="7"/>
      <c r="G385" s="7"/>
      <c r="H385" s="7"/>
    </row>
    <row r="386" spans="5:8" x14ac:dyDescent="0.3">
      <c r="E386" s="7"/>
      <c r="F386" s="7"/>
      <c r="G386" s="7"/>
      <c r="H386" s="7"/>
    </row>
    <row r="387" spans="5:8" x14ac:dyDescent="0.3">
      <c r="E387" s="7"/>
      <c r="F387" s="7"/>
      <c r="G387" s="7"/>
      <c r="H387" s="7"/>
    </row>
    <row r="388" spans="5:8" x14ac:dyDescent="0.3">
      <c r="E388" s="7"/>
      <c r="F388" s="7"/>
      <c r="G388" s="7"/>
      <c r="H388" s="7"/>
    </row>
    <row r="389" spans="5:8" x14ac:dyDescent="0.3">
      <c r="E389" s="7"/>
      <c r="F389" s="7"/>
      <c r="G389" s="7"/>
      <c r="H389" s="7"/>
    </row>
    <row r="390" spans="5:8" x14ac:dyDescent="0.3">
      <c r="E390" s="7"/>
      <c r="F390" s="7"/>
      <c r="G390" s="7"/>
      <c r="H390" s="7"/>
    </row>
    <row r="391" spans="5:8" x14ac:dyDescent="0.3">
      <c r="E391" s="7"/>
      <c r="F391" s="7"/>
      <c r="G391" s="7"/>
      <c r="H391" s="7"/>
    </row>
    <row r="392" spans="5:8" x14ac:dyDescent="0.3">
      <c r="E392" s="7"/>
      <c r="F392" s="7"/>
      <c r="G392" s="7"/>
      <c r="H392" s="7"/>
    </row>
    <row r="393" spans="5:8" x14ac:dyDescent="0.3">
      <c r="E393" s="7"/>
      <c r="F393" s="7"/>
      <c r="G393" s="7"/>
      <c r="H393" s="7"/>
    </row>
    <row r="394" spans="5:8" x14ac:dyDescent="0.3">
      <c r="E394" s="7"/>
      <c r="F394" s="7"/>
      <c r="G394" s="7"/>
      <c r="H394" s="7"/>
    </row>
    <row r="395" spans="5:8" x14ac:dyDescent="0.3">
      <c r="E395" s="7"/>
      <c r="F395" s="7"/>
      <c r="G395" s="7"/>
      <c r="H395" s="7"/>
    </row>
    <row r="396" spans="5:8" x14ac:dyDescent="0.3">
      <c r="E396" s="7"/>
      <c r="F396" s="7"/>
      <c r="G396" s="7"/>
      <c r="H396" s="7"/>
    </row>
    <row r="397" spans="5:8" x14ac:dyDescent="0.3">
      <c r="E397" s="7"/>
      <c r="F397" s="7"/>
      <c r="G397" s="7"/>
      <c r="H397" s="7"/>
    </row>
    <row r="398" spans="5:8" x14ac:dyDescent="0.3">
      <c r="E398" s="7"/>
      <c r="F398" s="7"/>
      <c r="G398" s="7"/>
      <c r="H398" s="7"/>
    </row>
    <row r="399" spans="5:8" x14ac:dyDescent="0.3">
      <c r="E399" s="7"/>
      <c r="F399" s="7"/>
      <c r="G399" s="7"/>
      <c r="H399" s="7"/>
    </row>
    <row r="400" spans="5:8" x14ac:dyDescent="0.3">
      <c r="E400" s="7"/>
      <c r="F400" s="7"/>
      <c r="G400" s="7"/>
      <c r="H400" s="7"/>
    </row>
    <row r="401" spans="5:8" x14ac:dyDescent="0.3">
      <c r="E401" s="7"/>
      <c r="F401" s="7"/>
      <c r="G401" s="7"/>
      <c r="H401" s="7"/>
    </row>
    <row r="402" spans="5:8" x14ac:dyDescent="0.3">
      <c r="E402" s="7"/>
      <c r="F402" s="7"/>
      <c r="G402" s="7"/>
      <c r="H402" s="7"/>
    </row>
    <row r="403" spans="5:8" x14ac:dyDescent="0.3">
      <c r="E403" s="7"/>
      <c r="F403" s="7"/>
      <c r="G403" s="7"/>
      <c r="H403" s="7"/>
    </row>
    <row r="404" spans="5:8" x14ac:dyDescent="0.3">
      <c r="E404" s="7"/>
      <c r="F404" s="7"/>
      <c r="G404" s="7"/>
      <c r="H404" s="7"/>
    </row>
    <row r="405" spans="5:8" x14ac:dyDescent="0.3">
      <c r="E405" s="7"/>
      <c r="F405" s="7"/>
      <c r="G405" s="7"/>
      <c r="H405" s="7"/>
    </row>
    <row r="406" spans="5:8" x14ac:dyDescent="0.3">
      <c r="E406" s="7"/>
      <c r="F406" s="7"/>
      <c r="G406" s="7"/>
      <c r="H406" s="7"/>
    </row>
    <row r="407" spans="5:8" x14ac:dyDescent="0.3">
      <c r="E407" s="7"/>
      <c r="F407" s="7"/>
      <c r="G407" s="7"/>
      <c r="H407" s="7"/>
    </row>
    <row r="408" spans="5:8" x14ac:dyDescent="0.3">
      <c r="E408" s="7"/>
      <c r="F408" s="7"/>
      <c r="G408" s="7"/>
      <c r="H408" s="7"/>
    </row>
    <row r="409" spans="5:8" x14ac:dyDescent="0.3">
      <c r="E409" s="7"/>
      <c r="F409" s="7"/>
      <c r="G409" s="7"/>
      <c r="H409" s="7"/>
    </row>
    <row r="410" spans="5:8" x14ac:dyDescent="0.3">
      <c r="E410" s="7"/>
      <c r="F410" s="7"/>
      <c r="G410" s="7"/>
      <c r="H410" s="7"/>
    </row>
    <row r="411" spans="5:8" x14ac:dyDescent="0.3">
      <c r="E411" s="7"/>
      <c r="F411" s="7"/>
      <c r="G411" s="7"/>
      <c r="H411" s="7"/>
    </row>
    <row r="412" spans="5:8" x14ac:dyDescent="0.3">
      <c r="E412" s="7"/>
      <c r="F412" s="7"/>
      <c r="G412" s="7"/>
      <c r="H412" s="7"/>
    </row>
    <row r="413" spans="5:8" x14ac:dyDescent="0.3">
      <c r="E413" s="7"/>
      <c r="F413" s="7"/>
      <c r="G413" s="7"/>
      <c r="H413" s="7"/>
    </row>
    <row r="414" spans="5:8" x14ac:dyDescent="0.3">
      <c r="E414" s="7"/>
      <c r="F414" s="7"/>
      <c r="G414" s="7"/>
      <c r="H414" s="7"/>
    </row>
    <row r="415" spans="5:8" x14ac:dyDescent="0.3">
      <c r="E415" s="7"/>
      <c r="F415" s="7"/>
      <c r="G415" s="7"/>
      <c r="H415" s="7"/>
    </row>
    <row r="416" spans="5:8" x14ac:dyDescent="0.3">
      <c r="E416" s="7"/>
      <c r="F416" s="7"/>
      <c r="G416" s="7"/>
      <c r="H416" s="7"/>
    </row>
    <row r="417" spans="5:8" x14ac:dyDescent="0.3">
      <c r="E417" s="7"/>
      <c r="F417" s="7"/>
      <c r="G417" s="7"/>
      <c r="H417" s="7"/>
    </row>
    <row r="418" spans="5:8" x14ac:dyDescent="0.3">
      <c r="E418" s="7"/>
      <c r="F418" s="7"/>
      <c r="G418" s="7"/>
      <c r="H418" s="7"/>
    </row>
    <row r="419" spans="5:8" x14ac:dyDescent="0.3">
      <c r="E419" s="7"/>
      <c r="F419" s="7"/>
      <c r="G419" s="7"/>
      <c r="H419" s="7"/>
    </row>
    <row r="420" spans="5:8" x14ac:dyDescent="0.3">
      <c r="E420" s="7"/>
      <c r="F420" s="7"/>
      <c r="G420" s="7"/>
      <c r="H420" s="7"/>
    </row>
    <row r="421" spans="5:8" x14ac:dyDescent="0.3">
      <c r="E421" s="7"/>
      <c r="F421" s="7"/>
      <c r="G421" s="7"/>
      <c r="H421" s="7"/>
    </row>
    <row r="422" spans="5:8" x14ac:dyDescent="0.3">
      <c r="E422" s="7"/>
      <c r="F422" s="7"/>
      <c r="G422" s="7"/>
      <c r="H422" s="7"/>
    </row>
    <row r="423" spans="5:8" x14ac:dyDescent="0.3">
      <c r="E423" s="7"/>
      <c r="F423" s="7"/>
      <c r="G423" s="7"/>
      <c r="H423" s="7"/>
    </row>
    <row r="424" spans="5:8" x14ac:dyDescent="0.3">
      <c r="E424" s="7"/>
      <c r="F424" s="7"/>
      <c r="G424" s="7"/>
      <c r="H424" s="7"/>
    </row>
    <row r="425" spans="5:8" x14ac:dyDescent="0.3">
      <c r="E425" s="7"/>
      <c r="F425" s="7"/>
      <c r="G425" s="7"/>
      <c r="H425" s="7"/>
    </row>
    <row r="426" spans="5:8" x14ac:dyDescent="0.3">
      <c r="E426" s="7"/>
      <c r="F426" s="7"/>
      <c r="G426" s="7"/>
      <c r="H426" s="7"/>
    </row>
    <row r="427" spans="5:8" x14ac:dyDescent="0.3">
      <c r="E427" s="7"/>
      <c r="F427" s="7"/>
      <c r="G427" s="7"/>
      <c r="H427" s="7"/>
    </row>
    <row r="428" spans="5:8" x14ac:dyDescent="0.3">
      <c r="E428" s="7"/>
      <c r="F428" s="7"/>
      <c r="G428" s="7"/>
      <c r="H428" s="7"/>
    </row>
    <row r="429" spans="5:8" x14ac:dyDescent="0.3">
      <c r="E429" s="7"/>
      <c r="F429" s="7"/>
      <c r="G429" s="7"/>
      <c r="H429" s="7"/>
    </row>
    <row r="430" spans="5:8" x14ac:dyDescent="0.3">
      <c r="E430" s="7"/>
      <c r="F430" s="7"/>
      <c r="G430" s="7"/>
      <c r="H430" s="7"/>
    </row>
    <row r="431" spans="5:8" x14ac:dyDescent="0.3">
      <c r="E431" s="7"/>
      <c r="F431" s="7"/>
      <c r="G431" s="7"/>
      <c r="H431" s="7"/>
    </row>
    <row r="432" spans="5:8" x14ac:dyDescent="0.3">
      <c r="E432" s="7"/>
      <c r="F432" s="7"/>
      <c r="G432" s="7"/>
      <c r="H432" s="7"/>
    </row>
    <row r="433" spans="5:8" x14ac:dyDescent="0.3">
      <c r="E433" s="7"/>
      <c r="F433" s="7"/>
      <c r="G433" s="7"/>
      <c r="H433" s="7"/>
    </row>
    <row r="434" spans="5:8" x14ac:dyDescent="0.3">
      <c r="E434" s="7"/>
      <c r="F434" s="7"/>
      <c r="G434" s="7"/>
      <c r="H434" s="7"/>
    </row>
    <row r="435" spans="5:8" x14ac:dyDescent="0.3">
      <c r="E435" s="7"/>
      <c r="F435" s="7"/>
      <c r="G435" s="7"/>
      <c r="H435" s="7"/>
    </row>
    <row r="436" spans="5:8" x14ac:dyDescent="0.3">
      <c r="E436" s="7"/>
      <c r="F436" s="7"/>
      <c r="G436" s="7"/>
      <c r="H436" s="7"/>
    </row>
    <row r="437" spans="5:8" x14ac:dyDescent="0.3">
      <c r="E437" s="7"/>
      <c r="F437" s="7"/>
      <c r="G437" s="7"/>
      <c r="H437" s="7"/>
    </row>
    <row r="438" spans="5:8" x14ac:dyDescent="0.3">
      <c r="E438" s="7"/>
      <c r="F438" s="7"/>
      <c r="G438" s="7"/>
      <c r="H438" s="7"/>
    </row>
    <row r="439" spans="5:8" x14ac:dyDescent="0.3">
      <c r="E439" s="7"/>
      <c r="F439" s="7"/>
      <c r="G439" s="7"/>
      <c r="H439" s="7"/>
    </row>
    <row r="440" spans="5:8" x14ac:dyDescent="0.3">
      <c r="E440" s="7"/>
      <c r="F440" s="7"/>
      <c r="G440" s="7"/>
      <c r="H440" s="7"/>
    </row>
    <row r="441" spans="5:8" x14ac:dyDescent="0.3">
      <c r="E441" s="7"/>
      <c r="F441" s="7"/>
      <c r="G441" s="7"/>
      <c r="H441" s="7"/>
    </row>
    <row r="442" spans="5:8" x14ac:dyDescent="0.3">
      <c r="E442" s="7"/>
      <c r="F442" s="7"/>
      <c r="G442" s="7"/>
      <c r="H442" s="7"/>
    </row>
    <row r="443" spans="5:8" x14ac:dyDescent="0.3">
      <c r="E443" s="7"/>
      <c r="F443" s="7"/>
      <c r="G443" s="7"/>
      <c r="H443" s="7"/>
    </row>
    <row r="444" spans="5:8" x14ac:dyDescent="0.3">
      <c r="E444" s="7"/>
      <c r="F444" s="7"/>
      <c r="G444" s="7"/>
      <c r="H444" s="7"/>
    </row>
    <row r="445" spans="5:8" x14ac:dyDescent="0.3">
      <c r="E445" s="7"/>
      <c r="F445" s="7"/>
      <c r="G445" s="7"/>
      <c r="H445" s="7"/>
    </row>
    <row r="446" spans="5:8" x14ac:dyDescent="0.3">
      <c r="E446" s="7"/>
      <c r="F446" s="7"/>
      <c r="G446" s="7"/>
      <c r="H446" s="7"/>
    </row>
    <row r="447" spans="5:8" x14ac:dyDescent="0.3">
      <c r="E447" s="7"/>
      <c r="F447" s="7"/>
      <c r="G447" s="7"/>
      <c r="H447" s="7"/>
    </row>
    <row r="448" spans="5:8" x14ac:dyDescent="0.3">
      <c r="E448" s="7"/>
      <c r="F448" s="7"/>
      <c r="G448" s="7"/>
      <c r="H448" s="7"/>
    </row>
    <row r="449" spans="5:8" x14ac:dyDescent="0.3">
      <c r="E449" s="7"/>
      <c r="F449" s="7"/>
      <c r="G449" s="7"/>
      <c r="H449" s="7"/>
    </row>
    <row r="450" spans="5:8" x14ac:dyDescent="0.3">
      <c r="E450" s="7"/>
      <c r="F450" s="7"/>
      <c r="G450" s="7"/>
      <c r="H450" s="7"/>
    </row>
    <row r="451" spans="5:8" x14ac:dyDescent="0.3">
      <c r="E451" s="7"/>
      <c r="F451" s="7"/>
      <c r="G451" s="7"/>
      <c r="H451" s="7"/>
    </row>
    <row r="452" spans="5:8" x14ac:dyDescent="0.3">
      <c r="E452" s="7"/>
      <c r="F452" s="7"/>
      <c r="G452" s="7"/>
      <c r="H452" s="7"/>
    </row>
    <row r="453" spans="5:8" x14ac:dyDescent="0.3">
      <c r="E453" s="7"/>
      <c r="F453" s="7"/>
      <c r="G453" s="7"/>
      <c r="H453" s="7"/>
    </row>
    <row r="454" spans="5:8" x14ac:dyDescent="0.3">
      <c r="E454" s="7"/>
      <c r="F454" s="7"/>
      <c r="G454" s="7"/>
      <c r="H454" s="7"/>
    </row>
  </sheetData>
  <mergeCells count="25">
    <mergeCell ref="I6:I7"/>
    <mergeCell ref="L2:L4"/>
    <mergeCell ref="K6:K7"/>
    <mergeCell ref="B6:B7"/>
    <mergeCell ref="E6:F6"/>
    <mergeCell ref="B2:H3"/>
    <mergeCell ref="J2:J4"/>
    <mergeCell ref="J6:J7"/>
    <mergeCell ref="I2:I4"/>
    <mergeCell ref="L6:L7"/>
    <mergeCell ref="H5:I5"/>
    <mergeCell ref="P29:Q29"/>
    <mergeCell ref="P27:Q28"/>
    <mergeCell ref="P20:Q20"/>
    <mergeCell ref="P23:Q24"/>
    <mergeCell ref="M2:M4"/>
    <mergeCell ref="P14:Q15"/>
    <mergeCell ref="P16:Q16"/>
    <mergeCell ref="P25:Q25"/>
    <mergeCell ref="P9:Q10"/>
    <mergeCell ref="P21:Q21"/>
    <mergeCell ref="P18:Q19"/>
    <mergeCell ref="Q2:Q4"/>
    <mergeCell ref="M6:M7"/>
    <mergeCell ref="N6:N7"/>
  </mergeCells>
  <phoneticPr fontId="34" type="noConversion"/>
  <conditionalFormatting sqref="L9:L10 L28:L51">
    <cfRule type="cellIs" dxfId="30" priority="3" operator="equal">
      <formula>"LADO 3"</formula>
    </cfRule>
    <cfRule type="cellIs" dxfId="29" priority="6" operator="equal">
      <formula>"LADO 1"</formula>
    </cfRule>
    <cfRule type="cellIs" dxfId="28" priority="7" operator="equal">
      <formula>"LADO 2"</formula>
    </cfRule>
  </conditionalFormatting>
  <dataValidations count="3">
    <dataValidation type="list" allowBlank="1" showInputMessage="1" showErrorMessage="1" sqref="J2:J4" xr:uid="{00000000-0002-0000-0400-000000000000}">
      <formula1>",SIM,NÃO"</formula1>
    </dataValidation>
    <dataValidation type="list" allowBlank="1" showInputMessage="1" showErrorMessage="1" sqref="M6:M7" xr:uid="{5E5BB816-81B3-4240-925B-07BBB210721D}">
      <formula1>" ,SIM,NÃO"</formula1>
    </dataValidation>
    <dataValidation type="list" allowBlank="1" showInputMessage="1" showErrorMessage="1" sqref="L9:L10 L28:L51" xr:uid="{C8DB3A08-825A-4266-8835-289263A67DBF}">
      <formula1>"LADO 1, LADO 2, LADO 3, LADO 4, TRAFO"</formula1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 r:id="rId1"/>
  <ignoredErrors>
    <ignoredError sqref="J10:J51" calculatedColumn="1"/>
  </ignoredErrors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A702339-BAFB-4499-B7D0-05571F0B36E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N3</xm:sqref>
        </x14:conditionalFormatting>
        <x14:conditionalFormatting xmlns:xm="http://schemas.microsoft.com/office/excel/2006/main">
          <x14:cfRule type="iconSet" priority="1" id="{E951C77F-F80B-47AE-B038-C026FE553905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N5</xm:sqref>
        </x14:conditionalFormatting>
        <x14:conditionalFormatting xmlns:xm="http://schemas.microsoft.com/office/excel/2006/main">
          <x14:cfRule type="iconSet" priority="4" id="{A286BD03-E90E-4A20-91B1-634C510FD0EF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N9:N51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8FB881-828E-4B7B-88B9-7C1E203265FC}">
          <x14:formula1>
            <xm:f>DB!$A$2:$A$32</xm:f>
          </x14:formula1>
          <xm:sqref>M9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/>
  <dimension ref="A1:AH27"/>
  <sheetViews>
    <sheetView zoomScaleNormal="100" workbookViewId="0">
      <pane xSplit="3" ySplit="7" topLeftCell="D8" activePane="bottomRight" state="frozen"/>
      <selection activeCell="A35" sqref="A35:Y35"/>
      <selection pane="topRight" activeCell="A35" sqref="A35:Y35"/>
      <selection pane="bottomLeft" activeCell="A35" sqref="A35:Y35"/>
      <selection pane="bottomRight" activeCell="C25" sqref="C25"/>
    </sheetView>
  </sheetViews>
  <sheetFormatPr defaultRowHeight="14.4" x14ac:dyDescent="0.3"/>
  <cols>
    <col min="2" max="2" width="11.6640625" bestFit="1" customWidth="1"/>
    <col min="3" max="3" width="12.6640625" customWidth="1"/>
    <col min="4" max="4" width="11.21875" customWidth="1"/>
    <col min="5" max="5" width="8.6640625" customWidth="1"/>
    <col min="6" max="6" width="10.44140625" bestFit="1" customWidth="1"/>
    <col min="7" max="7" width="11.5546875" bestFit="1" customWidth="1"/>
    <col min="8" max="8" width="8.21875" customWidth="1"/>
    <col min="9" max="9" width="8.88671875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9.21875" customWidth="1"/>
    <col min="19" max="19" width="20.6640625" hidden="1" customWidth="1"/>
    <col min="20" max="20" width="9" hidden="1" customWidth="1"/>
    <col min="21" max="21" width="8" hidden="1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customWidth="1"/>
    <col min="30" max="30" width="4.6640625" customWidth="1"/>
    <col min="31" max="31" width="11.5546875" bestFit="1" customWidth="1"/>
    <col min="32" max="32" width="28.33203125" bestFit="1" customWidth="1"/>
  </cols>
  <sheetData>
    <row r="1" spans="1:34" x14ac:dyDescent="0.3">
      <c r="J1" s="118" t="s">
        <v>94</v>
      </c>
    </row>
    <row r="2" spans="1:34" x14ac:dyDescent="0.3">
      <c r="B2" s="259" t="s">
        <v>237</v>
      </c>
      <c r="C2" s="263">
        <f>Q24</f>
        <v>116.42921543884667</v>
      </c>
      <c r="D2" s="260">
        <f>P24</f>
        <v>8.3357651702431063E-2</v>
      </c>
      <c r="E2" s="170"/>
      <c r="F2" s="215"/>
      <c r="G2" s="215"/>
      <c r="H2" s="63"/>
      <c r="J2" s="118" t="s">
        <v>97</v>
      </c>
      <c r="AE2" s="204" t="s">
        <v>36</v>
      </c>
      <c r="AF2" s="205"/>
      <c r="AG2" s="204"/>
      <c r="AH2" s="205"/>
    </row>
    <row r="3" spans="1:34" x14ac:dyDescent="0.3">
      <c r="B3" s="209"/>
      <c r="C3" s="261"/>
      <c r="D3" s="261"/>
      <c r="E3" s="170"/>
      <c r="F3" s="209"/>
      <c r="G3" s="209"/>
      <c r="H3" s="63"/>
      <c r="AE3" s="206"/>
      <c r="AF3" s="206"/>
      <c r="AG3" s="206"/>
      <c r="AH3" s="206"/>
    </row>
    <row r="4" spans="1:34" x14ac:dyDescent="0.3">
      <c r="AE4" s="11" t="s">
        <v>26</v>
      </c>
      <c r="AF4" s="13">
        <f>IFERROR(SUMPRODUCT(I8:I23,F8:F23)/SUM(I8:I23),"INSERIR DADOS")</f>
        <v>0</v>
      </c>
      <c r="AG4" s="210"/>
      <c r="AH4" s="203"/>
    </row>
    <row r="5" spans="1:34" ht="13.8" customHeight="1" x14ac:dyDescent="0.3">
      <c r="A5" s="259" t="s">
        <v>322</v>
      </c>
      <c r="B5" s="259" t="s">
        <v>13</v>
      </c>
      <c r="C5" s="220" t="s">
        <v>238</v>
      </c>
      <c r="D5" s="220" t="s">
        <v>330</v>
      </c>
      <c r="E5" s="58"/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>
        <f>IFERROR(SUMPRODUCT(I8:I23,G8:G23)/SUM(I8:I23),"INSERIR DADOS")</f>
        <v>0</v>
      </c>
    </row>
    <row r="6" spans="1:34" ht="34.200000000000003" customHeight="1" x14ac:dyDescent="0.3">
      <c r="A6" s="209"/>
      <c r="B6" s="209"/>
      <c r="C6" s="209"/>
      <c r="D6" s="265"/>
      <c r="E6" s="58" t="s">
        <v>321</v>
      </c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4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  <c r="AE7" t="s">
        <v>265</v>
      </c>
    </row>
    <row r="8" spans="1:34" x14ac:dyDescent="0.3">
      <c r="A8" s="172" t="s">
        <v>311</v>
      </c>
      <c r="B8" s="54">
        <f>IFERROR(VLOOKUP(A8,PROJ1!A8:C50,2,0),"")</f>
        <v>1</v>
      </c>
      <c r="C8" s="54">
        <f>IFERROR(IF(Tabela7[[#This Row],[PONTO]]="RAMAL",B7,VLOOKUP(Tabela7[[#This Row],[PONTO]],GERAL[],2,0)),"")</f>
        <v>0</v>
      </c>
      <c r="D8" s="54">
        <f>IF(Tabela7[[#This Row],[PONTO]]="","",IFERROR(IF(Tabela7[[#This Row],[PONTO]]="RAMAL",15,VLOOKUP(Tabela7[[#This Row],[PONTO]],GERAL[],3,0)),0))</f>
        <v>4</v>
      </c>
      <c r="E8" s="154">
        <f>IFERROR(IF(Tabela7[[#This Row],[PONTO]]="RAMAL","",VLOOKUP(Tabela7[[#This Row],[PONTO]],GERAL[],7,0)),"")</f>
        <v>90</v>
      </c>
      <c r="F8" s="154">
        <f>IFERROR(IF(Tabela7[[#This Row],[PONTO]]="RAMAL","",VLOOKUP(Tabela7[[#This Row],[PONTO]],GERAL[],4,0)),"")</f>
        <v>0</v>
      </c>
      <c r="G8" s="154">
        <f>IFERROR(IF(Tabela7[[#This Row],[PONTO]]="RAMAL","",VLOOKUP(Tabela7[[#This Row],[PONTO]],GERAL[],5,0)),"")</f>
        <v>0</v>
      </c>
      <c r="H8" s="55">
        <f>IFERROR(IF(Tabela7[[#This Row],[PONTO]]="RAMAL",DMDI,VLOOKUP(Tabela7[[#This Row],[PONTO]],GERAL[],8,0)),"")</f>
        <v>7.2943999999999996</v>
      </c>
      <c r="I8" s="55">
        <f>IF(Tabela7[[#This Row],[PONTO]]="","",IFERROR(IF(Tabela7[[#This Row],[PONTO]]="RAMAL",Tabela7[[#This Row],[KVA PONTO]],VLOOKUP(Tabela7[[#This Row],[PONTO]],GERAL[],9,0)),""))</f>
        <v>127.70729411764684</v>
      </c>
      <c r="J8" s="55" t="str">
        <f>IF(Tabela7[[#This Row],[PONTO]]="","",IFERROR(VLOOKUP(Tabela7[[#This Row],[PONTO]],GERAL[],12,0),""))</f>
        <v>240 Cu</v>
      </c>
      <c r="K8" s="61">
        <f>IFERROR(Tabela7[[#This Row],[Ib]],"")</f>
        <v>111.7149100550032</v>
      </c>
      <c r="L8" s="117">
        <f>IFERROR(IFERROR(Tabela7[[#This Row],[ACUMULADA]]/((IF(Tabela7[[#This Row],[FASE]]="MONO",T_LINHA_MONO,IF(Tabela7[[#This Row],[FASE]]="BIF",T_LINHA_TRF,T_LINHA_TRF*SQRT(3)))/1000)*VLOOKUP(Tabela7[[#This Row],[CONDUTOR]],CABOS[],9,0))+30,W8+60*(X8/Z8)),"")</f>
        <v>76.764380953257159</v>
      </c>
      <c r="M8" s="68">
        <f>IFERROR((VLOOKUP(Tabela7[[#This Row],[CONDUTOR]],CABOS[],3,0)/VLOOKUP(Tabela7[[#This Row],[CONDUTOR]],CABOS[],6,0))*(1+VLOOKUP(Tabela7[[#This Row],[CONDUTOR]],CABOS[],5,0)*(Tabela7[[#This Row],[T]]-20)),"")</f>
        <v>9.9277857246209786E-2</v>
      </c>
      <c r="N8" s="62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>6.2886815082202769</v>
      </c>
      <c r="O8" s="116">
        <f>IF(Tabela7[[#This Row],[PONTO]]="","",IFERROR(SUMIF(Tabela7[PONTO],Tabela7[[#This Row],[TRECHO]],Tabela7[Coluna1])+Tabela7[[#This Row],[QT-PONTO]],""))</f>
        <v>6.2886815082202769</v>
      </c>
      <c r="P8" s="56">
        <f>IFERROR(Tabela7[[#This Row],[Coluna1]]/T_LINHA_MONO,"")</f>
        <v>4.951052674934725E-2</v>
      </c>
      <c r="Q8" s="55">
        <f>IFERROR(T_LINHA_MONO*(1-Tabela7[[#This Row],[QT %]]),"")</f>
        <v>120.72837771349741</v>
      </c>
      <c r="R8" s="55">
        <f>IFERROR(T_LINHA_TRF*(1-Tabela7[[#This Row],[QT %]]),"")</f>
        <v>209.10768411514363</v>
      </c>
      <c r="S8" s="67" t="str">
        <f>IFERROR(IF(Tabela7[[#This Row],[PROTECAO]]="OK","Protecao OK","Ajustar Disj/Condutor"),"")</f>
        <v>Ajustar Disj/Condutor</v>
      </c>
      <c r="T8" s="72" t="str">
        <f>IF(Tabela7[[#This Row],[ETA]]=1,"MONO",IF(Tabela7[[#This Row],[ETA]]=2,"BIF","TRI"))</f>
        <v>TRI</v>
      </c>
      <c r="U8" s="72">
        <v>3</v>
      </c>
      <c r="V8" s="72" t="str">
        <f t="shared" ref="V8:V26" si="0">"AEREO"</f>
        <v>AEREO</v>
      </c>
      <c r="W8" s="72">
        <v>20</v>
      </c>
      <c r="X8" s="72">
        <f>IFERROR(IF(Tabela7[[#This Row],[FASE]]="MONO",Tabela7[[#This Row],[ACUMULADA]]*1000/(T_LINHA_TRF*Tabela7[[#This Row],[ETA]]),Tabela7[[#This Row],[ACUMULADA]]*1000/(SQRT(3)*$R$7*Tabela7[[#This Row],[ETA]])),"")</f>
        <v>111.7149100550032</v>
      </c>
      <c r="Y8" s="72">
        <f>IFERROR(VLOOKUP(Tabela7[[#This Row],[Ib]],TabelaDisjuntores[],2,TRUE),"")</f>
        <v>100</v>
      </c>
      <c r="Z8" s="72">
        <f>IFERROR(VLOOKUP(Tabela7[[#This Row],[CONDUTOR]],CABOS[],2,0),"")</f>
        <v>430</v>
      </c>
      <c r="AA8" s="72" t="str">
        <f>IF(AND(Tabela7[[#This Row],[Ib]]&lt;=Tabela7[[#This Row],[In]],Tabela7[[#This Row],[In]]&lt;=Tabela7[[#This Row],[Iz]]),"OK","VERIFICAR")</f>
        <v>VERIFICAR</v>
      </c>
      <c r="AB8" s="97">
        <f>IFERROR(SQRT((Tabela7[[#This Row],[X]]-$AF$4)^2+(Tabela7[[#This Row],[Y]]-$AF$5)^2),"")</f>
        <v>0</v>
      </c>
      <c r="AC8" s="9">
        <f>IFERROR(VLOOKUP(Tabela7[[#This Row],[CONDUTOR]],CONDUTORES,2,0),"")</f>
        <v>430</v>
      </c>
    </row>
    <row r="9" spans="1:34" x14ac:dyDescent="0.3">
      <c r="A9" s="54" t="s">
        <v>364</v>
      </c>
      <c r="B9" s="130">
        <v>2</v>
      </c>
      <c r="C9" s="54">
        <f>IFERROR(IF(Tabela7[[#This Row],[PONTO]]="RAMAL",B8,VLOOKUP(Tabela7[[#This Row],[PONTO]],GERAL[],2,0)),"")</f>
        <v>1</v>
      </c>
      <c r="D9" s="54">
        <f>IF(Tabela7[[#This Row],[PONTO]]="","",IFERROR(IF(Tabela7[[#This Row],[PONTO]]="RAMAL",15,VLOOKUP(Tabela7[[#This Row],[PONTO]],GERAL[],3,0)),0))</f>
        <v>38</v>
      </c>
      <c r="E9" s="154">
        <f>IFERROR(IF(Tabela7[[#This Row],[PONTO]]="RAMAL","",VLOOKUP(Tabela7[[#This Row],[PONTO]],GERAL[],7,0)),"")</f>
        <v>23</v>
      </c>
      <c r="F9" s="154">
        <f>IFERROR(IF(Tabela7[[#This Row],[PONTO]]="RAMAL","",VLOOKUP(Tabela7[[#This Row],[PONTO]],GERAL[],4,0)),"")</f>
        <v>0</v>
      </c>
      <c r="G9" s="154">
        <f>IFERROR(IF(Tabela7[[#This Row],[PONTO]]="RAMAL","",VLOOKUP(Tabela7[[#This Row],[PONTO]],GERAL[],5,0)),"")</f>
        <v>0</v>
      </c>
      <c r="H9" s="55">
        <f>IFERROR(IF(Tabela7[[#This Row],[PONTO]]="RAMAL",DMDI,VLOOKUP(Tabela7[[#This Row],[PONTO]],GERAL[],8,0)),"")</f>
        <v>0</v>
      </c>
      <c r="I9" s="55">
        <f>IF(Tabela7[[#This Row],[PONTO]]="","",IFERROR(IF(Tabela7[[#This Row],[PONTO]]="RAMAL",Tabela7[[#This Row],[KVA PONTO]],VLOOKUP(Tabela7[[#This Row],[PONTO]],GERAL[],9,0)),""))</f>
        <v>36.227599999999995</v>
      </c>
      <c r="J9" s="55" t="str">
        <f>IF(Tabela7[[#This Row],[PONTO]]="","",IFERROR(VLOOKUP(Tabela7[[#This Row],[PONTO]],GERAL[],12,0),""))</f>
        <v>53 AA</v>
      </c>
      <c r="K9" s="61">
        <f>IFERROR(Tabela7[[#This Row],[Ib]],"")</f>
        <v>31.690931230445582</v>
      </c>
      <c r="L9" s="117">
        <f>IFERROR(IFERROR(Tabela7[[#This Row],[ACUMULADA]]/((IF(Tabela7[[#This Row],[FASE]]="MONO",T_LINHA_MONO,IF(Tabela7[[#This Row],[FASE]]="BIF",T_LINHA_TRF,T_LINHA_TRF*SQRT(3)))/1000)*VLOOKUP(Tabela7[[#This Row],[CONDUTOR]],CABOS[],9,0))+30,W9+60*(X9/Z9)),"")</f>
        <v>64.996120377179182</v>
      </c>
      <c r="M9" s="68">
        <f>IFERROR((VLOOKUP(Tabela7[[#This Row],[CONDUTOR]],CABOS[],3,0)/VLOOKUP(Tabela7[[#This Row],[CONDUTOR]],CABOS[],6,0))*(1+VLOOKUP(Tabela7[[#This Row],[CONDUTOR]],CABOS[],5,0)*(Tabela7[[#This Row],[T]]-20)),"")</f>
        <v>0.6119055860511764</v>
      </c>
      <c r="N9" s="62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>2.2608402446108298</v>
      </c>
      <c r="O9" s="116">
        <f>IF(Tabela7[[#This Row],[PONTO]]="","",IFERROR(SUMIF(Tabela7[PONTO],Tabela7[[#This Row],[TRECHO]],Tabela7[Coluna1])+Tabela7[[#This Row],[QT-PONTO]],""))</f>
        <v>8.5495217528311063</v>
      </c>
      <c r="P9" s="56">
        <f>IFERROR(Tabela7[[#This Row],[Coluna1]]/T_LINHA_MONO,"")</f>
        <v>6.7310027528721825E-2</v>
      </c>
      <c r="Q9" s="55">
        <f>IFERROR(T_LINHA_MONO*(1-Tabela7[[#This Row],[QT %]]),"")</f>
        <v>118.46753746888656</v>
      </c>
      <c r="R9" s="55">
        <f>IFERROR(T_LINHA_TRF*(1-Tabela7[[#This Row],[QT %]]),"")</f>
        <v>205.1917939436812</v>
      </c>
      <c r="S9" s="67" t="str">
        <f>IFERROR(IF(Tabela7[[#This Row],[PROTECAO]]="OK","Protecao OK","Ajustar Disj/Condutor"),"")</f>
        <v>Ajustar Disj/Condutor</v>
      </c>
      <c r="T9" s="72" t="str">
        <f>IF(Tabela7[[#This Row],[ETA]]=1,"MONO",IF(Tabela7[[#This Row],[ETA]]=2,"BIF","TRI"))</f>
        <v>TRI</v>
      </c>
      <c r="U9" s="72">
        <v>3</v>
      </c>
      <c r="V9" s="72" t="str">
        <f t="shared" si="0"/>
        <v>AEREO</v>
      </c>
      <c r="W9" s="72">
        <v>20</v>
      </c>
      <c r="X9" s="72">
        <f>IFERROR(IF(Tabela7[[#This Row],[FASE]]="MONO",Tabela7[[#This Row],[ACUMULADA]]*1000/(T_LINHA_TRF*Tabela7[[#This Row],[ETA]]),Tabela7[[#This Row],[ACUMULADA]]*1000/(SQRT(3)*$R$7*Tabela7[[#This Row],[ETA]])),"")</f>
        <v>31.690931230445582</v>
      </c>
      <c r="Y9" s="72">
        <f>IFERROR(VLOOKUP(Tabela7[[#This Row],[Ib]],TabelaDisjuntores[],2,TRUE),"")</f>
        <v>25</v>
      </c>
      <c r="Z9" s="72">
        <f>IFERROR(VLOOKUP(Tabela7[[#This Row],[CONDUTOR]],CABOS[],2,0),"")</f>
        <v>163</v>
      </c>
      <c r="AA9" s="72" t="str">
        <f>IF(AND(Tabela7[[#This Row],[Ib]]&lt;=Tabela7[[#This Row],[In]],Tabela7[[#This Row],[In]]&lt;=Tabela7[[#This Row],[Iz]]),"OK","VERIFICAR")</f>
        <v>VERIFICAR</v>
      </c>
      <c r="AB9" s="97">
        <f>IFERROR(SQRT((Tabela7[[#This Row],[X]]-$AF$4)^2+(Tabela7[[#This Row],[Y]]-$AF$5)^2),"")</f>
        <v>0</v>
      </c>
      <c r="AC9" s="9">
        <f>IFERROR(VLOOKUP(Tabela7[[#This Row],[CONDUTOR]],CONDUTORES,2,0),"")</f>
        <v>163</v>
      </c>
      <c r="AE9" t="s">
        <v>15</v>
      </c>
      <c r="AF9" t="s">
        <v>266</v>
      </c>
    </row>
    <row r="10" spans="1:34" x14ac:dyDescent="0.3">
      <c r="A10" s="172" t="s">
        <v>314</v>
      </c>
      <c r="B10" s="130">
        <v>3</v>
      </c>
      <c r="C10" s="54">
        <f>IFERROR(IF(Tabela7[[#This Row],[PONTO]]="RAMAL",B9,VLOOKUP(Tabela7[[#This Row],[PONTO]],GERAL[],2,0)),"")</f>
        <v>2</v>
      </c>
      <c r="D10" s="54">
        <f>IF(Tabela7[[#This Row],[PONTO]]="","",IFERROR(IF(Tabela7[[#This Row],[PONTO]]="RAMAL",15,VLOOKUP(Tabela7[[#This Row],[PONTO]],GERAL[],3,0)),0))</f>
        <v>18</v>
      </c>
      <c r="E10" s="154">
        <f>IFERROR(IF(Tabela7[[#This Row],[PONTO]]="RAMAL","",VLOOKUP(Tabela7[[#This Row],[PONTO]],GERAL[],7,0)),"")</f>
        <v>23</v>
      </c>
      <c r="F10" s="154">
        <f>IFERROR(IF(Tabela7[[#This Row],[PONTO]]="RAMAL","",VLOOKUP(Tabela7[[#This Row],[PONTO]],GERAL[],4,0)),"")</f>
        <v>0</v>
      </c>
      <c r="G10" s="154">
        <f>IFERROR(IF(Tabela7[[#This Row],[PONTO]]="RAMAL","",VLOOKUP(Tabela7[[#This Row],[PONTO]],GERAL[],5,0)),"")</f>
        <v>0</v>
      </c>
      <c r="H10" s="55">
        <f>IFERROR(IF(Tabela7[[#This Row],[PONTO]]="RAMAL",DMDI,VLOOKUP(Tabela7[[#This Row],[PONTO]],GERAL[],8,0)),"")</f>
        <v>18.123200000000001</v>
      </c>
      <c r="I10" s="55">
        <f>IF(Tabela7[[#This Row],[PONTO]]="","",IFERROR(IF(Tabela7[[#This Row],[PONTO]]="RAMAL",Tabela7[[#This Row],[KVA PONTO]],VLOOKUP(Tabela7[[#This Row],[PONTO]],GERAL[],9,0)),""))</f>
        <v>36.227599999999995</v>
      </c>
      <c r="J10" s="55" t="str">
        <f>IF(Tabela7[[#This Row],[PONTO]]="","",IFERROR(VLOOKUP(Tabela7[[#This Row],[PONTO]],GERAL[],12,0),""))</f>
        <v>53 AA</v>
      </c>
      <c r="K10" s="61">
        <f>IFERROR(Tabela7[[#This Row],[Ib]],"")</f>
        <v>31.690931230445582</v>
      </c>
      <c r="L10" s="117">
        <f>IFERROR(IFERROR(Tabela7[[#This Row],[ACUMULADA]]/((IF(Tabela7[[#This Row],[FASE]]="MONO",T_LINHA_MONO,IF(Tabela7[[#This Row],[FASE]]="BIF",T_LINHA_TRF,T_LINHA_TRF*SQRT(3)))/1000)*VLOOKUP(Tabela7[[#This Row],[CONDUTOR]],CABOS[],9,0))+30,W10+60*(X10/Z10)),"")</f>
        <v>64.996120377179182</v>
      </c>
      <c r="M10" s="68">
        <f>IFERROR((VLOOKUP(Tabela7[[#This Row],[CONDUTOR]],CABOS[],3,0)/VLOOKUP(Tabela7[[#This Row],[CONDUTOR]],CABOS[],6,0))*(1+VLOOKUP(Tabela7[[#This Row],[CONDUTOR]],CABOS[],5,0)*(Tabela7[[#This Row],[T]]-20)),"")</f>
        <v>0.6119055860511764</v>
      </c>
      <c r="N10" s="62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>1.0709243263946036</v>
      </c>
      <c r="O10" s="116">
        <f>IF(Tabela7[[#This Row],[PONTO]]="","",IFERROR(SUMIF(Tabela7[PONTO],Tabela7[[#This Row],[TRECHO]],Tabela7[Coluna1])+Tabela7[[#This Row],[QT-PONTO]],""))</f>
        <v>9.6204460792257098</v>
      </c>
      <c r="P10" s="56">
        <f>IFERROR(Tabela7[[#This Row],[Coluna1]]/T_LINHA_MONO,"")</f>
        <v>7.5741370003162403E-2</v>
      </c>
      <c r="Q10" s="55">
        <f>IFERROR(T_LINHA_MONO*(1-Tabela7[[#This Row],[QT %]]),"")</f>
        <v>117.39661314249197</v>
      </c>
      <c r="R10" s="55">
        <f>IFERROR(T_LINHA_TRF*(1-Tabela7[[#This Row],[QT %]]),"")</f>
        <v>203.33689859930428</v>
      </c>
      <c r="S10" s="67" t="str">
        <f>IFERROR(IF(Tabela7[[#This Row],[PROTECAO]]="OK","Protecao OK","Ajustar Disj/Condutor"),"")</f>
        <v>Ajustar Disj/Condutor</v>
      </c>
      <c r="T10" s="72" t="str">
        <f>IF(Tabela7[[#This Row],[ETA]]=1,"MONO",IF(Tabela7[[#This Row],[ETA]]=2,"BIF","TRI"))</f>
        <v>TRI</v>
      </c>
      <c r="U10" s="72">
        <v>3</v>
      </c>
      <c r="V10" s="72" t="str">
        <f t="shared" si="0"/>
        <v>AEREO</v>
      </c>
      <c r="W10" s="72">
        <v>20</v>
      </c>
      <c r="X10" s="72">
        <f>IFERROR(IF(Tabela7[[#This Row],[FASE]]="MONO",Tabela7[[#This Row],[ACUMULADA]]*1000/(T_LINHA_TRF*Tabela7[[#This Row],[ETA]]),Tabela7[[#This Row],[ACUMULADA]]*1000/(SQRT(3)*$R$7*Tabela7[[#This Row],[ETA]])),"")</f>
        <v>31.690931230445582</v>
      </c>
      <c r="Y10" s="72">
        <f>IFERROR(VLOOKUP(Tabela7[[#This Row],[Ib]],TabelaDisjuntores[],2,TRUE),"")</f>
        <v>25</v>
      </c>
      <c r="Z10" s="72">
        <f>IFERROR(VLOOKUP(Tabela7[[#This Row],[CONDUTOR]],CABOS[],2,0),"")</f>
        <v>163</v>
      </c>
      <c r="AA10" s="72" t="str">
        <f>IF(AND(Tabela7[[#This Row],[Ib]]&lt;=Tabela7[[#This Row],[In]],Tabela7[[#This Row],[In]]&lt;=Tabela7[[#This Row],[Iz]]),"OK","VERIFICAR")</f>
        <v>VERIFICAR</v>
      </c>
      <c r="AB10" s="97">
        <f>IFERROR(SQRT((Tabela7[[#This Row],[X]]-$AF$4)^2+(Tabela7[[#This Row],[Y]]-$AF$5)^2),"")</f>
        <v>0</v>
      </c>
      <c r="AC10" s="9">
        <f>IFERROR(VLOOKUP(Tabela7[[#This Row],[CONDUTOR]],CONDUTORES,2,0),"")</f>
        <v>163</v>
      </c>
      <c r="AE10" t="s">
        <v>267</v>
      </c>
      <c r="AF10" t="s">
        <v>268</v>
      </c>
    </row>
    <row r="11" spans="1:34" x14ac:dyDescent="0.3">
      <c r="A11" s="54" t="s">
        <v>319</v>
      </c>
      <c r="B11" s="130">
        <v>4</v>
      </c>
      <c r="C11" s="54">
        <f>IFERROR(IF(Tabela7[[#This Row],[PONTO]]="RAMAL",B10,VLOOKUP(Tabela7[[#This Row],[PONTO]],GERAL[],2,0)),"")</f>
        <v>3</v>
      </c>
      <c r="D11" s="54">
        <f>IF(Tabela7[[#This Row],[PONTO]]="","",IFERROR(IF(Tabela7[[#This Row],[PONTO]]="RAMAL",15,VLOOKUP(Tabela7[[#This Row],[PONTO]],GERAL[],3,0)),0))</f>
        <v>18</v>
      </c>
      <c r="E11" s="154">
        <f>IFERROR(IF(Tabela7[[#This Row],[PONTO]]="RAMAL","",VLOOKUP(Tabela7[[#This Row],[PONTO]],GERAL[],7,0)),"")</f>
        <v>13</v>
      </c>
      <c r="F11" s="154">
        <f>IFERROR(IF(Tabela7[[#This Row],[PONTO]]="RAMAL","",VLOOKUP(Tabela7[[#This Row],[PONTO]],GERAL[],4,0)),"")</f>
        <v>0</v>
      </c>
      <c r="G11" s="154">
        <f>IFERROR(IF(Tabela7[[#This Row],[PONTO]]="RAMAL","",VLOOKUP(Tabela7[[#This Row],[PONTO]],GERAL[],5,0)),"")</f>
        <v>0</v>
      </c>
      <c r="H11" s="55">
        <f>IFERROR(IF(Tabela7[[#This Row],[PONTO]]="RAMAL",DMDI,VLOOKUP(Tabela7[[#This Row],[PONTO]],GERAL[],8,0)),"")</f>
        <v>22.522400000000001</v>
      </c>
      <c r="I11" s="55">
        <f>IF(Tabela7[[#This Row],[PONTO]]="","",IFERROR(IF(Tabela7[[#This Row],[PONTO]]="RAMAL",Tabela7[[#This Row],[KVA PONTO]],VLOOKUP(Tabela7[[#This Row],[PONTO]],GERAL[],9,0)),""))</f>
        <v>22.522400000000001</v>
      </c>
      <c r="J11" s="55" t="str">
        <f>IF(Tabela7[[#This Row],[PONTO]]="","",IFERROR(VLOOKUP(Tabela7[[#This Row],[PONTO]],GERAL[],12,0),""))</f>
        <v>53 AA</v>
      </c>
      <c r="K11" s="61">
        <f>IFERROR(Tabela7[[#This Row],[Ib]],"")</f>
        <v>19.701990458782465</v>
      </c>
      <c r="L11" s="117">
        <f>IFERROR(IFERROR(Tabela7[[#This Row],[ACUMULADA]]/((IF(Tabela7[[#This Row],[FASE]]="MONO",T_LINHA_MONO,IF(Tabela7[[#This Row],[FASE]]="BIF",T_LINHA_TRF,T_LINHA_TRF*SQRT(3)))/1000)*VLOOKUP(Tabela7[[#This Row],[CONDUTOR]],CABOS[],9,0))+30,W11+60*(X11/Z11)),"")</f>
        <v>51.756799279637079</v>
      </c>
      <c r="M11" s="68">
        <f>IFERROR((VLOOKUP(Tabela7[[#This Row],[CONDUTOR]],CABOS[],3,0)/VLOOKUP(Tabela7[[#This Row],[CONDUTOR]],CABOS[],6,0))*(1+VLOOKUP(Tabela7[[#This Row],[CONDUTOR]],CABOS[],5,0)*(Tabela7[[#This Row],[T]]-20)),"")</f>
        <v>0.58426913058144925</v>
      </c>
      <c r="N11" s="62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>0.63706441448904239</v>
      </c>
      <c r="O11" s="116">
        <f>IF(Tabela7[[#This Row],[PONTO]]="","",IFERROR(SUMIF(Tabela7[PONTO],Tabela7[[#This Row],[TRECHO]],Tabela7[Coluna1])+Tabela7[[#This Row],[QT-PONTO]],""))</f>
        <v>10.257510493714753</v>
      </c>
      <c r="P11" s="56">
        <f>IFERROR(Tabela7[[#This Row],[Coluna1]]/T_LINHA_MONO,"")</f>
        <v>8.0756951519476677E-2</v>
      </c>
      <c r="Q11" s="55">
        <f>IFERROR(T_LINHA_MONO*(1-Tabela7[[#This Row],[QT %]]),"")</f>
        <v>116.75954872800291</v>
      </c>
      <c r="R11" s="55">
        <f>IFERROR(T_LINHA_TRF*(1-Tabela7[[#This Row],[QT %]]),"")</f>
        <v>202.23347066571512</v>
      </c>
      <c r="S11" s="67" t="str">
        <f>IFERROR(IF(Tabela7[[#This Row],[PROTECAO]]="OK","Protecao OK","Ajustar Disj/Condutor"),"")</f>
        <v>Ajustar Disj/Condutor</v>
      </c>
      <c r="T11" s="72" t="str">
        <f>IF(Tabela7[[#This Row],[ETA]]=1,"MONO",IF(Tabela7[[#This Row],[ETA]]=2,"BIF","TRI"))</f>
        <v>TRI</v>
      </c>
      <c r="U11" s="72">
        <v>3</v>
      </c>
      <c r="V11" s="72" t="str">
        <f t="shared" si="0"/>
        <v>AEREO</v>
      </c>
      <c r="W11" s="72">
        <v>20</v>
      </c>
      <c r="X11" s="72">
        <f>IFERROR(IF(Tabela7[[#This Row],[FASE]]="MONO",Tabela7[[#This Row],[ACUMULADA]]*1000/(T_LINHA_TRF*Tabela7[[#This Row],[ETA]]),Tabela7[[#This Row],[ACUMULADA]]*1000/(SQRT(3)*$R$7*Tabela7[[#This Row],[ETA]])),"")</f>
        <v>19.701990458782465</v>
      </c>
      <c r="Y11" s="72">
        <f>IFERROR(VLOOKUP(Tabela7[[#This Row],[Ib]],TabelaDisjuntores[],2,TRUE),"")</f>
        <v>16</v>
      </c>
      <c r="Z11" s="72">
        <f>IFERROR(VLOOKUP(Tabela7[[#This Row],[CONDUTOR]],CABOS[],2,0),"")</f>
        <v>163</v>
      </c>
      <c r="AA11" s="72" t="str">
        <f>IF(AND(Tabela7[[#This Row],[Ib]]&lt;=Tabela7[[#This Row],[In]],Tabela7[[#This Row],[In]]&lt;=Tabela7[[#This Row],[Iz]]),"OK","VERIFICAR")</f>
        <v>VERIFICAR</v>
      </c>
      <c r="AB11" s="97">
        <f>IFERROR(SQRT((Tabela7[[#This Row],[X]]-$AF$4)^2+(Tabela7[[#This Row],[Y]]-$AF$5)^2),"")</f>
        <v>0</v>
      </c>
      <c r="AC11" s="9">
        <f>IFERROR(VLOOKUP(Tabela7[[#This Row],[CONDUTOR]],CONDUTORES,2,0),"")</f>
        <v>163</v>
      </c>
      <c r="AE11" t="s">
        <v>33</v>
      </c>
      <c r="AF11" t="s">
        <v>269</v>
      </c>
    </row>
    <row r="12" spans="1:34" x14ac:dyDescent="0.3">
      <c r="A12" s="172"/>
      <c r="B12" s="130"/>
      <c r="C12" s="54" t="str">
        <f>IFERROR(IF(Tabela7[[#This Row],[PONTO]]="RAMAL",B11,VLOOKUP(Tabela7[[#This Row],[PONTO]],GERAL[],2,0)),"")</f>
        <v/>
      </c>
      <c r="D12" s="54" t="str">
        <f>IF(Tabela7[[#This Row],[PONTO]]="","",IFERROR(IF(Tabela7[[#This Row],[PONTO]]="RAMAL",15,VLOOKUP(Tabela7[[#This Row],[PONTO]],GERAL[],3,0)),0))</f>
        <v/>
      </c>
      <c r="E12" s="154" t="str">
        <f>IFERROR(IF(Tabela7[[#This Row],[PONTO]]="RAMAL","",VLOOKUP(Tabela7[[#This Row],[PONTO]],GERAL[],7,0)),"")</f>
        <v/>
      </c>
      <c r="F12" s="154" t="str">
        <f>IFERROR(IF(Tabela7[[#This Row],[PONTO]]="RAMAL","",VLOOKUP(Tabela7[[#This Row],[PONTO]],GERAL[],4,0)),"")</f>
        <v/>
      </c>
      <c r="G12" s="154" t="str">
        <f>IFERROR(IF(Tabela7[[#This Row],[PONTO]]="RAMAL","",VLOOKUP(Tabela7[[#This Row],[PONTO]],GERAL[],5,0)),"")</f>
        <v/>
      </c>
      <c r="H12" s="55" t="str">
        <f>IFERROR(IF(Tabela7[[#This Row],[PONTO]]="RAMAL",DMDI,VLOOKUP(Tabela7[[#This Row],[PONTO]],GERAL[],8,0)),"")</f>
        <v/>
      </c>
      <c r="I12" s="55" t="str">
        <f>IF(Tabela7[[#This Row],[PONTO]]="","",IFERROR(IF(Tabela7[[#This Row],[PONTO]]="RAMAL",Tabela7[[#This Row],[KVA PONTO]],VLOOKUP(Tabela7[[#This Row],[PONTO]],GERAL[],9,0)),""))</f>
        <v/>
      </c>
      <c r="J12" s="55" t="str">
        <f>IF(Tabela7[[#This Row],[PONTO]]="","",IFERROR(VLOOKUP(Tabela7[[#This Row],[PONTO]],GERAL[],12,0),""))</f>
        <v/>
      </c>
      <c r="K12" s="61" t="str">
        <f>IFERROR(Tabela7[[#This Row],[Ib]],"")</f>
        <v/>
      </c>
      <c r="L12" s="117" t="str">
        <f>IFERROR(IFERROR(Tabela7[[#This Row],[ACUMULADA]]/((IF(Tabela7[[#This Row],[FASE]]="MONO",T_LINHA_MONO,IF(Tabela7[[#This Row],[FASE]]="BIF",T_LINHA_TRF,T_LINHA_TRF*SQRT(3)))/1000)*VLOOKUP(Tabela7[[#This Row],[CONDUTOR]],CABOS[],9,0))+30,W12+60*(X12/Z12)),"")</f>
        <v/>
      </c>
      <c r="M12" s="68" t="str">
        <f>IFERROR((VLOOKUP(Tabela7[[#This Row],[CONDUTOR]],CABOS[],3,0)/VLOOKUP(Tabela7[[#This Row],[CONDUTOR]],CABOS[],6,0))*(1+VLOOKUP(Tabela7[[#This Row],[CONDUTOR]],CABOS[],5,0)*(Tabela7[[#This Row],[T]]-20)),"")</f>
        <v/>
      </c>
      <c r="N12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2" s="116" t="str">
        <f>IF(Tabela7[[#This Row],[PONTO]]="","",IFERROR(SUMIF(Tabela7[PONTO],Tabela7[[#This Row],[TRECHO]],Tabela7[Coluna1])+Tabela7[[#This Row],[QT-PONTO]],""))</f>
        <v/>
      </c>
      <c r="P12" s="56" t="str">
        <f>IFERROR(Tabela7[[#This Row],[Coluna1]]/T_LINHA_MONO,"")</f>
        <v/>
      </c>
      <c r="Q12" s="55" t="str">
        <f>IFERROR(T_LINHA_MONO*(1-Tabela7[[#This Row],[QT %]]),"")</f>
        <v/>
      </c>
      <c r="R12" s="55" t="str">
        <f>IFERROR(T_LINHA_TRF*(1-Tabela7[[#This Row],[QT %]]),"")</f>
        <v/>
      </c>
      <c r="S12" s="67" t="str">
        <f>IFERROR(IF(Tabela7[[#This Row],[PROTECAO]]="OK","Protecao OK","Ajustar Disj/Condutor"),"")</f>
        <v>Protecao OK</v>
      </c>
      <c r="T12" s="72" t="str">
        <f>IF(Tabela7[[#This Row],[ETA]]=1,"MONO",IF(Tabela7[[#This Row],[ETA]]=2,"BIF","TRI"))</f>
        <v>TRI</v>
      </c>
      <c r="U12" s="72">
        <v>3</v>
      </c>
      <c r="V12" s="72" t="str">
        <f t="shared" si="0"/>
        <v>AEREO</v>
      </c>
      <c r="W12" s="72">
        <v>20</v>
      </c>
      <c r="X12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2" s="72" t="str">
        <f>IFERROR(VLOOKUP(Tabela7[[#This Row],[Ib]],TabelaDisjuntores[],2,TRUE),"")</f>
        <v/>
      </c>
      <c r="Z12" s="72" t="str">
        <f>IFERROR(VLOOKUP(Tabela7[[#This Row],[CONDUTOR]],CABOS[],2,0),"")</f>
        <v/>
      </c>
      <c r="AA12" s="72" t="str">
        <f>IF(AND(Tabela7[[#This Row],[Ib]]&lt;=Tabela7[[#This Row],[In]],Tabela7[[#This Row],[In]]&lt;=Tabela7[[#This Row],[Iz]]),"OK","VERIFICAR")</f>
        <v>OK</v>
      </c>
      <c r="AB12" s="97" t="str">
        <f>IFERROR(SQRT((Tabela7[[#This Row],[X]]-$AF$4)^2+(Tabela7[[#This Row],[Y]]-$AF$5)^2),"")</f>
        <v/>
      </c>
      <c r="AC12" s="9" t="str">
        <f>IFERROR(VLOOKUP(Tabela7[[#This Row],[CONDUTOR]],CONDUTORES,2,0),"")</f>
        <v/>
      </c>
      <c r="AE12" t="s">
        <v>270</v>
      </c>
      <c r="AF12" t="s">
        <v>271</v>
      </c>
    </row>
    <row r="13" spans="1:34" x14ac:dyDescent="0.3">
      <c r="A13" s="54"/>
      <c r="B13" s="130"/>
      <c r="C13" s="54" t="str">
        <f>IFERROR(IF(Tabela7[[#This Row],[PONTO]]="RAMAL",B12,VLOOKUP(Tabela7[[#This Row],[PONTO]],GERAL[],2,0)),"")</f>
        <v/>
      </c>
      <c r="D13" s="154" t="str">
        <f>IF(Tabela7[[#This Row],[PONTO]]="","",IFERROR(IF(Tabela7[[#This Row],[PONTO]]="RAMAL",15,VLOOKUP(Tabela7[[#This Row],[PONTO]],GERAL[],3,0)),0))</f>
        <v/>
      </c>
      <c r="E13" s="154" t="str">
        <f>IFERROR(IF(Tabela7[[#This Row],[PONTO]]="RAMAL","",VLOOKUP(Tabela7[[#This Row],[PONTO]],GERAL[],7,0)),"")</f>
        <v/>
      </c>
      <c r="F13" s="154" t="str">
        <f>IFERROR(IF(Tabela7[[#This Row],[PONTO]]="RAMAL","",VLOOKUP(Tabela7[[#This Row],[PONTO]],GERAL[],4,0)),"")</f>
        <v/>
      </c>
      <c r="G13" s="154" t="str">
        <f>IFERROR(IF(Tabela7[[#This Row],[PONTO]]="RAMAL","",VLOOKUP(Tabela7[[#This Row],[PONTO]],GERAL[],5,0)),"")</f>
        <v/>
      </c>
      <c r="H13" s="55" t="str">
        <f>IFERROR(IF(Tabela7[[#This Row],[PONTO]]="RAMAL",DMDI,VLOOKUP(Tabela7[[#This Row],[PONTO]],GERAL[],8,0)),"")</f>
        <v/>
      </c>
      <c r="I13" s="55" t="str">
        <f>IF(Tabela7[[#This Row],[PONTO]]="","",IFERROR(IF(Tabela7[[#This Row],[PONTO]]="RAMAL",Tabela7[[#This Row],[KVA PONTO]],VLOOKUP(Tabela7[[#This Row],[PONTO]],GERAL[],9,0)),""))</f>
        <v/>
      </c>
      <c r="J13" s="55" t="str">
        <f>IF(Tabela7[[#This Row],[PONTO]]="","",IFERROR(VLOOKUP(Tabela7[[#This Row],[PONTO]],GERAL[],12,0),""))</f>
        <v/>
      </c>
      <c r="K13" s="61" t="str">
        <f>IFERROR(Tabela7[[#This Row],[Ib]],"")</f>
        <v/>
      </c>
      <c r="L13" s="117" t="str">
        <f>IFERROR(IFERROR(Tabela7[[#This Row],[ACUMULADA]]/((IF(Tabela7[[#This Row],[FASE]]="MONO",T_LINHA_MONO,IF(Tabela7[[#This Row],[FASE]]="BIF",T_LINHA_TRF,T_LINHA_TRF*SQRT(3)))/1000)*VLOOKUP(Tabela7[[#This Row],[CONDUTOR]],CABOS[],9,0))+30,W13+60*(X13/Z13)),"")</f>
        <v/>
      </c>
      <c r="M13" s="68" t="str">
        <f>IFERROR((VLOOKUP(Tabela7[[#This Row],[CONDUTOR]],CABOS[],3,0)/VLOOKUP(Tabela7[[#This Row],[CONDUTOR]],CABOS[],6,0))*(1+VLOOKUP(Tabela7[[#This Row],[CONDUTOR]],CABOS[],5,0)*(Tabela7[[#This Row],[T]]-20)),"")</f>
        <v/>
      </c>
      <c r="N13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3" s="116" t="str">
        <f>IF(Tabela7[[#This Row],[PONTO]]="","",IFERROR(SUMIF(Tabela7[PONTO],Tabela7[[#This Row],[TRECHO]],Tabela7[Coluna1])+Tabela7[[#This Row],[QT-PONTO]],""))</f>
        <v/>
      </c>
      <c r="P13" s="56" t="str">
        <f>IFERROR(Tabela7[[#This Row],[Coluna1]]/T_LINHA_MONO,"")</f>
        <v/>
      </c>
      <c r="Q13" s="55" t="str">
        <f>IFERROR(T_LINHA_MONO*(1-Tabela7[[#This Row],[QT %]]),"")</f>
        <v/>
      </c>
      <c r="R13" s="55" t="str">
        <f>IFERROR(T_LINHA_TRF*(1-Tabela7[[#This Row],[QT %]]),"")</f>
        <v/>
      </c>
      <c r="S13" s="67" t="str">
        <f>IFERROR(IF(Tabela7[[#This Row],[PROTECAO]]="OK","Protecao OK","Ajustar Disj/Condutor"),"")</f>
        <v>Protecao OK</v>
      </c>
      <c r="T13" s="72" t="str">
        <f>IF(Tabela7[[#This Row],[ETA]]=1,"MONO",IF(Tabela7[[#This Row],[ETA]]=2,"BIF","TRI"))</f>
        <v>TRI</v>
      </c>
      <c r="U13" s="72">
        <v>3</v>
      </c>
      <c r="V13" s="72" t="str">
        <f t="shared" si="0"/>
        <v>AEREO</v>
      </c>
      <c r="W13" s="72">
        <v>20</v>
      </c>
      <c r="X13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3" s="72" t="str">
        <f>IFERROR(VLOOKUP(Tabela7[[#This Row],[Ib]],TabelaDisjuntores[],2,TRUE),"")</f>
        <v/>
      </c>
      <c r="Z13" s="72" t="str">
        <f>IFERROR(VLOOKUP(Tabela7[[#This Row],[CONDUTOR]],CABOS[],2,0),"")</f>
        <v/>
      </c>
      <c r="AA13" s="72" t="str">
        <f>IF(AND(Tabela7[[#This Row],[Ib]]&lt;=Tabela7[[#This Row],[In]],Tabela7[[#This Row],[In]]&lt;=Tabela7[[#This Row],[Iz]]),"OK","VERIFICAR")</f>
        <v>OK</v>
      </c>
      <c r="AB13" s="97" t="str">
        <f>IFERROR(SQRT((Tabela7[[#This Row],[X]]-$AF$4)^2+(Tabela7[[#This Row],[Y]]-$AF$5)^2),"")</f>
        <v/>
      </c>
      <c r="AC13" s="9" t="str">
        <f>IFERROR(VLOOKUP(Tabela7[[#This Row],[CONDUTOR]],CONDUTORES,2,0),"")</f>
        <v/>
      </c>
    </row>
    <row r="14" spans="1:34" x14ac:dyDescent="0.3">
      <c r="A14" s="172"/>
      <c r="B14" s="130"/>
      <c r="C14" s="54" t="str">
        <f>IFERROR(IF(Tabela7[[#This Row],[PONTO]]="RAMAL",B13,VLOOKUP(Tabela7[[#This Row],[PONTO]],GERAL[],2,0)),"")</f>
        <v/>
      </c>
      <c r="D14" s="54" t="str">
        <f>IF(Tabela7[[#This Row],[PONTO]]="","",IFERROR(IF(Tabela7[[#This Row],[PONTO]]="RAMAL",15,VLOOKUP(Tabela7[[#This Row],[PONTO]],GERAL[],3,0)),0))</f>
        <v/>
      </c>
      <c r="E14" s="154" t="str">
        <f>IFERROR(IF(Tabela7[[#This Row],[PONTO]]="RAMAL","",VLOOKUP(Tabela7[[#This Row],[PONTO]],GERAL[],7,0)),"")</f>
        <v/>
      </c>
      <c r="F14" s="154" t="str">
        <f>IFERROR(IF(Tabela7[[#This Row],[PONTO]]="RAMAL","",VLOOKUP(Tabela7[[#This Row],[PONTO]],GERAL[],4,0)),"")</f>
        <v/>
      </c>
      <c r="G14" s="154" t="str">
        <f>IFERROR(IF(Tabela7[[#This Row],[PONTO]]="RAMAL","",VLOOKUP(Tabela7[[#This Row],[PONTO]],GERAL[],5,0)),"")</f>
        <v/>
      </c>
      <c r="H14" s="55" t="str">
        <f>IFERROR(IF(Tabela7[[#This Row],[PONTO]]="RAMAL",DMDI,VLOOKUP(Tabela7[[#This Row],[PONTO]],GERAL[],8,0)),"")</f>
        <v/>
      </c>
      <c r="I14" s="55" t="str">
        <f>IF(Tabela7[[#This Row],[PONTO]]="","",IFERROR(IF(Tabela7[[#This Row],[PONTO]]="RAMAL",Tabela7[[#This Row],[KVA PONTO]],VLOOKUP(Tabela7[[#This Row],[PONTO]],GERAL[],9,0)),""))</f>
        <v/>
      </c>
      <c r="J14" s="55" t="str">
        <f>IF(Tabela7[[#This Row],[PONTO]]="","",IFERROR(VLOOKUP(Tabela7[[#This Row],[PONTO]],GERAL[],12,0),""))</f>
        <v/>
      </c>
      <c r="K14" s="61" t="str">
        <f>IFERROR(Tabela7[[#This Row],[Ib]],"")</f>
        <v/>
      </c>
      <c r="L14" s="117" t="str">
        <f>IFERROR(IFERROR(Tabela7[[#This Row],[ACUMULADA]]/((IF(Tabela7[[#This Row],[FASE]]="MONO",T_LINHA_MONO,IF(Tabela7[[#This Row],[FASE]]="BIF",T_LINHA_TRF,T_LINHA_TRF*SQRT(3)))/1000)*VLOOKUP(Tabela7[[#This Row],[CONDUTOR]],CABOS[],9,0))+30,W14+60*(X14/Z14)),"")</f>
        <v/>
      </c>
      <c r="M14" s="68" t="str">
        <f>IFERROR((VLOOKUP(Tabela7[[#This Row],[CONDUTOR]],CABOS[],3,0)/VLOOKUP(Tabela7[[#This Row],[CONDUTOR]],CABOS[],6,0))*(1+VLOOKUP(Tabela7[[#This Row],[CONDUTOR]],CABOS[],5,0)*(Tabela7[[#This Row],[T]]-20)),"")</f>
        <v/>
      </c>
      <c r="N14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4" s="116" t="str">
        <f>IF(Tabela7[[#This Row],[PONTO]]="","",IFERROR(SUMIF(Tabela7[PONTO],Tabela7[[#This Row],[TRECHO]],Tabela7[Coluna1])+Tabela7[[#This Row],[QT-PONTO]],""))</f>
        <v/>
      </c>
      <c r="P14" s="56" t="str">
        <f>IFERROR(Tabela7[[#This Row],[Coluna1]]/T_LINHA_MONO,"")</f>
        <v/>
      </c>
      <c r="Q14" s="55" t="str">
        <f>IFERROR(T_LINHA_MONO*(1-Tabela7[[#This Row],[QT %]]),"")</f>
        <v/>
      </c>
      <c r="R14" s="55" t="str">
        <f>IFERROR(T_LINHA_TRF*(1-Tabela7[[#This Row],[QT %]]),"")</f>
        <v/>
      </c>
      <c r="S14" s="67" t="str">
        <f>IFERROR(IF(Tabela7[[#This Row],[PROTECAO]]="OK","Protecao OK","Ajustar Disj/Condutor"),"")</f>
        <v>Protecao OK</v>
      </c>
      <c r="T14" s="72" t="str">
        <f>IF(Tabela7[[#This Row],[ETA]]=1,"MONO",IF(Tabela7[[#This Row],[ETA]]=2,"BIF","TRI"))</f>
        <v>TRI</v>
      </c>
      <c r="U14" s="72">
        <v>3</v>
      </c>
      <c r="V14" s="72" t="str">
        <f t="shared" si="0"/>
        <v>AEREO</v>
      </c>
      <c r="W14" s="72">
        <v>20</v>
      </c>
      <c r="X14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4" s="72" t="str">
        <f>IFERROR(VLOOKUP(Tabela7[[#This Row],[Ib]],TabelaDisjuntores[],2,TRUE),"")</f>
        <v/>
      </c>
      <c r="Z14" s="72" t="str">
        <f>IFERROR(VLOOKUP(Tabela7[[#This Row],[CONDUTOR]],CABOS[],2,0),"")</f>
        <v/>
      </c>
      <c r="AA14" s="72" t="str">
        <f>IF(AND(Tabela7[[#This Row],[Ib]]&lt;=Tabela7[[#This Row],[In]],Tabela7[[#This Row],[In]]&lt;=Tabela7[[#This Row],[Iz]]),"OK","VERIFICAR")</f>
        <v>OK</v>
      </c>
      <c r="AB14" s="97" t="str">
        <f>IFERROR(SQRT((Tabela7[[#This Row],[X]]-$AF$4)^2+(Tabela7[[#This Row],[Y]]-$AF$5)^2),"")</f>
        <v/>
      </c>
      <c r="AC14" s="9" t="str">
        <f>IFERROR(VLOOKUP(Tabela7[[#This Row],[CONDUTOR]],CONDUTORES,2,0),"")</f>
        <v/>
      </c>
      <c r="AE14" t="s">
        <v>272</v>
      </c>
    </row>
    <row r="15" spans="1:34" x14ac:dyDescent="0.3">
      <c r="A15" s="54"/>
      <c r="B15" s="130"/>
      <c r="C15" s="54" t="str">
        <f>IFERROR(IF(Tabela7[[#This Row],[PONTO]]="RAMAL",B14,VLOOKUP(Tabela7[[#This Row],[PONTO]],GERAL[],2,0)),"")</f>
        <v/>
      </c>
      <c r="D15" s="54" t="str">
        <f>IF(Tabela7[[#This Row],[PONTO]]="","",IFERROR(IF(Tabela7[[#This Row],[PONTO]]="RAMAL",15,VLOOKUP(Tabela7[[#This Row],[PONTO]],GERAL[],3,0)),0))</f>
        <v/>
      </c>
      <c r="E15" s="154" t="str">
        <f>IFERROR(IF(Tabela7[[#This Row],[PONTO]]="RAMAL","",VLOOKUP(Tabela7[[#This Row],[PONTO]],GERAL[],7,0)),"")</f>
        <v/>
      </c>
      <c r="F15" s="154" t="str">
        <f>IFERROR(IF(Tabela7[[#This Row],[PONTO]]="RAMAL","",VLOOKUP(Tabela7[[#This Row],[PONTO]],GERAL[],4,0)),"")</f>
        <v/>
      </c>
      <c r="G15" s="154" t="str">
        <f>IFERROR(IF(Tabela7[[#This Row],[PONTO]]="RAMAL","",VLOOKUP(Tabela7[[#This Row],[PONTO]],GERAL[],5,0)),"")</f>
        <v/>
      </c>
      <c r="H15" s="55" t="str">
        <f>IFERROR(IF(Tabela7[[#This Row],[PONTO]]="RAMAL",DMDI,VLOOKUP(Tabela7[[#This Row],[PONTO]],GERAL[],8,0)),"")</f>
        <v/>
      </c>
      <c r="I15" s="55" t="str">
        <f>IF(Tabela7[[#This Row],[PONTO]]="","",IFERROR(IF(Tabela7[[#This Row],[PONTO]]="RAMAL",Tabela7[[#This Row],[KVA PONTO]],VLOOKUP(Tabela7[[#This Row],[PONTO]],GERAL[],9,0)),""))</f>
        <v/>
      </c>
      <c r="J15" s="55" t="str">
        <f>IF(Tabela7[[#This Row],[PONTO]]="","",IFERROR(VLOOKUP(Tabela7[[#This Row],[PONTO]],GERAL[],12,0),""))</f>
        <v/>
      </c>
      <c r="K15" s="61" t="str">
        <f>IFERROR(Tabela7[[#This Row],[Ib]],"")</f>
        <v/>
      </c>
      <c r="L15" s="117" t="str">
        <f>IFERROR(IFERROR(Tabela7[[#This Row],[ACUMULADA]]/((IF(Tabela7[[#This Row],[FASE]]="MONO",T_LINHA_MONO,IF(Tabela7[[#This Row],[FASE]]="BIF",T_LINHA_TRF,T_LINHA_TRF*SQRT(3)))/1000)*VLOOKUP(Tabela7[[#This Row],[CONDUTOR]],CABOS[],9,0))+30,W15+60*(X15/Z15)),"")</f>
        <v/>
      </c>
      <c r="M15" s="68" t="str">
        <f>IFERROR((VLOOKUP(Tabela7[[#This Row],[CONDUTOR]],CABOS[],3,0)/VLOOKUP(Tabela7[[#This Row],[CONDUTOR]],CABOS[],6,0))*(1+VLOOKUP(Tabela7[[#This Row],[CONDUTOR]],CABOS[],5,0)*(Tabela7[[#This Row],[T]]-20)),"")</f>
        <v/>
      </c>
      <c r="N15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5" s="116" t="str">
        <f>IF(Tabela7[[#This Row],[PONTO]]="","",IFERROR(SUMIF(Tabela7[PONTO],Tabela7[[#This Row],[TRECHO]],Tabela7[Coluna1])+Tabela7[[#This Row],[QT-PONTO]],""))</f>
        <v/>
      </c>
      <c r="P15" s="56" t="str">
        <f>IFERROR(Tabela7[[#This Row],[Coluna1]]/T_LINHA_MONO,"")</f>
        <v/>
      </c>
      <c r="Q15" s="55" t="str">
        <f>IFERROR(T_LINHA_MONO*(1-Tabela7[[#This Row],[QT %]]),"")</f>
        <v/>
      </c>
      <c r="R15" s="55" t="str">
        <f>IFERROR(T_LINHA_TRF*(1-Tabela7[[#This Row],[QT %]]),"")</f>
        <v/>
      </c>
      <c r="S15" s="67" t="str">
        <f>IFERROR(IF(Tabela7[[#This Row],[PROTECAO]]="OK","Protecao OK","Ajustar Disj/Condutor"),"")</f>
        <v>Protecao OK</v>
      </c>
      <c r="T15" s="72" t="str">
        <f>IF(Tabela7[[#This Row],[ETA]]=1,"MONO",IF(Tabela7[[#This Row],[ETA]]=2,"BIF","TRI"))</f>
        <v>TRI</v>
      </c>
      <c r="U15" s="72">
        <v>3</v>
      </c>
      <c r="V15" s="72" t="str">
        <f t="shared" si="0"/>
        <v>AEREO</v>
      </c>
      <c r="W15" s="72">
        <v>20</v>
      </c>
      <c r="X15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5" s="72" t="str">
        <f>IFERROR(VLOOKUP(Tabela7[[#This Row],[Ib]],TabelaDisjuntores[],2,TRUE),"")</f>
        <v/>
      </c>
      <c r="Z15" s="72" t="str">
        <f>IFERROR(VLOOKUP(Tabela7[[#This Row],[CONDUTOR]],CABOS[],2,0),"")</f>
        <v/>
      </c>
      <c r="AA15" s="72" t="str">
        <f>IF(AND(Tabela7[[#This Row],[Ib]]&lt;=Tabela7[[#This Row],[In]],Tabela7[[#This Row],[In]]&lt;=Tabela7[[#This Row],[Iz]]),"OK","VERIFICAR")</f>
        <v>OK</v>
      </c>
      <c r="AB15" s="97" t="str">
        <f>IFERROR(SQRT((Tabela7[[#This Row],[X]]-$AF$4)^2+(Tabela7[[#This Row],[Y]]-$AF$5)^2),"")</f>
        <v/>
      </c>
      <c r="AC15" s="9" t="str">
        <f>IFERROR(VLOOKUP(Tabela7[[#This Row],[CONDUTOR]],CONDUTORES,2,0),"")</f>
        <v/>
      </c>
      <c r="AE15" t="s">
        <v>273</v>
      </c>
    </row>
    <row r="16" spans="1:34" ht="14.4" customHeight="1" x14ac:dyDescent="0.3">
      <c r="A16" s="172"/>
      <c r="B16" s="130"/>
      <c r="C16" s="54" t="str">
        <f>IFERROR(IF(Tabela7[[#This Row],[PONTO]]="RAMAL",B15,VLOOKUP(Tabela7[[#This Row],[PONTO]],GERAL[],2,0)),"")</f>
        <v/>
      </c>
      <c r="D16" s="54" t="str">
        <f>IF(Tabela7[[#This Row],[PONTO]]="","",IFERROR(IF(Tabela7[[#This Row],[PONTO]]="RAMAL",15,VLOOKUP(Tabela7[[#This Row],[PONTO]],GERAL[],3,0)),0))</f>
        <v/>
      </c>
      <c r="E16" s="154" t="str">
        <f>IFERROR(IF(Tabela7[[#This Row],[PONTO]]="RAMAL","",VLOOKUP(Tabela7[[#This Row],[PONTO]],GERAL[],7,0)),"")</f>
        <v/>
      </c>
      <c r="F16" s="154" t="str">
        <f>IFERROR(IF(Tabela7[[#This Row],[PONTO]]="RAMAL","",VLOOKUP(Tabela7[[#This Row],[PONTO]],GERAL[],4,0)),"")</f>
        <v/>
      </c>
      <c r="G16" s="154" t="str">
        <f>IFERROR(IF(Tabela7[[#This Row],[PONTO]]="RAMAL","",VLOOKUP(Tabela7[[#This Row],[PONTO]],GERAL[],5,0)),"")</f>
        <v/>
      </c>
      <c r="H16" s="55" t="str">
        <f>IFERROR(IF(Tabela7[[#This Row],[PONTO]]="RAMAL",DMDI,VLOOKUP(Tabela7[[#This Row],[PONTO]],GERAL[],8,0)),"")</f>
        <v/>
      </c>
      <c r="I16" s="55" t="str">
        <f>IF(Tabela7[[#This Row],[PONTO]]="","",IFERROR(IF(Tabela7[[#This Row],[PONTO]]="RAMAL",Tabela7[[#This Row],[KVA PONTO]],VLOOKUP(Tabela7[[#This Row],[PONTO]],GERAL[],9,0)),""))</f>
        <v/>
      </c>
      <c r="J16" s="55" t="str">
        <f>IF(Tabela7[[#This Row],[PONTO]]="","",IFERROR(VLOOKUP(Tabela7[[#This Row],[PONTO]],GERAL[],12,0),""))</f>
        <v/>
      </c>
      <c r="K16" s="61" t="str">
        <f>IFERROR(Tabela7[[#This Row],[Ib]],"")</f>
        <v/>
      </c>
      <c r="L16" s="117" t="str">
        <f>IFERROR(IFERROR(Tabela7[[#This Row],[ACUMULADA]]/((IF(Tabela7[[#This Row],[FASE]]="MONO",T_LINHA_MONO,IF(Tabela7[[#This Row],[FASE]]="BIF",T_LINHA_TRF,T_LINHA_TRF*SQRT(3)))/1000)*VLOOKUP(Tabela7[[#This Row],[CONDUTOR]],CABOS[],9,0))+30,W16+60*(X16/Z16)),"")</f>
        <v/>
      </c>
      <c r="M16" s="68" t="str">
        <f>IFERROR((VLOOKUP(Tabela7[[#This Row],[CONDUTOR]],CABOS[],3,0)/VLOOKUP(Tabela7[[#This Row],[CONDUTOR]],CABOS[],6,0))*(1+VLOOKUP(Tabela7[[#This Row],[CONDUTOR]],CABOS[],5,0)*(Tabela7[[#This Row],[T]]-20)),"")</f>
        <v/>
      </c>
      <c r="N16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6" s="116" t="str">
        <f>IF(Tabela7[[#This Row],[PONTO]]="","",IFERROR(SUMIF(Tabela7[PONTO],Tabela7[[#This Row],[TRECHO]],Tabela7[Coluna1])+Tabela7[[#This Row],[QT-PONTO]],""))</f>
        <v/>
      </c>
      <c r="P16" s="56" t="str">
        <f>IFERROR(Tabela7[[#This Row],[Coluna1]]/T_LINHA_MONO,"")</f>
        <v/>
      </c>
      <c r="Q16" s="55" t="str">
        <f>IFERROR(T_LINHA_MONO*(1-Tabela7[[#This Row],[QT %]]),"")</f>
        <v/>
      </c>
      <c r="R16" s="55" t="str">
        <f>IFERROR(T_LINHA_TRF*(1-Tabela7[[#This Row],[QT %]]),"")</f>
        <v/>
      </c>
      <c r="S16" s="67" t="str">
        <f>IFERROR(IF(Tabela7[[#This Row],[PROTECAO]]="OK","Protecao OK","Ajustar Disj/Condutor"),"")</f>
        <v>Protecao OK</v>
      </c>
      <c r="T16" s="72" t="str">
        <f>IF(Tabela7[[#This Row],[ETA]]=1,"MONO",IF(Tabela7[[#This Row],[ETA]]=2,"BIF","TRI"))</f>
        <v>TRI</v>
      </c>
      <c r="U16" s="72">
        <v>3</v>
      </c>
      <c r="V16" s="72" t="str">
        <f t="shared" si="0"/>
        <v>AEREO</v>
      </c>
      <c r="W16" s="72">
        <v>20</v>
      </c>
      <c r="X16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6" s="72" t="str">
        <f>IFERROR(VLOOKUP(Tabela7[[#This Row],[Ib]],TabelaDisjuntores[],2,TRUE),"")</f>
        <v/>
      </c>
      <c r="Z16" s="72" t="str">
        <f>IFERROR(VLOOKUP(Tabela7[[#This Row],[CONDUTOR]],CABOS[],2,0),"")</f>
        <v/>
      </c>
      <c r="AA16" s="72" t="str">
        <f>IF(AND(Tabela7[[#This Row],[Ib]]&lt;=Tabela7[[#This Row],[In]],Tabela7[[#This Row],[In]]&lt;=Tabela7[[#This Row],[Iz]]),"OK","VERIFICAR")</f>
        <v>OK</v>
      </c>
      <c r="AB16" s="97" t="str">
        <f>IFERROR(SQRT((Tabela7[[#This Row],[X]]-$AF$4)^2+(Tabela7[[#This Row],[Y]]-$AF$5)^2),"")</f>
        <v/>
      </c>
      <c r="AC16" s="9" t="str">
        <f>IFERROR(VLOOKUP(Tabela7[[#This Row],[CONDUTOR]],CONDUTORES,2,0),"")</f>
        <v/>
      </c>
      <c r="AE16" s="262" t="s">
        <v>279</v>
      </c>
      <c r="AF16" s="262"/>
      <c r="AG16" s="262"/>
    </row>
    <row r="17" spans="1:33" x14ac:dyDescent="0.3">
      <c r="A17" s="54"/>
      <c r="B17" s="130"/>
      <c r="C17" s="54" t="str">
        <f>IFERROR(IF(Tabela7[[#This Row],[PONTO]]="RAMAL",B16,VLOOKUP(Tabela7[[#This Row],[PONTO]],GERAL[],2,0)),"")</f>
        <v/>
      </c>
      <c r="D17" s="54" t="str">
        <f>IF(Tabela7[[#This Row],[PONTO]]="","",IFERROR(IF(Tabela7[[#This Row],[PONTO]]="RAMAL",15,VLOOKUP(Tabela7[[#This Row],[PONTO]],GERAL[],3,0)),0))</f>
        <v/>
      </c>
      <c r="E17" s="154" t="str">
        <f>IFERROR(IF(Tabela7[[#This Row],[PONTO]]="RAMAL","",VLOOKUP(Tabela7[[#This Row],[PONTO]],GERAL[],7,0)),"")</f>
        <v/>
      </c>
      <c r="F17" s="154" t="str">
        <f>IFERROR(IF(Tabela7[[#This Row],[PONTO]]="RAMAL","",VLOOKUP(Tabela7[[#This Row],[PONTO]],GERAL[],4,0)),"")</f>
        <v/>
      </c>
      <c r="G17" s="154" t="str">
        <f>IFERROR(IF(Tabela7[[#This Row],[PONTO]]="RAMAL","",VLOOKUP(Tabela7[[#This Row],[PONTO]],GERAL[],5,0)),"")</f>
        <v/>
      </c>
      <c r="H17" s="55" t="str">
        <f>IFERROR(IF(Tabela7[[#This Row],[PONTO]]="RAMAL",DMDI,VLOOKUP(Tabela7[[#This Row],[PONTO]],GERAL[],8,0)),"")</f>
        <v/>
      </c>
      <c r="I17" s="55" t="str">
        <f>IF(Tabela7[[#This Row],[PONTO]]="","",IFERROR(IF(Tabela7[[#This Row],[PONTO]]="RAMAL",Tabela7[[#This Row],[KVA PONTO]],VLOOKUP(Tabela7[[#This Row],[PONTO]],GERAL[],9,0)),""))</f>
        <v/>
      </c>
      <c r="J17" s="55" t="str">
        <f>IF(Tabela7[[#This Row],[PONTO]]="","",IFERROR(VLOOKUP(Tabela7[[#This Row],[PONTO]],GERAL[],12,0),""))</f>
        <v/>
      </c>
      <c r="K17" s="61" t="str">
        <f>IFERROR(Tabela7[[#This Row],[Ib]],"")</f>
        <v/>
      </c>
      <c r="L17" s="117" t="str">
        <f>IFERROR(IFERROR(Tabela7[[#This Row],[ACUMULADA]]/((IF(Tabela7[[#This Row],[FASE]]="MONO",T_LINHA_MONO,IF(Tabela7[[#This Row],[FASE]]="BIF",T_LINHA_TRF,T_LINHA_TRF*SQRT(3)))/1000)*VLOOKUP(Tabela7[[#This Row],[CONDUTOR]],CABOS[],9,0))+30,W17+60*(X17/Z17)),"")</f>
        <v/>
      </c>
      <c r="M17" s="68" t="str">
        <f>IFERROR((VLOOKUP(Tabela7[[#This Row],[CONDUTOR]],CABOS[],3,0)/VLOOKUP(Tabela7[[#This Row],[CONDUTOR]],CABOS[],6,0))*(1+VLOOKUP(Tabela7[[#This Row],[CONDUTOR]],CABOS[],5,0)*(Tabela7[[#This Row],[T]]-20)),"")</f>
        <v/>
      </c>
      <c r="N17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7" s="116" t="str">
        <f>IF(Tabela7[[#This Row],[PONTO]]="","",IFERROR(SUMIF(Tabela7[PONTO],Tabela7[[#This Row],[TRECHO]],Tabela7[Coluna1])+Tabela7[[#This Row],[QT-PONTO]],""))</f>
        <v/>
      </c>
      <c r="P17" s="56" t="str">
        <f>IFERROR(Tabela7[[#This Row],[Coluna1]]/T_LINHA_MONO,"")</f>
        <v/>
      </c>
      <c r="Q17" s="55" t="str">
        <f>IFERROR(T_LINHA_MONO*(1-Tabela7[[#This Row],[QT %]]),"")</f>
        <v/>
      </c>
      <c r="R17" s="55" t="str">
        <f>IFERROR(T_LINHA_TRF*(1-Tabela7[[#This Row],[QT %]]),"")</f>
        <v/>
      </c>
      <c r="S17" s="67" t="str">
        <f>IFERROR(IF(Tabela7[[#This Row],[PROTECAO]]="OK","Protecao OK","Ajustar Disj/Condutor"),"")</f>
        <v>Protecao OK</v>
      </c>
      <c r="T17" s="72" t="str">
        <f>IF(Tabela7[[#This Row],[ETA]]=1,"MONO",IF(Tabela7[[#This Row],[ETA]]=2,"BIF","TRI"))</f>
        <v>TRI</v>
      </c>
      <c r="U17" s="72">
        <v>3</v>
      </c>
      <c r="V17" s="72" t="str">
        <f t="shared" si="0"/>
        <v>AEREO</v>
      </c>
      <c r="W17" s="72">
        <v>20</v>
      </c>
      <c r="X17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7" s="72" t="str">
        <f>IFERROR(VLOOKUP(Tabela7[[#This Row],[Ib]],TabelaDisjuntores[],2,TRUE),"")</f>
        <v/>
      </c>
      <c r="Z17" s="72" t="str">
        <f>IFERROR(VLOOKUP(Tabela7[[#This Row],[CONDUTOR]],CABOS[],2,0),"")</f>
        <v/>
      </c>
      <c r="AA17" s="72" t="str">
        <f>IF(AND(Tabela7[[#This Row],[Ib]]&lt;=Tabela7[[#This Row],[In]],Tabela7[[#This Row],[In]]&lt;=Tabela7[[#This Row],[Iz]]),"OK","VERIFICAR")</f>
        <v>OK</v>
      </c>
      <c r="AB17" s="97" t="str">
        <f>IFERROR(SQRT((Tabela7[[#This Row],[X]]-$AF$4)^2+(Tabela7[[#This Row],[Y]]-$AF$5)^2),"")</f>
        <v/>
      </c>
      <c r="AC17" s="9" t="str">
        <f>IFERROR(VLOOKUP(Tabela7[[#This Row],[CONDUTOR]],CONDUTORES,2,0),"")</f>
        <v/>
      </c>
      <c r="AE17" s="262"/>
      <c r="AF17" s="262"/>
      <c r="AG17" s="262"/>
    </row>
    <row r="18" spans="1:33" x14ac:dyDescent="0.3">
      <c r="A18" s="172"/>
      <c r="B18" s="130"/>
      <c r="C18" s="54" t="str">
        <f>IFERROR(IF(Tabela7[[#This Row],[PONTO]]="RAMAL",B17,VLOOKUP(Tabela7[[#This Row],[PONTO]],GERAL[],2,0)),"")</f>
        <v/>
      </c>
      <c r="D18" s="54" t="str">
        <f>IF(Tabela7[[#This Row],[PONTO]]="","",IFERROR(IF(Tabela7[[#This Row],[PONTO]]="RAMAL",15,VLOOKUP(Tabela7[[#This Row],[PONTO]],GERAL[],3,0)),0))</f>
        <v/>
      </c>
      <c r="E18" s="154" t="str">
        <f>IFERROR(IF(Tabela7[[#This Row],[PONTO]]="RAMAL","",VLOOKUP(Tabela7[[#This Row],[PONTO]],GERAL[],7,0)),"")</f>
        <v/>
      </c>
      <c r="F18" s="154" t="str">
        <f>IFERROR(IF(Tabela7[[#This Row],[PONTO]]="RAMAL","",VLOOKUP(Tabela7[[#This Row],[PONTO]],GERAL[],4,0)),"")</f>
        <v/>
      </c>
      <c r="G18" s="154" t="str">
        <f>IFERROR(IF(Tabela7[[#This Row],[PONTO]]="RAMAL","",VLOOKUP(Tabela7[[#This Row],[PONTO]],GERAL[],5,0)),"")</f>
        <v/>
      </c>
      <c r="H18" s="55" t="str">
        <f>IFERROR(IF(Tabela7[[#This Row],[PONTO]]="RAMAL",DMDI,VLOOKUP(Tabela7[[#This Row],[PONTO]],GERAL[],8,0)),"")</f>
        <v/>
      </c>
      <c r="I18" s="55" t="str">
        <f>IF(Tabela7[[#This Row],[PONTO]]="","",IFERROR(IF(Tabela7[[#This Row],[PONTO]]="RAMAL",Tabela7[[#This Row],[KVA PONTO]],VLOOKUP(Tabela7[[#This Row],[PONTO]],GERAL[],9,0)),""))</f>
        <v/>
      </c>
      <c r="J18" s="55" t="str">
        <f>IF(Tabela7[[#This Row],[PONTO]]="","",IFERROR(VLOOKUP(Tabela7[[#This Row],[PONTO]],GERAL[],12,0),""))</f>
        <v/>
      </c>
      <c r="K18" s="61" t="str">
        <f>IFERROR(Tabela7[[#This Row],[Ib]],"")</f>
        <v/>
      </c>
      <c r="L18" s="117" t="str">
        <f>IFERROR(IFERROR(Tabela7[[#This Row],[ACUMULADA]]/((IF(Tabela7[[#This Row],[FASE]]="MONO",T_LINHA_MONO,IF(Tabela7[[#This Row],[FASE]]="BIF",T_LINHA_TRF,T_LINHA_TRF*SQRT(3)))/1000)*VLOOKUP(Tabela7[[#This Row],[CONDUTOR]],CABOS[],9,0))+30,W18+60*(X18/Z18)),"")</f>
        <v/>
      </c>
      <c r="M18" s="68" t="str">
        <f>IFERROR((VLOOKUP(Tabela7[[#This Row],[CONDUTOR]],CABOS[],3,0)/VLOOKUP(Tabela7[[#This Row],[CONDUTOR]],CABOS[],6,0))*(1+VLOOKUP(Tabela7[[#This Row],[CONDUTOR]],CABOS[],5,0)*(Tabela7[[#This Row],[T]]-20)),"")</f>
        <v/>
      </c>
      <c r="N18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8" s="116" t="str">
        <f>IF(Tabela7[[#This Row],[PONTO]]="","",IFERROR(SUMIF(Tabela7[PONTO],Tabela7[[#This Row],[TRECHO]],Tabela7[Coluna1])+Tabela7[[#This Row],[QT-PONTO]],""))</f>
        <v/>
      </c>
      <c r="P18" s="56" t="str">
        <f>IFERROR(Tabela7[[#This Row],[Coluna1]]/T_LINHA_MONO,"")</f>
        <v/>
      </c>
      <c r="Q18" s="55" t="str">
        <f>IFERROR(T_LINHA_MONO*(1-Tabela7[[#This Row],[QT %]]),"")</f>
        <v/>
      </c>
      <c r="R18" s="55" t="str">
        <f>IFERROR(T_LINHA_TRF*(1-Tabela7[[#This Row],[QT %]]),"")</f>
        <v/>
      </c>
      <c r="S18" s="67" t="str">
        <f>IFERROR(IF(Tabela7[[#This Row],[PROTECAO]]="OK","Protecao OK","Ajustar Disj/Condutor"),"")</f>
        <v>Protecao OK</v>
      </c>
      <c r="T18" s="72" t="str">
        <f>IF(Tabela7[[#This Row],[ETA]]=1,"MONO",IF(Tabela7[[#This Row],[ETA]]=2,"BIF","TRI"))</f>
        <v>TRI</v>
      </c>
      <c r="U18" s="72">
        <v>3</v>
      </c>
      <c r="V18" s="72" t="str">
        <f t="shared" si="0"/>
        <v>AEREO</v>
      </c>
      <c r="W18" s="72">
        <v>20</v>
      </c>
      <c r="X18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8" s="72" t="str">
        <f>IFERROR(VLOOKUP(Tabela7[[#This Row],[Ib]],TabelaDisjuntores[],2,TRUE),"")</f>
        <v/>
      </c>
      <c r="Z18" s="72" t="str">
        <f>IFERROR(VLOOKUP(Tabela7[[#This Row],[CONDUTOR]],CABOS[],2,0),"")</f>
        <v/>
      </c>
      <c r="AA18" s="72" t="str">
        <f>IF(AND(Tabela7[[#This Row],[Ib]]&lt;=Tabela7[[#This Row],[In]],Tabela7[[#This Row],[In]]&lt;=Tabela7[[#This Row],[Iz]]),"OK","VERIFICAR")</f>
        <v>OK</v>
      </c>
      <c r="AB18" s="97" t="str">
        <f>IFERROR(SQRT((Tabela7[[#This Row],[X]]-$AF$4)^2+(Tabela7[[#This Row],[Y]]-$AF$5)^2),"")</f>
        <v/>
      </c>
      <c r="AC18" s="9" t="str">
        <f>IFERROR(VLOOKUP(Tabela7[[#This Row],[CONDUTOR]],CONDUTORES,2,0),"")</f>
        <v/>
      </c>
      <c r="AE18" s="262"/>
      <c r="AF18" s="262"/>
      <c r="AG18" s="262"/>
    </row>
    <row r="19" spans="1:33" x14ac:dyDescent="0.3">
      <c r="A19" s="54"/>
      <c r="B19" s="130"/>
      <c r="C19" s="54" t="str">
        <f>IFERROR(IF(Tabela7[[#This Row],[PONTO]]="RAMAL",B18,VLOOKUP(Tabela7[[#This Row],[PONTO]],GERAL[],2,0)),"")</f>
        <v/>
      </c>
      <c r="D19" s="54" t="str">
        <f>IF(Tabela7[[#This Row],[PONTO]]="","",IFERROR(IF(Tabela7[[#This Row],[PONTO]]="RAMAL",15,VLOOKUP(Tabela7[[#This Row],[PONTO]],GERAL[],3,0)),0))</f>
        <v/>
      </c>
      <c r="E19" s="154" t="str">
        <f>IFERROR(IF(Tabela7[[#This Row],[PONTO]]="RAMAL","",VLOOKUP(Tabela7[[#This Row],[PONTO]],GERAL[],7,0)),"")</f>
        <v/>
      </c>
      <c r="F19" s="154" t="str">
        <f>IFERROR(IF(Tabela7[[#This Row],[PONTO]]="RAMAL","",VLOOKUP(Tabela7[[#This Row],[PONTO]],GERAL[],4,0)),"")</f>
        <v/>
      </c>
      <c r="G19" s="154" t="str">
        <f>IFERROR(IF(Tabela7[[#This Row],[PONTO]]="RAMAL","",VLOOKUP(Tabela7[[#This Row],[PONTO]],GERAL[],5,0)),"")</f>
        <v/>
      </c>
      <c r="H19" s="55" t="str">
        <f>IFERROR(IF(Tabela7[[#This Row],[PONTO]]="RAMAL",DMDI,VLOOKUP(Tabela7[[#This Row],[PONTO]],GERAL[],8,0)),"")</f>
        <v/>
      </c>
      <c r="I19" s="55" t="str">
        <f>IF(Tabela7[[#This Row],[PONTO]]="","",IFERROR(IF(Tabela7[[#This Row],[PONTO]]="RAMAL",Tabela7[[#This Row],[KVA PONTO]],VLOOKUP(Tabela7[[#This Row],[PONTO]],GERAL[],9,0)),""))</f>
        <v/>
      </c>
      <c r="J19" s="55" t="str">
        <f>IF(Tabela7[[#This Row],[PONTO]]="","",IFERROR(VLOOKUP(Tabela7[[#This Row],[PONTO]],GERAL[],12,0),""))</f>
        <v/>
      </c>
      <c r="K19" s="61" t="str">
        <f>IFERROR(Tabela7[[#This Row],[Ib]],"")</f>
        <v/>
      </c>
      <c r="L19" s="117" t="str">
        <f>IFERROR(IFERROR(Tabela7[[#This Row],[ACUMULADA]]/((IF(Tabela7[[#This Row],[FASE]]="MONO",T_LINHA_MONO,IF(Tabela7[[#This Row],[FASE]]="BIF",T_LINHA_TRF,T_LINHA_TRF*SQRT(3)))/1000)*VLOOKUP(Tabela7[[#This Row],[CONDUTOR]],CABOS[],9,0))+30,W19+60*(X19/Z19)),"")</f>
        <v/>
      </c>
      <c r="M19" s="68" t="str">
        <f>IFERROR((VLOOKUP(Tabela7[[#This Row],[CONDUTOR]],CABOS[],3,0)/VLOOKUP(Tabela7[[#This Row],[CONDUTOR]],CABOS[],6,0))*(1+VLOOKUP(Tabela7[[#This Row],[CONDUTOR]],CABOS[],5,0)*(Tabela7[[#This Row],[T]]-20)),"")</f>
        <v/>
      </c>
      <c r="N19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19" s="116" t="str">
        <f>IF(Tabela7[[#This Row],[PONTO]]="","",IFERROR(SUMIF(Tabela7[PONTO],Tabela7[[#This Row],[TRECHO]],Tabela7[Coluna1])+Tabela7[[#This Row],[QT-PONTO]],""))</f>
        <v/>
      </c>
      <c r="P19" s="56" t="str">
        <f>IFERROR(Tabela7[[#This Row],[Coluna1]]/T_LINHA_MONO,"")</f>
        <v/>
      </c>
      <c r="Q19" s="55" t="str">
        <f>IFERROR(T_LINHA_MONO*(1-Tabela7[[#This Row],[QT %]]),"")</f>
        <v/>
      </c>
      <c r="R19" s="55" t="str">
        <f>IFERROR(T_LINHA_TRF*(1-Tabela7[[#This Row],[QT %]]),"")</f>
        <v/>
      </c>
      <c r="S19" s="67" t="str">
        <f>IFERROR(IF(Tabela7[[#This Row],[PROTECAO]]="OK","Protecao OK","Ajustar Disj/Condutor"),"")</f>
        <v>Protecao OK</v>
      </c>
      <c r="T19" s="72" t="str">
        <f>IF(Tabela7[[#This Row],[ETA]]=1,"MONO",IF(Tabela7[[#This Row],[ETA]]=2,"BIF","TRI"))</f>
        <v>TRI</v>
      </c>
      <c r="U19" s="72">
        <v>3</v>
      </c>
      <c r="V19" s="72" t="str">
        <f t="shared" si="0"/>
        <v>AEREO</v>
      </c>
      <c r="W19" s="72">
        <v>20</v>
      </c>
      <c r="X19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19" s="72" t="str">
        <f>IFERROR(VLOOKUP(Tabela7[[#This Row],[Ib]],TabelaDisjuntores[],2,TRUE),"")</f>
        <v/>
      </c>
      <c r="Z19" s="72" t="str">
        <f>IFERROR(VLOOKUP(Tabela7[[#This Row],[CONDUTOR]],CABOS[],2,0),"")</f>
        <v/>
      </c>
      <c r="AA19" s="72" t="str">
        <f>IF(AND(Tabela7[[#This Row],[Ib]]&lt;=Tabela7[[#This Row],[In]],Tabela7[[#This Row],[In]]&lt;=Tabela7[[#This Row],[Iz]]),"OK","VERIFICAR")</f>
        <v>OK</v>
      </c>
      <c r="AB19" s="97" t="str">
        <f>IFERROR(SQRT((Tabela7[[#This Row],[X]]-$AF$4)^2+(Tabela7[[#This Row],[Y]]-$AF$5)^2),"")</f>
        <v/>
      </c>
      <c r="AC19" s="9" t="str">
        <f>IFERROR(VLOOKUP(Tabela7[[#This Row],[CONDUTOR]],CONDUTORES,2,0),"")</f>
        <v/>
      </c>
      <c r="AE19" s="262"/>
      <c r="AF19" s="262"/>
      <c r="AG19" s="262"/>
    </row>
    <row r="20" spans="1:33" x14ac:dyDescent="0.3">
      <c r="A20" s="172"/>
      <c r="B20" s="130" t="str">
        <f>IFERROR(VLOOKUP(A20,PROJ1!A20:C62,2,0),"")</f>
        <v/>
      </c>
      <c r="C20" s="54" t="str">
        <f>IFERROR(IF(Tabela7[[#This Row],[PONTO]]="RAMAL",B19,VLOOKUP(Tabela7[[#This Row],[PONTO]],GERAL[],2,0)),"")</f>
        <v/>
      </c>
      <c r="D20" s="54" t="str">
        <f>IF(Tabela7[[#This Row],[PONTO]]="","",IFERROR(IF(Tabela7[[#This Row],[PONTO]]="RAMAL",15,VLOOKUP(Tabela7[[#This Row],[PONTO]],GERAL[],3,0)),0))</f>
        <v/>
      </c>
      <c r="E20" s="154" t="str">
        <f>IFERROR(IF(Tabela7[[#This Row],[PONTO]]="RAMAL","",VLOOKUP(Tabela7[[#This Row],[PONTO]],GERAL[],7,0)),"")</f>
        <v/>
      </c>
      <c r="F20" s="154" t="str">
        <f>IFERROR(IF(Tabela7[[#This Row],[PONTO]]="RAMAL","",VLOOKUP(Tabela7[[#This Row],[PONTO]],GERAL[],4,0)),"")</f>
        <v/>
      </c>
      <c r="G20" s="154" t="str">
        <f>IFERROR(IF(Tabela7[[#This Row],[PONTO]]="RAMAL","",VLOOKUP(Tabela7[[#This Row],[PONTO]],GERAL[],5,0)),"")</f>
        <v/>
      </c>
      <c r="H20" s="55" t="str">
        <f>IFERROR(IF(Tabela7[[#This Row],[PONTO]]="RAMAL",DMDI,VLOOKUP(Tabela7[[#This Row],[PONTO]],GERAL[],8,0)),"")</f>
        <v/>
      </c>
      <c r="I20" s="55" t="str">
        <f>IF(Tabela7[[#This Row],[PONTO]]="","",IFERROR(IF(Tabela7[[#This Row],[PONTO]]="RAMAL",Tabela7[[#This Row],[KVA PONTO]],VLOOKUP(Tabela7[[#This Row],[PONTO]],GERAL[],9,0)),""))</f>
        <v/>
      </c>
      <c r="J20" s="55" t="str">
        <f>IF(Tabela7[[#This Row],[PONTO]]="","",IFERROR(VLOOKUP(Tabela7[[#This Row],[PONTO]],GERAL[],12,0),""))</f>
        <v/>
      </c>
      <c r="K20" s="61" t="str">
        <f>IFERROR(Tabela7[[#This Row],[Ib]],"")</f>
        <v/>
      </c>
      <c r="L20" s="117" t="str">
        <f>IFERROR(IFERROR(Tabela7[[#This Row],[ACUMULADA]]/((IF(Tabela7[[#This Row],[FASE]]="MONO",T_LINHA_MONO,IF(Tabela7[[#This Row],[FASE]]="BIF",T_LINHA_TRF,T_LINHA_TRF*SQRT(3)))/1000)*VLOOKUP(Tabela7[[#This Row],[CONDUTOR]],CABOS[],9,0))+30,W20+60*(X20/Z20)),"")</f>
        <v/>
      </c>
      <c r="M20" s="68" t="str">
        <f>IFERROR((VLOOKUP(Tabela7[[#This Row],[CONDUTOR]],CABOS[],3,0)/VLOOKUP(Tabela7[[#This Row],[CONDUTOR]],CABOS[],6,0))*(1+VLOOKUP(Tabela7[[#This Row],[CONDUTOR]],CABOS[],5,0)*(Tabela7[[#This Row],[T]]-20)),"")</f>
        <v/>
      </c>
      <c r="N20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20" s="116" t="str">
        <f>IF(Tabela7[[#This Row],[PONTO]]="","",IFERROR(SUMIF(Tabela7[PONTO],Tabela7[[#This Row],[TRECHO]],Tabela7[Coluna1])+Tabela7[[#This Row],[QT-PONTO]],""))</f>
        <v/>
      </c>
      <c r="P20" s="56" t="str">
        <f>IFERROR(Tabela7[[#This Row],[Coluna1]]/T_LINHA_MONO,"")</f>
        <v/>
      </c>
      <c r="Q20" s="55" t="str">
        <f>IFERROR(T_LINHA_MONO*(1-Tabela7[[#This Row],[QT %]]),"")</f>
        <v/>
      </c>
      <c r="R20" s="55" t="str">
        <f>IFERROR(T_LINHA_TRF*(1-Tabela7[[#This Row],[QT %]]),"")</f>
        <v/>
      </c>
      <c r="S20" s="67" t="str">
        <f>IFERROR(IF(Tabela7[[#This Row],[PROTECAO]]="OK","Protecao OK","Ajustar Disj/Condutor"),"")</f>
        <v>Protecao OK</v>
      </c>
      <c r="T20" s="72" t="str">
        <f>IF(Tabela7[[#This Row],[ETA]]=1,"MONO",IF(Tabela7[[#This Row],[ETA]]=2,"BIF","TRI"))</f>
        <v>TRI</v>
      </c>
      <c r="U20" s="72">
        <v>3</v>
      </c>
      <c r="V20" s="72" t="str">
        <f t="shared" si="0"/>
        <v>AEREO</v>
      </c>
      <c r="W20" s="72">
        <v>20</v>
      </c>
      <c r="X20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20" s="72" t="str">
        <f>IFERROR(VLOOKUP(Tabela7[[#This Row],[Ib]],TabelaDisjuntores[],2,TRUE),"")</f>
        <v/>
      </c>
      <c r="Z20" s="72" t="str">
        <f>IFERROR(VLOOKUP(Tabela7[[#This Row],[CONDUTOR]],CABOS[],2,0),"")</f>
        <v/>
      </c>
      <c r="AA20" s="72" t="str">
        <f>IF(AND(Tabela7[[#This Row],[Ib]]&lt;=Tabela7[[#This Row],[In]],Tabela7[[#This Row],[In]]&lt;=Tabela7[[#This Row],[Iz]]),"OK","VERIFICAR")</f>
        <v>OK</v>
      </c>
      <c r="AB20" s="97" t="str">
        <f>IFERROR(SQRT((Tabela7[[#This Row],[X]]-$AF$4)^2+(Tabela7[[#This Row],[Y]]-$AF$5)^2),"")</f>
        <v/>
      </c>
      <c r="AC20" s="9" t="str">
        <f>IFERROR(VLOOKUP(Tabela7[[#This Row],[CONDUTOR]],CONDUTORES,2,0),"")</f>
        <v/>
      </c>
    </row>
    <row r="21" spans="1:33" x14ac:dyDescent="0.3">
      <c r="A21" s="54"/>
      <c r="B21" s="130"/>
      <c r="C21" s="54" t="str">
        <f>IFERROR(IF(Tabela7[[#This Row],[PONTO]]="RAMAL",B20,VLOOKUP(Tabela7[[#This Row],[PONTO]],GERAL[],2,0)),"")</f>
        <v/>
      </c>
      <c r="D21" s="54" t="str">
        <f>IF(Tabela7[[#This Row],[PONTO]]="","",IFERROR(IF(Tabela7[[#This Row],[PONTO]]="RAMAL",15,VLOOKUP(Tabela7[[#This Row],[PONTO]],GERAL[],3,0)),0))</f>
        <v/>
      </c>
      <c r="E21" s="154" t="str">
        <f>IFERROR(IF(Tabela7[[#This Row],[PONTO]]="RAMAL","",VLOOKUP(Tabela7[[#This Row],[PONTO]],GERAL[],7,0)),"")</f>
        <v/>
      </c>
      <c r="F21" s="154" t="str">
        <f>IFERROR(IF(Tabela7[[#This Row],[PONTO]]="RAMAL","",VLOOKUP(Tabela7[[#This Row],[PONTO]],GERAL[],4,0)),"")</f>
        <v/>
      </c>
      <c r="G21" s="154" t="str">
        <f>IFERROR(IF(Tabela7[[#This Row],[PONTO]]="RAMAL","",VLOOKUP(Tabela7[[#This Row],[PONTO]],GERAL[],5,0)),"")</f>
        <v/>
      </c>
      <c r="H21" s="55" t="str">
        <f>IFERROR(IF(Tabela7[[#This Row],[PONTO]]="RAMAL",DMDI,VLOOKUP(Tabela7[[#This Row],[PONTO]],GERAL[],8,0)),"")</f>
        <v/>
      </c>
      <c r="I21" s="55" t="str">
        <f>IF(Tabela7[[#This Row],[PONTO]]="","",IFERROR(IF(Tabela7[[#This Row],[PONTO]]="RAMAL",Tabela7[[#This Row],[KVA PONTO]],VLOOKUP(Tabela7[[#This Row],[PONTO]],GERAL[],9,0)),""))</f>
        <v/>
      </c>
      <c r="J21" s="55" t="str">
        <f>IF(Tabela7[[#This Row],[PONTO]]="","",IFERROR(VLOOKUP(Tabela7[[#This Row],[PONTO]],GERAL[],12,0),""))</f>
        <v/>
      </c>
      <c r="K21" s="61" t="str">
        <f>IFERROR(Tabela7[[#This Row],[Ib]],"")</f>
        <v/>
      </c>
      <c r="L21" s="117" t="str">
        <f>IFERROR(IFERROR(Tabela7[[#This Row],[ACUMULADA]]/((IF(Tabela7[[#This Row],[FASE]]="MONO",T_LINHA_MONO,IF(Tabela7[[#This Row],[FASE]]="BIF",T_LINHA_TRF,T_LINHA_TRF*SQRT(3)))/1000)*VLOOKUP(Tabela7[[#This Row],[CONDUTOR]],CABOS[],9,0))+30,W21+60*(X21/Z21)),"")</f>
        <v/>
      </c>
      <c r="M21" s="68" t="str">
        <f>IFERROR((VLOOKUP(Tabela7[[#This Row],[CONDUTOR]],CABOS[],3,0)/VLOOKUP(Tabela7[[#This Row],[CONDUTOR]],CABOS[],6,0))*(1+VLOOKUP(Tabela7[[#This Row],[CONDUTOR]],CABOS[],5,0)*(Tabela7[[#This Row],[T]]-20)),"")</f>
        <v/>
      </c>
      <c r="N21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21" s="116" t="str">
        <f>IF(Tabela7[[#This Row],[PONTO]]="","",IFERROR(SUMIF(Tabela7[PONTO],Tabela7[[#This Row],[TRECHO]],Tabela7[Coluna1])+Tabela7[[#This Row],[QT-PONTO]],""))</f>
        <v/>
      </c>
      <c r="P21" s="56" t="str">
        <f>IFERROR(Tabela7[[#This Row],[Coluna1]]/T_LINHA_MONO,"")</f>
        <v/>
      </c>
      <c r="Q21" s="55" t="str">
        <f>IFERROR(T_LINHA_MONO*(1-Tabela7[[#This Row],[QT %]]),"")</f>
        <v/>
      </c>
      <c r="R21" s="55" t="str">
        <f>IFERROR(T_LINHA_TRF*(1-Tabela7[[#This Row],[QT %]]),"")</f>
        <v/>
      </c>
      <c r="S21" s="67" t="str">
        <f>IFERROR(IF(Tabela7[[#This Row],[PROTECAO]]="OK","Protecao OK","Ajustar Disj/Condutor"),"")</f>
        <v>Protecao OK</v>
      </c>
      <c r="T21" s="72" t="str">
        <f>IF(Tabela7[[#This Row],[ETA]]=1,"MONO",IF(Tabela7[[#This Row],[ETA]]=2,"BIF","TRI"))</f>
        <v>TRI</v>
      </c>
      <c r="U21" s="72">
        <v>3</v>
      </c>
      <c r="V21" s="72" t="str">
        <f t="shared" si="0"/>
        <v>AEREO</v>
      </c>
      <c r="W21" s="72">
        <v>21</v>
      </c>
      <c r="X21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21" s="72" t="str">
        <f>IFERROR(VLOOKUP(Tabela7[[#This Row],[Ib]],TabelaDisjuntores[],2,TRUE),"")</f>
        <v/>
      </c>
      <c r="Z21" s="72" t="str">
        <f>IFERROR(VLOOKUP(Tabela7[[#This Row],[CONDUTOR]],CABOS[],2,0),"")</f>
        <v/>
      </c>
      <c r="AA21" s="72" t="str">
        <f>IF(AND(Tabela7[[#This Row],[Ib]]&lt;=Tabela7[[#This Row],[In]],Tabela7[[#This Row],[In]]&lt;=Tabela7[[#This Row],[Iz]]),"OK","VERIFICAR")</f>
        <v>OK</v>
      </c>
      <c r="AB21" s="97" t="str">
        <f>IFERROR(SQRT((Tabela7[[#This Row],[X]]-$AF$4)^2+(Tabela7[[#This Row],[Y]]-$AF$5)^2),"")</f>
        <v/>
      </c>
      <c r="AC21" s="9" t="str">
        <f>IFERROR(VLOOKUP(Tabela7[[#This Row],[CONDUTOR]],CONDUTORES,2,0),"")</f>
        <v/>
      </c>
      <c r="AE21" s="146" t="str">
        <f>IF(J24="","FALTA CONDUTOR NO RAMAL","")</f>
        <v/>
      </c>
      <c r="AF21" s="146"/>
      <c r="AG21" s="146"/>
    </row>
    <row r="22" spans="1:33" x14ac:dyDescent="0.3">
      <c r="A22" s="172"/>
      <c r="B22" s="130" t="str">
        <f>IFERROR(VLOOKUP(A22,PROJ1!A22:C64,2,0),"")</f>
        <v/>
      </c>
      <c r="C22" s="54" t="str">
        <f>IFERROR(IF(Tabela7[[#This Row],[PONTO]]="RAMAL",B21,VLOOKUP(Tabela7[[#This Row],[PONTO]],GERAL[],2,0)),"")</f>
        <v/>
      </c>
      <c r="D22" s="54" t="str">
        <f>IF(Tabela7[[#This Row],[PONTO]]="","",IFERROR(IF(Tabela7[[#This Row],[PONTO]]="RAMAL",15,VLOOKUP(Tabela7[[#This Row],[PONTO]],GERAL[],3,0)),0))</f>
        <v/>
      </c>
      <c r="E22" s="154" t="str">
        <f>IFERROR(IF(Tabela7[[#This Row],[PONTO]]="RAMAL","",VLOOKUP(Tabela7[[#This Row],[PONTO]],GERAL[],7,0)),"")</f>
        <v/>
      </c>
      <c r="F22" s="154" t="str">
        <f>IFERROR(IF(Tabela7[[#This Row],[PONTO]]="RAMAL","",VLOOKUP(Tabela7[[#This Row],[PONTO]],GERAL[],4,0)),"")</f>
        <v/>
      </c>
      <c r="G22" s="154" t="str">
        <f>IFERROR(IF(Tabela7[[#This Row],[PONTO]]="RAMAL","",VLOOKUP(Tabela7[[#This Row],[PONTO]],GERAL[],5,0)),"")</f>
        <v/>
      </c>
      <c r="H22" s="55" t="str">
        <f>IFERROR(IF(Tabela7[[#This Row],[PONTO]]="RAMAL",DMDI,VLOOKUP(Tabela7[[#This Row],[PONTO]],GERAL[],8,0)),"")</f>
        <v/>
      </c>
      <c r="I22" s="55" t="str">
        <f>IF(Tabela7[[#This Row],[PONTO]]="","",IFERROR(IF(Tabela7[[#This Row],[PONTO]]="RAMAL",Tabela7[[#This Row],[KVA PONTO]],VLOOKUP(Tabela7[[#This Row],[PONTO]],GERAL[],9,0)),""))</f>
        <v/>
      </c>
      <c r="J22" s="55" t="str">
        <f>IF(Tabela7[[#This Row],[PONTO]]="","",IFERROR(VLOOKUP(Tabela7[[#This Row],[PONTO]],GERAL[],12,0),""))</f>
        <v/>
      </c>
      <c r="K22" s="61" t="str">
        <f>IFERROR(Tabela7[[#This Row],[Ib]],"")</f>
        <v/>
      </c>
      <c r="L22" s="117" t="str">
        <f>IFERROR(IFERROR(Tabela7[[#This Row],[ACUMULADA]]/((IF(Tabela7[[#This Row],[FASE]]="MONO",T_LINHA_MONO,IF(Tabela7[[#This Row],[FASE]]="BIF",T_LINHA_TRF,T_LINHA_TRF*SQRT(3)))/1000)*VLOOKUP(Tabela7[[#This Row],[CONDUTOR]],CABOS[],9,0))+30,W22+60*(X22/Z22)),"")</f>
        <v/>
      </c>
      <c r="M22" s="68" t="str">
        <f>IFERROR((VLOOKUP(Tabela7[[#This Row],[CONDUTOR]],CABOS[],3,0)/VLOOKUP(Tabela7[[#This Row],[CONDUTOR]],CABOS[],6,0))*(1+VLOOKUP(Tabela7[[#This Row],[CONDUTOR]],CABOS[],5,0)*(Tabela7[[#This Row],[T]]-20)),"")</f>
        <v/>
      </c>
      <c r="N22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22" s="116" t="str">
        <f>IF(Tabela7[[#This Row],[PONTO]]="","",IFERROR(SUMIF(Tabela7[PONTO],Tabela7[[#This Row],[TRECHO]],Tabela7[Coluna1])+Tabela7[[#This Row],[QT-PONTO]],""))</f>
        <v/>
      </c>
      <c r="P22" s="56" t="str">
        <f>IFERROR(Tabela7[[#This Row],[Coluna1]]/T_LINHA_MONO,"")</f>
        <v/>
      </c>
      <c r="Q22" s="55" t="str">
        <f>IFERROR(T_LINHA_MONO*(1-Tabela7[[#This Row],[QT %]]),"")</f>
        <v/>
      </c>
      <c r="R22" s="55" t="str">
        <f>IFERROR(T_LINHA_TRF*(1-Tabela7[[#This Row],[QT %]]),"")</f>
        <v/>
      </c>
      <c r="S22" s="67" t="str">
        <f>IFERROR(IF(Tabela7[[#This Row],[PROTECAO]]="OK","Protecao OK","Ajustar Disj/Condutor"),"")</f>
        <v>Protecao OK</v>
      </c>
      <c r="T22" s="72" t="str">
        <f>IF(Tabela7[[#This Row],[ETA]]=1,"MONO",IF(Tabela7[[#This Row],[ETA]]=2,"BIF","TRI"))</f>
        <v>TRI</v>
      </c>
      <c r="U22" s="72">
        <v>3</v>
      </c>
      <c r="V22" s="72" t="str">
        <f t="shared" si="0"/>
        <v>AEREO</v>
      </c>
      <c r="W22" s="72">
        <v>22</v>
      </c>
      <c r="X22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22" s="72" t="str">
        <f>IFERROR(VLOOKUP(Tabela7[[#This Row],[Ib]],TabelaDisjuntores[],2,TRUE),"")</f>
        <v/>
      </c>
      <c r="Z22" s="72" t="str">
        <f>IFERROR(VLOOKUP(Tabela7[[#This Row],[CONDUTOR]],CABOS[],2,0),"")</f>
        <v/>
      </c>
      <c r="AA22" s="72" t="str">
        <f>IF(AND(Tabela7[[#This Row],[Ib]]&lt;=Tabela7[[#This Row],[In]],Tabela7[[#This Row],[In]]&lt;=Tabela7[[#This Row],[Iz]]),"OK","VERIFICAR")</f>
        <v>OK</v>
      </c>
      <c r="AB22" s="97" t="str">
        <f>IFERROR(SQRT((Tabela7[[#This Row],[X]]-$AF$4)^2+(Tabela7[[#This Row],[Y]]-$AF$5)^2),"")</f>
        <v/>
      </c>
      <c r="AC22" s="9" t="str">
        <f>IFERROR(VLOOKUP(Tabela7[[#This Row],[CONDUTOR]],CONDUTORES,2,0),"")</f>
        <v/>
      </c>
    </row>
    <row r="23" spans="1:33" x14ac:dyDescent="0.3">
      <c r="A23" s="54"/>
      <c r="B23" s="130" t="str">
        <f>IFERROR(VLOOKUP(A23,PROJ1!A23:C65,2,0),"")</f>
        <v/>
      </c>
      <c r="C23" s="54" t="str">
        <f>IFERROR(IF(Tabela7[[#This Row],[PONTO]]="RAMAL",B22,VLOOKUP(Tabela7[[#This Row],[PONTO]],GERAL[],2,0)),"")</f>
        <v/>
      </c>
      <c r="D23" s="54" t="str">
        <f>IF(Tabela7[[#This Row],[PONTO]]="","",IFERROR(IF(Tabela7[[#This Row],[PONTO]]="RAMAL",15,VLOOKUP(Tabela7[[#This Row],[PONTO]],GERAL[],3,0)),0))</f>
        <v/>
      </c>
      <c r="E23" s="154" t="str">
        <f>IFERROR(IF(Tabela7[[#This Row],[PONTO]]="RAMAL","",VLOOKUP(Tabela7[[#This Row],[PONTO]],GERAL[],7,0)),"")</f>
        <v/>
      </c>
      <c r="F23" s="154" t="str">
        <f>IFERROR(IF(Tabela7[[#This Row],[PONTO]]="RAMAL","",VLOOKUP(Tabela7[[#This Row],[PONTO]],GERAL[],4,0)),"")</f>
        <v/>
      </c>
      <c r="G23" s="154" t="str">
        <f>IFERROR(IF(Tabela7[[#This Row],[PONTO]]="RAMAL","",VLOOKUP(Tabela7[[#This Row],[PONTO]],GERAL[],5,0)),"")</f>
        <v/>
      </c>
      <c r="H23" s="55" t="str">
        <f>IFERROR(IF(Tabela7[[#This Row],[PONTO]]="RAMAL",DMDI,VLOOKUP(Tabela7[[#This Row],[PONTO]],GERAL[],8,0)),"")</f>
        <v/>
      </c>
      <c r="I23" s="55" t="str">
        <f>IF(Tabela7[[#This Row],[PONTO]]="","",IFERROR(IF(Tabela7[[#This Row],[PONTO]]="RAMAL",Tabela7[[#This Row],[KVA PONTO]],VLOOKUP(Tabela7[[#This Row],[PONTO]],GERAL[],9,0)),""))</f>
        <v/>
      </c>
      <c r="J23" s="55" t="str">
        <f>IF(Tabela7[[#This Row],[PONTO]]="","",IFERROR(VLOOKUP(Tabela7[[#This Row],[PONTO]],GERAL[],12,0),""))</f>
        <v/>
      </c>
      <c r="K23" s="61" t="str">
        <f>IFERROR(Tabela7[[#This Row],[Ib]],"")</f>
        <v/>
      </c>
      <c r="L23" s="117" t="str">
        <f>IFERROR(IFERROR(Tabela7[[#This Row],[ACUMULADA]]/((IF(Tabela7[[#This Row],[FASE]]="MONO",T_LINHA_MONO,IF(Tabela7[[#This Row],[FASE]]="BIF",T_LINHA_TRF,T_LINHA_TRF*SQRT(3)))/1000)*VLOOKUP(Tabela7[[#This Row],[CONDUTOR]],CABOS[],9,0))+30,W23+60*(X23/Z23)),"")</f>
        <v/>
      </c>
      <c r="M23" s="68" t="str">
        <f>IFERROR((VLOOKUP(Tabela7[[#This Row],[CONDUTOR]],CABOS[],3,0)/VLOOKUP(Tabela7[[#This Row],[CONDUTOR]],CABOS[],6,0))*(1+VLOOKUP(Tabela7[[#This Row],[CONDUTOR]],CABOS[],5,0)*(Tabela7[[#This Row],[T]]-20)),"")</f>
        <v/>
      </c>
      <c r="N23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23" s="116" t="str">
        <f>IF(Tabela7[[#This Row],[PONTO]]="","",IFERROR(SUMIF(Tabela7[PONTO],Tabela7[[#This Row],[TRECHO]],Tabela7[Coluna1])+Tabela7[[#This Row],[QT-PONTO]],""))</f>
        <v/>
      </c>
      <c r="P23" s="56" t="str">
        <f>IFERROR(Tabela7[[#This Row],[Coluna1]]/T_LINHA_MONO,"")</f>
        <v/>
      </c>
      <c r="Q23" s="55" t="str">
        <f>IFERROR(T_LINHA_MONO*(1-Tabela7[[#This Row],[QT %]]),"")</f>
        <v/>
      </c>
      <c r="R23" s="55" t="str">
        <f>IFERROR(T_LINHA_TRF*(1-Tabela7[[#This Row],[QT %]]),"")</f>
        <v/>
      </c>
      <c r="S23" s="67" t="str">
        <f>IFERROR(IF(Tabela7[[#This Row],[PROTECAO]]="OK","Protecao OK","Ajustar Disj/Condutor"),"")</f>
        <v>Protecao OK</v>
      </c>
      <c r="T23" s="72" t="str">
        <f>IF(Tabela7[[#This Row],[ETA]]=1,"MONO",IF(Tabela7[[#This Row],[ETA]]=2,"BIF","TRI"))</f>
        <v>TRI</v>
      </c>
      <c r="U23" s="72">
        <v>3</v>
      </c>
      <c r="V23" s="72" t="str">
        <f t="shared" si="0"/>
        <v>AEREO</v>
      </c>
      <c r="W23" s="72">
        <v>23</v>
      </c>
      <c r="X23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23" s="72" t="str">
        <f>IFERROR(VLOOKUP(Tabela7[[#This Row],[Ib]],TabelaDisjuntores[],2,TRUE),"")</f>
        <v/>
      </c>
      <c r="Z23" s="72" t="str">
        <f>IFERROR(VLOOKUP(Tabela7[[#This Row],[CONDUTOR]],CABOS[],2,0),"")</f>
        <v/>
      </c>
      <c r="AA23" s="72" t="str">
        <f>IF(AND(Tabela7[[#This Row],[Ib]]&lt;=Tabela7[[#This Row],[In]],Tabela7[[#This Row],[In]]&lt;=Tabela7[[#This Row],[Iz]]),"OK","VERIFICAR")</f>
        <v>OK</v>
      </c>
      <c r="AB23" s="97" t="str">
        <f>IFERROR(SQRT((Tabela7[[#This Row],[X]]-$AF$4)^2+(Tabela7[[#This Row],[Y]]-$AF$5)^2),"")</f>
        <v/>
      </c>
      <c r="AC23" s="9" t="str">
        <f>IFERROR(VLOOKUP(Tabela7[[#This Row],[CONDUTOR]],CONDUTORES,2,0),"")</f>
        <v/>
      </c>
      <c r="AE23" t="s">
        <v>276</v>
      </c>
      <c r="AF23" s="102">
        <f>10/127</f>
        <v>7.874015748031496E-2</v>
      </c>
    </row>
    <row r="24" spans="1:33" x14ac:dyDescent="0.3">
      <c r="A24" s="172" t="s">
        <v>323</v>
      </c>
      <c r="B24" s="70" t="s">
        <v>275</v>
      </c>
      <c r="C24" s="200">
        <v>4</v>
      </c>
      <c r="D24" s="54">
        <v>30</v>
      </c>
      <c r="E24" s="154" t="str">
        <f>IFERROR(IF(Tabela7[[#This Row],[PONTO]]="RAMAL","",VLOOKUP(Tabela7[[#This Row],[PONTO]],GERAL[],7,0)),"")</f>
        <v/>
      </c>
      <c r="F24" s="154" t="str">
        <f>IFERROR(IF(Tabela7[[#This Row],[PONTO]]="RAMAL","",VLOOKUP(Tabela7[[#This Row],[PONTO]],GERAL[],4,0)),"")</f>
        <v/>
      </c>
      <c r="G24" s="154" t="str">
        <f>IFERROR(IF(Tabela7[[#This Row],[PONTO]]="RAMAL","",VLOOKUP(Tabela7[[#This Row],[PONTO]],GERAL[],5,0)),"")</f>
        <v/>
      </c>
      <c r="H24" s="55">
        <f>IFERROR(IF(Tabela7[[#This Row],[PONTO]]="RAMAL",DMDI,VLOOKUP(Tabela7[[#This Row],[PONTO]],GERAL[],8,0)),"")</f>
        <v>1.88</v>
      </c>
      <c r="I24" s="55">
        <f>IF(Tabela7[[#This Row],[PONTO]]="","",IFERROR(IF(Tabela7[[#This Row],[PONTO]]="RAMAL",Tabela7[[#This Row],[KVA PONTO]],VLOOKUP(Tabela7[[#This Row],[PONTO]],GERAL[],9,0)),""))</f>
        <v>1.88</v>
      </c>
      <c r="J24" s="55" t="s">
        <v>97</v>
      </c>
      <c r="K24" s="61">
        <f>IFERROR(Tabela7[[#This Row],[Ib]],"")</f>
        <v>1.6445734940552976</v>
      </c>
      <c r="L24" s="117">
        <f>IFERROR(IFERROR(Tabela7[[#This Row],[ACUMULADA]]/((IF(Tabela7[[#This Row],[FASE]]="MONO",T_LINHA_MONO,IF(Tabela7[[#This Row],[FASE]]="BIF",T_LINHA_TRF,T_LINHA_TRF*SQRT(3)))/1000)*VLOOKUP(Tabela7[[#This Row],[CONDUTOR]],CABOS[],9,0))+30,W24+60*(X24/Z24)),"")</f>
        <v>34.698781411586566</v>
      </c>
      <c r="M24" s="68">
        <f>IFERROR((VLOOKUP(Tabela7[[#This Row],[CONDUTOR]],CABOS[],3,0)/VLOOKUP(Tabela7[[#This Row],[CONDUTOR]],CABOS[],6,0))*(1+VLOOKUP(Tabela7[[#This Row],[CONDUTOR]],CABOS[],5,0)*(Tabela7[[#This Row],[T]]-20)),"")</f>
        <v>2.0636037487625933</v>
      </c>
      <c r="N24" s="62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>0.33033328915624954</v>
      </c>
      <c r="O24" s="116">
        <f>IF(Tabela7[[#This Row],[PONTO]]="","",IFERROR(SUMIF(Tabela7[PONTO],Tabela7[[#This Row],[TRECHO]],Tabela7[Coluna1])+Tabela7[[#This Row],[QT-PONTO]],""))</f>
        <v>10.587843782871001</v>
      </c>
      <c r="P24" s="56">
        <f>IFERROR(Tabela7[[#This Row],[Coluna1]]/T_LINHA_MONO,"")</f>
        <v>8.3357651702431063E-2</v>
      </c>
      <c r="Q24" s="55">
        <f>IFERROR(T_LINHA_MONO*(1-Tabela7[[#This Row],[QT %]]),"")</f>
        <v>116.42921543884667</v>
      </c>
      <c r="R24" s="55">
        <f>IFERROR(T_LINHA_TRF*(1-Tabela7[[#This Row],[QT %]]),"")</f>
        <v>201.66131662546516</v>
      </c>
      <c r="S24" s="67" t="str">
        <f>IFERROR(IF(Tabela7[[#This Row],[PROTECAO]]="OK","Protecao OK","Ajustar Disj/Condutor"),"")</f>
        <v>Ajustar Disj/Condutor</v>
      </c>
      <c r="T24" s="72" t="str">
        <f>IF(Tabela7[[#This Row],[ETA]]=1,"MONO",IF(Tabela7[[#This Row],[ETA]]=2,"BIF","TRI"))</f>
        <v>TRI</v>
      </c>
      <c r="U24" s="72">
        <v>3</v>
      </c>
      <c r="V24" s="72" t="str">
        <f t="shared" si="0"/>
        <v>AEREO</v>
      </c>
      <c r="W24" s="72">
        <v>24</v>
      </c>
      <c r="X24" s="72">
        <f>IFERROR(IF(Tabela7[[#This Row],[FASE]]="MONO",Tabela7[[#This Row],[ACUMULADA]]*1000/(T_LINHA_TRF*Tabela7[[#This Row],[ETA]]),Tabela7[[#This Row],[ACUMULADA]]*1000/(SQRT(3)*$R$7*Tabela7[[#This Row],[ETA]])),"")</f>
        <v>1.6445734940552976</v>
      </c>
      <c r="Y24" s="72">
        <f>IFERROR(VLOOKUP(Tabela7[[#This Row],[Ib]],TabelaDisjuntores[],2,TRUE),"")</f>
        <v>0</v>
      </c>
      <c r="Z24" s="72">
        <f>IFERROR(VLOOKUP(Tabela7[[#This Row],[CONDUTOR]],CABOS[],2,0),"")</f>
        <v>63</v>
      </c>
      <c r="AA24" s="72" t="str">
        <f>IF(AND(Tabela7[[#This Row],[Ib]]&lt;=Tabela7[[#This Row],[In]],Tabela7[[#This Row],[In]]&lt;=Tabela7[[#This Row],[Iz]]),"OK","VERIFICAR")</f>
        <v>VERIFICAR</v>
      </c>
      <c r="AB24" s="97" t="str">
        <f>IFERROR(SQRT((Tabela7[[#This Row],[X]]-$AF$4)^2+(Tabela7[[#This Row],[Y]]-$AF$5)^2),"")</f>
        <v/>
      </c>
      <c r="AC24" s="9">
        <f>IFERROR(VLOOKUP(Tabela7[[#This Row],[CONDUTOR]],CONDUTORES,2,0),"")</f>
        <v>63</v>
      </c>
    </row>
    <row r="25" spans="1:33" x14ac:dyDescent="0.3">
      <c r="A25" s="172" t="s">
        <v>323</v>
      </c>
      <c r="B25" s="70" t="s">
        <v>275</v>
      </c>
      <c r="C25" s="54"/>
      <c r="D25" s="54">
        <v>30</v>
      </c>
      <c r="E25" s="154" t="str">
        <f>IFERROR(IF(Tabela7[[#This Row],[PONTO]]="RAMAL","",VLOOKUP(Tabela7[[#This Row],[PONTO]],GERAL[],7,0)),"")</f>
        <v/>
      </c>
      <c r="F25" s="154" t="str">
        <f>IFERROR(IF(Tabela7[[#This Row],[PONTO]]="RAMAL","",VLOOKUP(Tabela7[[#This Row],[PONTO]],GERAL[],4,0)),"")</f>
        <v/>
      </c>
      <c r="G25" s="154" t="str">
        <f>IFERROR(IF(Tabela7[[#This Row],[PONTO]]="RAMAL","",VLOOKUP(Tabela7[[#This Row],[PONTO]],GERAL[],5,0)),"")</f>
        <v/>
      </c>
      <c r="H25" s="55">
        <f>IFERROR(IF(Tabela7[[#This Row],[PONTO]]="RAMAL",DMDI,VLOOKUP(Tabela7[[#This Row],[PONTO]],GERAL[],8,0)),"")</f>
        <v>1.88</v>
      </c>
      <c r="I25" s="55">
        <f>IF(Tabela7[[#This Row],[PONTO]]="","",IFERROR(IF(Tabela7[[#This Row],[PONTO]]="RAMAL",Tabela7[[#This Row],[KVA PONTO]],VLOOKUP(Tabela7[[#This Row],[PONTO]],GERAL[],9,0)),""))</f>
        <v>1.88</v>
      </c>
      <c r="J25" s="55" t="s">
        <v>97</v>
      </c>
      <c r="K25" s="61">
        <f>IFERROR(Tabela7[[#This Row],[Ib]],"")</f>
        <v>1.6445734940552976</v>
      </c>
      <c r="L25" s="117">
        <f>IFERROR(IFERROR(Tabela7[[#This Row],[ACUMULADA]]/((IF(Tabela7[[#This Row],[FASE]]="MONO",T_LINHA_MONO,IF(Tabela7[[#This Row],[FASE]]="BIF",T_LINHA_TRF,T_LINHA_TRF*SQRT(3)))/1000)*VLOOKUP(Tabela7[[#This Row],[CONDUTOR]],CABOS[],9,0))+30,W25+60*(X25/Z25)),"")</f>
        <v>34.698781411586566</v>
      </c>
      <c r="M25" s="68">
        <f>IFERROR((VLOOKUP(Tabela7[[#This Row],[CONDUTOR]],CABOS[],3,0)/VLOOKUP(Tabela7[[#This Row],[CONDUTOR]],CABOS[],6,0))*(1+VLOOKUP(Tabela7[[#This Row],[CONDUTOR]],CABOS[],5,0)*(Tabela7[[#This Row],[T]]-20)),"")</f>
        <v>2.0636037487625933</v>
      </c>
      <c r="N25" s="62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>6.4396466255771925</v>
      </c>
      <c r="O25" s="116">
        <f>IF(Tabela7[[#This Row],[PONTO]]="","",IFERROR(SUMIF(Tabela7[PONTO],Tabela7[[#This Row],[TRECHO]],Tabela7[Coluna1])+Tabela7[[#This Row],[QT-PONTO]],""))</f>
        <v>6.4396466255771925</v>
      </c>
      <c r="P25" s="56">
        <f>IFERROR(Tabela7[[#This Row],[Coluna1]]/T_LINHA_MONO,"")</f>
        <v>5.0699068810405326E-2</v>
      </c>
      <c r="Q25" s="55">
        <f>IFERROR(T_LINHA_MONO*(1-Tabela7[[#This Row],[QT %]]),"")</f>
        <v>120.57741259614048</v>
      </c>
      <c r="R25" s="55">
        <f>IFERROR(T_LINHA_TRF*(1-Tabela7[[#This Row],[QT %]]),"")</f>
        <v>208.84620486171085</v>
      </c>
      <c r="S25" s="67" t="str">
        <f>IFERROR(IF(Tabela7[[#This Row],[PROTECAO]]="OK","Protecao OK","Ajustar Disj/Condutor"),"")</f>
        <v>Ajustar Disj/Condutor</v>
      </c>
      <c r="T25" s="72" t="str">
        <f>IF(Tabela7[[#This Row],[ETA]]=1,"MONO",IF(Tabela7[[#This Row],[ETA]]=2,"BIF","TRI"))</f>
        <v>TRI</v>
      </c>
      <c r="U25" s="72">
        <v>3</v>
      </c>
      <c r="V25" s="72" t="str">
        <f t="shared" si="0"/>
        <v>AEREO</v>
      </c>
      <c r="W25" s="72">
        <v>25</v>
      </c>
      <c r="X25" s="72">
        <f>IFERROR(IF(Tabela7[[#This Row],[FASE]]="MONO",Tabela7[[#This Row],[ACUMULADA]]*1000/(T_LINHA_TRF*Tabela7[[#This Row],[ETA]]),Tabela7[[#This Row],[ACUMULADA]]*1000/(SQRT(3)*$R$7*Tabela7[[#This Row],[ETA]])),"")</f>
        <v>1.6445734940552976</v>
      </c>
      <c r="Y25" s="72">
        <f>IFERROR(VLOOKUP(Tabela7[[#This Row],[Ib]],TabelaDisjuntores[],2,TRUE),"")</f>
        <v>0</v>
      </c>
      <c r="Z25" s="72">
        <f>IFERROR(VLOOKUP(Tabela7[[#This Row],[CONDUTOR]],CABOS[],2,0),"")</f>
        <v>63</v>
      </c>
      <c r="AA25" s="72" t="str">
        <f>IF(AND(Tabela7[[#This Row],[Ib]]&lt;=Tabela7[[#This Row],[In]],Tabela7[[#This Row],[In]]&lt;=Tabela7[[#This Row],[Iz]]),"OK","VERIFICAR")</f>
        <v>VERIFICAR</v>
      </c>
      <c r="AB25" s="97" t="str">
        <f>IFERROR(SQRT((Tabela7[[#This Row],[X]]-$AF$4)^2+(Tabela7[[#This Row],[Y]]-$AF$5)^2),"")</f>
        <v/>
      </c>
      <c r="AC25" s="9">
        <f>IFERROR(VLOOKUP(Tabela7[[#This Row],[CONDUTOR]],CONDUTORES,2,0),"")</f>
        <v>63</v>
      </c>
    </row>
    <row r="26" spans="1:33" x14ac:dyDescent="0.3">
      <c r="A26" s="172" t="s">
        <v>323</v>
      </c>
      <c r="B26" s="70" t="str">
        <f>IFERROR(VLOOKUP(A26,PROJ1!A26:C68,2,0),"")</f>
        <v/>
      </c>
      <c r="C26" s="54"/>
      <c r="D26" s="54">
        <v>30</v>
      </c>
      <c r="E26" s="154" t="str">
        <f>IFERROR(IF(Tabela7[[#This Row],[PONTO]]="RAMAL","",VLOOKUP(Tabela7[[#This Row],[PONTO]],GERAL[],7,0)),"")</f>
        <v/>
      </c>
      <c r="F26" s="154" t="str">
        <f>IFERROR(IF(Tabela7[[#This Row],[PONTO]]="RAMAL","",VLOOKUP(Tabela7[[#This Row],[PONTO]],GERAL[],4,0)),"")</f>
        <v/>
      </c>
      <c r="G26" s="154" t="str">
        <f>IFERROR(IF(Tabela7[[#This Row],[PONTO]]="RAMAL","",VLOOKUP(Tabela7[[#This Row],[PONTO]],GERAL[],5,0)),"")</f>
        <v/>
      </c>
      <c r="H26" s="55" t="str">
        <f>IFERROR(IF(Tabela7[[#This Row],[PONTO]]="RAMAL",DMDI,VLOOKUP(Tabela7[[#This Row],[PONTO]],GERAL[],8,0)),"")</f>
        <v/>
      </c>
      <c r="I26" s="55" t="str">
        <f>IF(Tabela7[[#This Row],[PONTO]]="","",IFERROR(IF(Tabela7[[#This Row],[PONTO]]="RAMAL",Tabela7[[#This Row],[KVA PONTO]],VLOOKUP(Tabela7[[#This Row],[PONTO]],GERAL[],9,0)),""))</f>
        <v/>
      </c>
      <c r="J26" s="55" t="s">
        <v>97</v>
      </c>
      <c r="K26" s="61" t="str">
        <f>IFERROR(Tabela7[[#This Row],[Ib]],"")</f>
        <v/>
      </c>
      <c r="L26" s="117" t="str">
        <f>IFERROR(IFERROR(Tabela7[[#This Row],[ACUMULADA]]/((IF(Tabela7[[#This Row],[FASE]]="MONO",T_LINHA_MONO,IF(Tabela7[[#This Row],[FASE]]="BIF",T_LINHA_TRF,T_LINHA_TRF*SQRT(3)))/1000)*VLOOKUP(Tabela7[[#This Row],[CONDUTOR]],CABOS[],9,0))+30,W26+60*(X26/Z26)),"")</f>
        <v/>
      </c>
      <c r="M26" s="68" t="str">
        <f>IFERROR((VLOOKUP(Tabela7[[#This Row],[CONDUTOR]],CABOS[],3,0)/VLOOKUP(Tabela7[[#This Row],[CONDUTOR]],CABOS[],6,0))*(1+VLOOKUP(Tabela7[[#This Row],[CONDUTOR]],CABOS[],5,0)*(Tabela7[[#This Row],[T]]-20)),"")</f>
        <v/>
      </c>
      <c r="N26" s="62" t="str">
        <f>IFERROR(IF(Tabela7[[#This Row],[FASE]]="MONO",6,IF(Tabela7[[#This Row],[FASE]]="BIF",2,1))*Tabela7[[#This Row],[ACUMULADA]]*(SQRT(Tabela7[[#This Row],[R CORR]]^2+VLOOKUP(Tabela7[[#This Row],[CONDUTOR]],CABOS[],4,0)^2)/(($R$7^2)/100))*Tabela7[[#This Row],[M]]*T_LINHA_MONO/100+IF(Tabela7[[#This Row],[TRECHO]]=0,T_LINHA_MONO*QT_MTTR,0),"")</f>
        <v/>
      </c>
      <c r="O26" s="116" t="str">
        <f>IF(Tabela7[[#This Row],[PONTO]]="","",IFERROR(SUMIF(Tabela7[PONTO],Tabela7[[#This Row],[TRECHO]],Tabela7[Coluna1])+Tabela7[[#This Row],[QT-PONTO]],""))</f>
        <v/>
      </c>
      <c r="P26" s="56" t="str">
        <f>IFERROR(Tabela7[[#This Row],[Coluna1]]/T_LINHA_MONO,"")</f>
        <v/>
      </c>
      <c r="Q26" s="55" t="str">
        <f>IFERROR(T_LINHA_MONO*(1-Tabela7[[#This Row],[QT %]]),"")</f>
        <v/>
      </c>
      <c r="R26" s="55" t="str">
        <f>IFERROR(T_LINHA_TRF*(1-Tabela7[[#This Row],[QT %]]),"")</f>
        <v/>
      </c>
      <c r="S26" s="67" t="str">
        <f>IFERROR(IF(Tabela7[[#This Row],[PROTECAO]]="OK","Protecao OK","Ajustar Disj/Condutor"),"")</f>
        <v>Ajustar Disj/Condutor</v>
      </c>
      <c r="T26" s="72" t="str">
        <f>IF(Tabela7[[#This Row],[ETA]]=1,"MONO",IF(Tabela7[[#This Row],[ETA]]=2,"BIF","TRI"))</f>
        <v>TRI</v>
      </c>
      <c r="U26" s="72">
        <v>3</v>
      </c>
      <c r="V26" s="72" t="str">
        <f t="shared" si="0"/>
        <v>AEREO</v>
      </c>
      <c r="W26" s="72">
        <v>24</v>
      </c>
      <c r="X26" s="72" t="str">
        <f>IFERROR(IF(Tabela7[[#This Row],[FASE]]="MONO",Tabela7[[#This Row],[ACUMULADA]]*1000/(T_LINHA_TRF*Tabela7[[#This Row],[ETA]]),Tabela7[[#This Row],[ACUMULADA]]*1000/(SQRT(3)*$R$7*Tabela7[[#This Row],[ETA]])),"")</f>
        <v/>
      </c>
      <c r="Y26" s="72" t="str">
        <f>IFERROR(VLOOKUP(Tabela7[[#This Row],[Ib]],TabelaDisjuntores[],2,TRUE),"")</f>
        <v/>
      </c>
      <c r="Z26" s="72">
        <f>IFERROR(VLOOKUP(Tabela7[[#This Row],[CONDUTOR]],CABOS[],2,0),"")</f>
        <v>63</v>
      </c>
      <c r="AA26" s="72" t="str">
        <f>IF(AND(Tabela7[[#This Row],[Ib]]&lt;=Tabela7[[#This Row],[In]],Tabela7[[#This Row],[In]]&lt;=Tabela7[[#This Row],[Iz]]),"OK","VERIFICAR")</f>
        <v>VERIFICAR</v>
      </c>
      <c r="AB26" s="97" t="str">
        <f>IFERROR(SQRT((Tabela7[[#This Row],[X]]-$AF$4)^2+(Tabela7[[#This Row],[Y]]-$AF$5)^2),"")</f>
        <v/>
      </c>
      <c r="AC26" s="9">
        <f>IFERROR(VLOOKUP(Tabela7[[#This Row],[CONDUTOR]],CONDUTORES,2,0),"")</f>
        <v>63</v>
      </c>
    </row>
    <row r="27" spans="1:33" x14ac:dyDescent="0.3">
      <c r="A27" s="172"/>
      <c r="B27" s="70" t="str">
        <f>IFERROR(VLOOKUP(A27,PROJ1!A27:C69,2,0),"")</f>
        <v/>
      </c>
      <c r="C27" s="70"/>
      <c r="D27" s="70"/>
      <c r="E27" s="176"/>
      <c r="F27" s="176"/>
      <c r="G27" s="176"/>
      <c r="H27" s="71"/>
      <c r="I27" s="71"/>
      <c r="J27" s="71"/>
      <c r="K27" s="180"/>
      <c r="L27" s="181"/>
      <c r="M27" s="182"/>
      <c r="N27" s="183"/>
      <c r="O27" s="184"/>
      <c r="P27" s="185"/>
      <c r="Q27" s="71"/>
      <c r="R27" s="71"/>
      <c r="S27" s="177"/>
      <c r="T27" s="178"/>
      <c r="U27" s="178"/>
      <c r="V27" s="178"/>
      <c r="W27" s="178"/>
      <c r="X27" s="178"/>
      <c r="Y27" s="178"/>
      <c r="Z27" s="178"/>
      <c r="AA27" s="178"/>
      <c r="AB27" s="179"/>
    </row>
  </sheetData>
  <mergeCells count="26">
    <mergeCell ref="U5:U6"/>
    <mergeCell ref="Q5:Q6"/>
    <mergeCell ref="S5:S6"/>
    <mergeCell ref="C5:C6"/>
    <mergeCell ref="A5:A6"/>
    <mergeCell ref="B5:B6"/>
    <mergeCell ref="I5:I6"/>
    <mergeCell ref="J5:J6"/>
    <mergeCell ref="F5:G5"/>
    <mergeCell ref="D5:D6"/>
    <mergeCell ref="B2:B3"/>
    <mergeCell ref="D2:D3"/>
    <mergeCell ref="G2:G3"/>
    <mergeCell ref="AE16:AG19"/>
    <mergeCell ref="AE2:AF3"/>
    <mergeCell ref="C2:C3"/>
    <mergeCell ref="H5:H6"/>
    <mergeCell ref="F2:F3"/>
    <mergeCell ref="N5:N6"/>
    <mergeCell ref="P5:P6"/>
    <mergeCell ref="O5:O6"/>
    <mergeCell ref="AC5:AC6"/>
    <mergeCell ref="AG2:AH3"/>
    <mergeCell ref="AG4:AH4"/>
    <mergeCell ref="AB5:AB6"/>
    <mergeCell ref="K5:K6"/>
  </mergeCells>
  <phoneticPr fontId="34" type="noConversion"/>
  <conditionalFormatting sqref="S8:AA27">
    <cfRule type="cellIs" dxfId="27" priority="1" operator="equal">
      <formula>"Condutor Suporta Amperagem"</formula>
    </cfRule>
    <cfRule type="cellIs" dxfId="26" priority="2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5"/>
  <dimension ref="A1:AG36"/>
  <sheetViews>
    <sheetView zoomScaleNormal="100" workbookViewId="0">
      <pane ySplit="7" topLeftCell="A8" activePane="bottomLeft" state="frozen"/>
      <selection activeCell="A35" sqref="A35:Y35"/>
      <selection pane="bottomLeft" activeCell="C25" sqref="C25"/>
    </sheetView>
  </sheetViews>
  <sheetFormatPr defaultRowHeight="14.4" x14ac:dyDescent="0.3"/>
  <cols>
    <col min="2" max="2" width="11.6640625" bestFit="1" customWidth="1"/>
    <col min="3" max="3" width="12.6640625" customWidth="1"/>
    <col min="4" max="4" width="9.5546875" customWidth="1"/>
    <col min="5" max="5" width="8.6640625" customWidth="1"/>
    <col min="6" max="6" width="10.44140625" bestFit="1" customWidth="1"/>
    <col min="7" max="7" width="13.33203125" customWidth="1"/>
    <col min="8" max="8" width="10.33203125" customWidth="1"/>
    <col min="9" max="9" width="8.88671875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7.5546875" hidden="1" customWidth="1"/>
    <col min="19" max="19" width="20.6640625" hidden="1" customWidth="1"/>
    <col min="20" max="20" width="9" hidden="1" customWidth="1"/>
    <col min="21" max="21" width="8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bestFit="1" customWidth="1"/>
    <col min="30" max="30" width="4.6640625" customWidth="1"/>
    <col min="31" max="31" width="13.21875" customWidth="1"/>
    <col min="32" max="32" width="11.33203125" customWidth="1"/>
  </cols>
  <sheetData>
    <row r="1" spans="1:33" x14ac:dyDescent="0.3">
      <c r="J1" s="118" t="s">
        <v>94</v>
      </c>
    </row>
    <row r="2" spans="1:33" x14ac:dyDescent="0.3">
      <c r="B2" s="259" t="s">
        <v>237</v>
      </c>
      <c r="C2" s="263">
        <f>Q23</f>
        <v>112.16386085744891</v>
      </c>
      <c r="D2" s="260">
        <f>P23</f>
        <v>0.11693861009914737</v>
      </c>
      <c r="E2" s="170"/>
      <c r="F2" s="215"/>
      <c r="G2" s="215"/>
      <c r="H2" s="63"/>
      <c r="J2" s="118" t="s">
        <v>97</v>
      </c>
      <c r="AE2" s="204" t="s">
        <v>36</v>
      </c>
      <c r="AF2" s="205"/>
    </row>
    <row r="3" spans="1:33" x14ac:dyDescent="0.3">
      <c r="B3" s="266"/>
      <c r="C3" s="261"/>
      <c r="D3" s="261"/>
      <c r="E3" s="170"/>
      <c r="F3" s="209"/>
      <c r="G3" s="209"/>
      <c r="H3" s="63"/>
      <c r="AE3" s="206"/>
      <c r="AF3" s="206"/>
    </row>
    <row r="4" spans="1:33" x14ac:dyDescent="0.3">
      <c r="AE4" s="11" t="s">
        <v>26</v>
      </c>
      <c r="AF4" s="13">
        <f>IFERROR(SUMPRODUCT(I8:I22,F8:F22)/SUM(I8:I22),"INSERIR DADOS")</f>
        <v>0</v>
      </c>
    </row>
    <row r="5" spans="1:33" ht="13.8" customHeight="1" x14ac:dyDescent="0.3">
      <c r="A5" s="259" t="s">
        <v>322</v>
      </c>
      <c r="B5" s="259" t="s">
        <v>13</v>
      </c>
      <c r="C5" s="220" t="s">
        <v>238</v>
      </c>
      <c r="D5" s="220" t="s">
        <v>330</v>
      </c>
      <c r="E5" s="220" t="s">
        <v>321</v>
      </c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>
        <f>IFERROR(SUMPRODUCT(I8:I11,G8:G11)/SUM(I8:I11),"INSERIR DADOS")</f>
        <v>0</v>
      </c>
    </row>
    <row r="6" spans="1:33" ht="34.200000000000003" customHeight="1" x14ac:dyDescent="0.3">
      <c r="A6" s="209"/>
      <c r="B6" s="266"/>
      <c r="C6" s="209"/>
      <c r="D6" s="265"/>
      <c r="E6" s="265"/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3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  <c r="AE7" t="s">
        <v>265</v>
      </c>
    </row>
    <row r="8" spans="1:33" x14ac:dyDescent="0.3">
      <c r="A8" s="172" t="s">
        <v>311</v>
      </c>
      <c r="B8" s="54">
        <f>PROJ1!B9</f>
        <v>1</v>
      </c>
      <c r="C8" s="54">
        <f>IFERROR(IF(DIR_ATUAL[[#This Row],[PONTO]]="RAMAL",B7,VLOOKUP(DIR_ATUAL[[#This Row],[PONTO]],GERAL[],2,0)),"")</f>
        <v>0</v>
      </c>
      <c r="D8" s="154">
        <f>IFERROR(IF(DIR_ATUAL[[#This Row],[PONTO]]="RAMAL",15,VLOOKUP(DIR_ATUAL[[#This Row],[PONTO]],GERAL[],3,0)),"")</f>
        <v>4</v>
      </c>
      <c r="E8" s="154">
        <f>IFERROR(IF(DIR_ATUAL[[#This Row],[PONTO]]="RAMAL","",VLOOKUP(DIR_ATUAL[[#This Row],[PONTO]],GERAL[],7,0)),"")</f>
        <v>90</v>
      </c>
      <c r="F8" s="154">
        <f>IFERROR(IF(DIR_ATUAL[[#This Row],[PONTO]]="RAMAL","",VLOOKUP(DIR_ATUAL[[#This Row],[PONTO]],GERAL[],4,0)),"")</f>
        <v>0</v>
      </c>
      <c r="G8" s="154">
        <f>IFERROR(IF(DIR_ATUAL[[#This Row],[PONTO]]="RAMAL","",VLOOKUP(DIR_ATUAL[[#This Row],[PONTO]],GERAL[],5,0)),"")</f>
        <v>0</v>
      </c>
      <c r="H8" s="55">
        <f>IFERROR(IF(DIR_ATUAL[[#This Row],[PONTO]]="RAMAL",DMDI,VLOOKUP(DIR_ATUAL[[#This Row],[PONTO]],GERAL[],8,0)),"")</f>
        <v>7.2943999999999996</v>
      </c>
      <c r="I8" s="55">
        <f>IFERROR(IF(DIR_ATUAL[[#This Row],[PONTO]]="RAMAL",DIR_ATUAL[[#This Row],[KVA PONTO]],VLOOKUP(DIR_ATUAL[[#This Row],[PONTO]],GERAL[],9,0)),"")</f>
        <v>127.70729411764684</v>
      </c>
      <c r="J8" s="55" t="str">
        <f>IFERROR(VLOOKUP(DIR_ATUAL[[#This Row],[PONTO]],GERAL[],12,0),"")</f>
        <v>240 Cu</v>
      </c>
      <c r="K8" s="61">
        <f>IFERROR(DIR_ATUAL[[#This Row],[Ib]],"")</f>
        <v>111.7149100550032</v>
      </c>
      <c r="L8" s="117">
        <f>IFERROR(IFERROR(DIR_ATUAL[[#This Row],[ACUMULADA]]/((IF(DIR_ATUAL[[#This Row],[FASE]]="MONO",T_LINHA_MONO,IF(DIR_ATUAL[[#This Row],[FASE]]="BIF",T_LINHA_TRF,T_LINHA_TRF*SQRT(3)))/1000)*VLOOKUP(DIR_ATUAL[[#This Row],[CONDUTOR]],CABOS[],9,0))+30,W8+60*(X8/Z8)),"")</f>
        <v>76.764380953257159</v>
      </c>
      <c r="M8" s="68">
        <f>IFERROR((VLOOKUP(DIR_ATUAL[[#This Row],[CONDUTOR]],CABOS[],3,0)/VLOOKUP(DIR_ATUAL[[#This Row],[CONDUTOR]],CABOS[],6,0))*(1+VLOOKUP(DIR_ATUAL[[#This Row],[CONDUTOR]],CABOS[],5,0)*(DIR_ATUAL[[#This Row],[T]]-20)),"")</f>
        <v>9.9277857246209786E-2</v>
      </c>
      <c r="N8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6.2886815082202769</v>
      </c>
      <c r="O8" s="116">
        <f>IF(DIR_ATUAL[[#This Row],[PONTO]]="","",IFERROR(SUMIF(DIR_ATUAL[PONTO],DIR_ATUAL[[#This Row],[TRECHO]],DIR_ATUAL[Coluna1])+DIR_ATUAL[[#This Row],[QT-PONTO]],""))</f>
        <v>6.2886815082202769</v>
      </c>
      <c r="P8" s="56">
        <f>IFERROR(DIR_ATUAL[[#This Row],[Coluna1]]/T_LINHA_MONO,"")</f>
        <v>4.951052674934725E-2</v>
      </c>
      <c r="Q8" s="55">
        <f>IFERROR(T_LINHA_MONO*(1-DIR_ATUAL[[#This Row],[QT %]]),"")</f>
        <v>120.72837771349741</v>
      </c>
      <c r="R8" s="55">
        <f>IFERROR(T_LINHA_TRF*(1-DIR_ATUAL[[#This Row],[QT %]]),"")</f>
        <v>209.10768411514363</v>
      </c>
      <c r="S8" s="67" t="str">
        <f>IFERROR(IF(DIR_ATUAL[[#This Row],[PROTECAO]]="OK","Protecao OK","Ajustar Disj/Condutor"),"")</f>
        <v>Ajustar Disj/Condutor</v>
      </c>
      <c r="T8" s="72" t="str">
        <f>IF(DIR_ATUAL[[#This Row],[ETA]]=1,"MONO",IF(DIR_ATUAL[[#This Row],[ETA]]=2,"BIF","TRI"))</f>
        <v>TRI</v>
      </c>
      <c r="U8" s="72">
        <v>3</v>
      </c>
      <c r="V8" s="72" t="str">
        <f t="shared" ref="V8:V25" si="0">"AEREO"</f>
        <v>AEREO</v>
      </c>
      <c r="W8" s="72">
        <v>20</v>
      </c>
      <c r="X8" s="72">
        <f>IFERROR(IF(DIR_ATUAL[[#This Row],[FASE]]="MONO",DIR_ATUAL[[#This Row],[ACUMULADA]]*1000/(T_LINHA_TRF*DIR_ATUAL[[#This Row],[ETA]]),DIR_ATUAL[[#This Row],[ACUMULADA]]*1000/(SQRT(3)*$R$7*DIR_ATUAL[[#This Row],[ETA]])),"")</f>
        <v>111.7149100550032</v>
      </c>
      <c r="Y8" s="72">
        <f>IFERROR(VLOOKUP(DIR_ATUAL[[#This Row],[Ib]],TabelaDisjuntores[],2,TRUE),"")</f>
        <v>100</v>
      </c>
      <c r="Z8" s="72">
        <f>IFERROR(VLOOKUP(DIR_ATUAL[[#This Row],[CONDUTOR]],CABOS[],2,0),"")</f>
        <v>430</v>
      </c>
      <c r="AA8" s="72" t="str">
        <f>IF(AND(DIR_ATUAL[[#This Row],[Ib]]&lt;=DIR_ATUAL[[#This Row],[In]],DIR_ATUAL[[#This Row],[In]]&lt;=DIR_ATUAL[[#This Row],[Iz]]),"OK","VERIFICAR")</f>
        <v>VERIFICAR</v>
      </c>
      <c r="AB8" s="97">
        <f>IFERROR(SQRT((DIR_ATUAL[[#This Row],[X]]-$AF$4)^2+(DIR_ATUAL[[#This Row],[Y]]-$AF$5)^2),0)</f>
        <v>0</v>
      </c>
      <c r="AC8" s="9">
        <f>IFERROR(VLOOKUP(DIR_ATUAL[[#This Row],[CONDUTOR]],CONDUTORES,2,0),"")</f>
        <v>430</v>
      </c>
    </row>
    <row r="9" spans="1:33" x14ac:dyDescent="0.3">
      <c r="A9" s="54" t="s">
        <v>363</v>
      </c>
      <c r="B9" s="130">
        <v>5</v>
      </c>
      <c r="C9" s="54">
        <f>IFERROR(IF(DIR_ATUAL[[#This Row],[PONTO]]="RAMAL",B8,VLOOKUP(DIR_ATUAL[[#This Row],[PONTO]],GERAL[],2,0)),"")</f>
        <v>1</v>
      </c>
      <c r="D9" s="154">
        <f>IFERROR(IF(DIR_ATUAL[[#This Row],[PONTO]]="RAMAL",15,VLOOKUP(DIR_ATUAL[[#This Row],[PONTO]],GERAL[],3,0)),"")</f>
        <v>16</v>
      </c>
      <c r="E9" s="154">
        <f>IFERROR(IF(DIR_ATUAL[[#This Row],[PONTO]]="RAMAL","",VLOOKUP(DIR_ATUAL[[#This Row],[PONTO]],GERAL[],7,0)),"")</f>
        <v>63</v>
      </c>
      <c r="F9" s="154">
        <f>IFERROR(IF(DIR_ATUAL[[#This Row],[PONTO]]="RAMAL","",VLOOKUP(DIR_ATUAL[[#This Row],[PONTO]],GERAL[],4,0)),"")</f>
        <v>0</v>
      </c>
      <c r="G9" s="154">
        <f>IFERROR(IF(DIR_ATUAL[[#This Row],[PONTO]]="RAMAL","",VLOOKUP(DIR_ATUAL[[#This Row],[PONTO]],GERAL[],5,0)),"")</f>
        <v>0</v>
      </c>
      <c r="H9" s="55">
        <f>IFERROR(IF(DIR_ATUAL[[#This Row],[PONTO]]="RAMAL",DMDI,VLOOKUP(DIR_ATUAL[[#This Row],[PONTO]],GERAL[],8,0)),"")</f>
        <v>28.387999999999998</v>
      </c>
      <c r="I9" s="55">
        <f>IFERROR(IF(DIR_ATUAL[[#This Row],[PONTO]]="RAMAL",DIR_ATUAL[[#This Row],[KVA PONTO]],VLOOKUP(DIR_ATUAL[[#This Row],[PONTO]],GERAL[],9,0)),"")</f>
        <v>80.125599999999991</v>
      </c>
      <c r="J9" s="55" t="str">
        <f>IFERROR(VLOOKUP(DIR_ATUAL[[#This Row],[PONTO]],GERAL[],12,0),"")</f>
        <v>53 AA</v>
      </c>
      <c r="K9" s="61">
        <f>IFERROR(DIR_ATUAL[[#This Row],[Ib]],"")</f>
        <v>70.091722316636776</v>
      </c>
      <c r="L9" s="117">
        <f>IFERROR(IFERROR(DIR_ATUAL[[#This Row],[ACUMULADA]]/((IF(DIR_ATUAL[[#This Row],[FASE]]="MONO",T_LINHA_MONO,IF(DIR_ATUAL[[#This Row],[FASE]]="BIF",T_LINHA_TRF,T_LINHA_TRF*SQRT(3)))/1000)*VLOOKUP(DIR_ATUAL[[#This Row],[CONDUTOR]],CABOS[],9,0))+30,W9+60*(X9/Z9)),"")</f>
        <v>107.40190194475228</v>
      </c>
      <c r="M9" s="68">
        <f>IFERROR((VLOOKUP(DIR_ATUAL[[#This Row],[CONDUTOR]],CABOS[],3,0)/VLOOKUP(DIR_ATUAL[[#This Row],[CONDUTOR]],CABOS[],6,0))*(1+VLOOKUP(DIR_ATUAL[[#This Row],[CONDUTOR]],CABOS[],5,0)*(DIR_ATUAL[[#This Row],[T]]-20)),"")</f>
        <v>0.70042564575187993</v>
      </c>
      <c r="N9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2.3974368362550509</v>
      </c>
      <c r="O9" s="116">
        <f>IF(DIR_ATUAL[[#This Row],[PONTO]]="","",IFERROR(SUMIF(DIR_ATUAL[PONTO],DIR_ATUAL[[#This Row],[TRECHO]],DIR_ATUAL[Coluna1])+DIR_ATUAL[[#This Row],[QT-PONTO]],""))</f>
        <v>8.6861183444753287</v>
      </c>
      <c r="P9" s="56">
        <f>IFERROR(DIR_ATUAL[[#This Row],[Coluna1]]/T_LINHA_MONO,"")</f>
        <v>6.8385446787215143E-2</v>
      </c>
      <c r="Q9" s="55">
        <f>IFERROR(T_LINHA_MONO*(1-DIR_ATUAL[[#This Row],[QT %]]),"")</f>
        <v>118.33094087724234</v>
      </c>
      <c r="R9" s="55">
        <f>IFERROR(T_LINHA_TRF*(1-DIR_ATUAL[[#This Row],[QT %]]),"")</f>
        <v>204.95520170681266</v>
      </c>
      <c r="S9" s="67" t="str">
        <f>IFERROR(IF(DIR_ATUAL[[#This Row],[PROTECAO]]="OK","Protecao OK","Ajustar Disj/Condutor"),"")</f>
        <v>Ajustar Disj/Condutor</v>
      </c>
      <c r="T9" s="72" t="str">
        <f>IF(DIR_ATUAL[[#This Row],[ETA]]=1,"MONO",IF(DIR_ATUAL[[#This Row],[ETA]]=2,"BIF","TRI"))</f>
        <v>TRI</v>
      </c>
      <c r="U9" s="72">
        <v>3</v>
      </c>
      <c r="V9" s="72" t="str">
        <f t="shared" si="0"/>
        <v>AEREO</v>
      </c>
      <c r="W9" s="72">
        <v>21</v>
      </c>
      <c r="X9" s="72">
        <f>IFERROR(IF(DIR_ATUAL[[#This Row],[FASE]]="MONO",DIR_ATUAL[[#This Row],[ACUMULADA]]*1000/(T_LINHA_TRF*DIR_ATUAL[[#This Row],[ETA]]),DIR_ATUAL[[#This Row],[ACUMULADA]]*1000/(SQRT(3)*$R$7*DIR_ATUAL[[#This Row],[ETA]])),"")</f>
        <v>70.091722316636776</v>
      </c>
      <c r="Y9" s="72">
        <f>IFERROR(VLOOKUP(DIR_ATUAL[[#This Row],[Ib]],TabelaDisjuntores[],2,TRUE),"")</f>
        <v>63</v>
      </c>
      <c r="Z9" s="72">
        <f>IFERROR(VLOOKUP(DIR_ATUAL[[#This Row],[CONDUTOR]],CABOS[],2,0),"")</f>
        <v>163</v>
      </c>
      <c r="AA9" s="72" t="str">
        <f>IF(AND(DIR_ATUAL[[#This Row],[Ib]]&lt;=DIR_ATUAL[[#This Row],[In]],DIR_ATUAL[[#This Row],[In]]&lt;=DIR_ATUAL[[#This Row],[Iz]]),"OK","VERIFICAR")</f>
        <v>VERIFICAR</v>
      </c>
      <c r="AB9" s="97">
        <f>IFERROR(SQRT((DIR_ATUAL[[#This Row],[X]]-$AF$4)^2+(DIR_ATUAL[[#This Row],[Y]]-$AF$5)^2),0)</f>
        <v>0</v>
      </c>
      <c r="AC9" s="9">
        <f>IFERROR(VLOOKUP(DIR_ATUAL[[#This Row],[CONDUTOR]],CONDUTORES,2,0),"")</f>
        <v>163</v>
      </c>
      <c r="AE9" t="s">
        <v>15</v>
      </c>
      <c r="AF9" t="s">
        <v>266</v>
      </c>
    </row>
    <row r="10" spans="1:33" x14ac:dyDescent="0.3">
      <c r="A10" s="172" t="s">
        <v>315</v>
      </c>
      <c r="B10" s="130">
        <v>6</v>
      </c>
      <c r="C10" s="54">
        <f>IFERROR(IF(DIR_ATUAL[[#This Row],[PONTO]]="RAMAL",B9,VLOOKUP(DIR_ATUAL[[#This Row],[PONTO]],GERAL[],2,0)),"")</f>
        <v>5</v>
      </c>
      <c r="D10" s="154">
        <f>IFERROR(IF(DIR_ATUAL[[#This Row],[PONTO]]="RAMAL",15,VLOOKUP(DIR_ATUAL[[#This Row],[PONTO]],GERAL[],3,0)),"")</f>
        <v>3</v>
      </c>
      <c r="E10" s="154">
        <f>IFERROR(IF(DIR_ATUAL[[#This Row],[PONTO]]="RAMAL","",VLOOKUP(DIR_ATUAL[[#This Row],[PONTO]],GERAL[],7,0)),"")</f>
        <v>45</v>
      </c>
      <c r="F10" s="154">
        <f>IFERROR(IF(DIR_ATUAL[[#This Row],[PONTO]]="RAMAL","",VLOOKUP(DIR_ATUAL[[#This Row],[PONTO]],GERAL[],4,0)),"")</f>
        <v>0</v>
      </c>
      <c r="G10" s="154">
        <f>IFERROR(IF(DIR_ATUAL[[#This Row],[PONTO]]="RAMAL","",VLOOKUP(DIR_ATUAL[[#This Row],[PONTO]],GERAL[],5,0)),"")</f>
        <v>0</v>
      </c>
      <c r="H10" s="55">
        <f>IFERROR(IF(DIR_ATUAL[[#This Row],[PONTO]]="RAMAL",DMDI,VLOOKUP(DIR_ATUAL[[#This Row],[PONTO]],GERAL[],8,0)),"")</f>
        <v>0</v>
      </c>
      <c r="I10" s="55">
        <f>IFERROR(IF(DIR_ATUAL[[#This Row],[PONTO]]="RAMAL",DIR_ATUAL[[#This Row],[KVA PONTO]],VLOOKUP(DIR_ATUAL[[#This Row],[PONTO]],GERAL[],9,0)),"")</f>
        <v>61.175199999999997</v>
      </c>
      <c r="J10" s="55" t="str">
        <f>IFERROR(VLOOKUP(DIR_ATUAL[[#This Row],[PONTO]],GERAL[],12,0),"")</f>
        <v>53 AA</v>
      </c>
      <c r="K10" s="61">
        <f>IFERROR(DIR_ATUAL[[#This Row],[Ib]],"")</f>
        <v>53.514421496559379</v>
      </c>
      <c r="L10" s="117">
        <f>IFERROR(IFERROR(DIR_ATUAL[[#This Row],[ACUMULADA]]/((IF(DIR_ATUAL[[#This Row],[FASE]]="MONO",T_LINHA_MONO,IF(DIR_ATUAL[[#This Row],[FASE]]="BIF",T_LINHA_TRF,T_LINHA_TRF*SQRT(3)))/1000)*VLOOKUP(DIR_ATUAL[[#This Row],[CONDUTOR]],CABOS[],9,0))+30,W10+60*(X10/Z10)),"")</f>
        <v>89.095680180249644</v>
      </c>
      <c r="M10" s="68">
        <f>IFERROR((VLOOKUP(DIR_ATUAL[[#This Row],[CONDUTOR]],CABOS[],3,0)/VLOOKUP(DIR_ATUAL[[#This Row],[CONDUTOR]],CABOS[],6,0))*(1+VLOOKUP(DIR_ATUAL[[#This Row],[CONDUTOR]],CABOS[],5,0)*(DIR_ATUAL[[#This Row],[T]]-20)),"")</f>
        <v>0.66221227522583759</v>
      </c>
      <c r="N10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0.32513125715426666</v>
      </c>
      <c r="O10" s="116">
        <f>IF(DIR_ATUAL[[#This Row],[PONTO]]="","",IFERROR(SUMIF(DIR_ATUAL[PONTO],DIR_ATUAL[[#This Row],[TRECHO]],DIR_ATUAL[Coluna1])+DIR_ATUAL[[#This Row],[QT-PONTO]],""))</f>
        <v>9.0112496016295953</v>
      </c>
      <c r="P10" s="56">
        <f>IFERROR(DIR_ATUAL[[#This Row],[Coluna1]]/T_LINHA_MONO,"")</f>
        <v>7.0945191589578474E-2</v>
      </c>
      <c r="Q10" s="55">
        <f>IFERROR(T_LINHA_MONO*(1-DIR_ATUAL[[#This Row],[QT %]]),"")</f>
        <v>118.00580962008807</v>
      </c>
      <c r="R10" s="55">
        <f>IFERROR(T_LINHA_TRF*(1-DIR_ATUAL[[#This Row],[QT %]]),"")</f>
        <v>204.39205785029273</v>
      </c>
      <c r="S10" s="67" t="str">
        <f>IFERROR(IF(DIR_ATUAL[[#This Row],[PROTECAO]]="OK","Protecao OK","Ajustar Disj/Condutor"),"")</f>
        <v>Ajustar Disj/Condutor</v>
      </c>
      <c r="T10" s="72" t="str">
        <f>IF(DIR_ATUAL[[#This Row],[ETA]]=1,"MONO",IF(DIR_ATUAL[[#This Row],[ETA]]=2,"BIF","TRI"))</f>
        <v>TRI</v>
      </c>
      <c r="U10" s="72">
        <v>3</v>
      </c>
      <c r="V10" s="72" t="str">
        <f t="shared" si="0"/>
        <v>AEREO</v>
      </c>
      <c r="W10" s="72">
        <v>22</v>
      </c>
      <c r="X10" s="72">
        <f>IFERROR(IF(DIR_ATUAL[[#This Row],[FASE]]="MONO",DIR_ATUAL[[#This Row],[ACUMULADA]]*1000/(T_LINHA_TRF*DIR_ATUAL[[#This Row],[ETA]]),DIR_ATUAL[[#This Row],[ACUMULADA]]*1000/(SQRT(3)*$R$7*DIR_ATUAL[[#This Row],[ETA]])),"")</f>
        <v>53.514421496559379</v>
      </c>
      <c r="Y10" s="72">
        <f>IFERROR(VLOOKUP(DIR_ATUAL[[#This Row],[Ib]],TabelaDisjuntores[],2,TRUE),"")</f>
        <v>50</v>
      </c>
      <c r="Z10" s="72">
        <f>IFERROR(VLOOKUP(DIR_ATUAL[[#This Row],[CONDUTOR]],CABOS[],2,0),"")</f>
        <v>163</v>
      </c>
      <c r="AA10" s="72" t="str">
        <f>IF(AND(DIR_ATUAL[[#This Row],[Ib]]&lt;=DIR_ATUAL[[#This Row],[In]],DIR_ATUAL[[#This Row],[In]]&lt;=DIR_ATUAL[[#This Row],[Iz]]),"OK","VERIFICAR")</f>
        <v>VERIFICAR</v>
      </c>
      <c r="AB10" s="97">
        <f>IFERROR(SQRT((DIR_ATUAL[[#This Row],[X]]-$AF$4)^2+(DIR_ATUAL[[#This Row],[Y]]-$AF$5)^2),0)</f>
        <v>0</v>
      </c>
      <c r="AC10" s="9">
        <f>IFERROR(VLOOKUP(DIR_ATUAL[[#This Row],[CONDUTOR]],CONDUTORES,2,0),"")</f>
        <v>163</v>
      </c>
      <c r="AE10" t="s">
        <v>267</v>
      </c>
      <c r="AF10" t="s">
        <v>268</v>
      </c>
    </row>
    <row r="11" spans="1:33" x14ac:dyDescent="0.3">
      <c r="A11" s="54" t="s">
        <v>316</v>
      </c>
      <c r="B11" s="130">
        <v>7</v>
      </c>
      <c r="C11" s="54">
        <f>IFERROR(IF(DIR_ATUAL[[#This Row],[PONTO]]="RAMAL",B10,VLOOKUP(DIR_ATUAL[[#This Row],[PONTO]],GERAL[],2,0)),"")</f>
        <v>6</v>
      </c>
      <c r="D11" s="154">
        <f>IFERROR(IF(DIR_ATUAL[[#This Row],[PONTO]]="RAMAL",15,VLOOKUP(DIR_ATUAL[[#This Row],[PONTO]],GERAL[],3,0)),"")</f>
        <v>44</v>
      </c>
      <c r="E11" s="154">
        <f>IFERROR(IF(DIR_ATUAL[[#This Row],[PONTO]]="RAMAL","",VLOOKUP(DIR_ATUAL[[#This Row],[PONTO]],GERAL[],7,0)),"")</f>
        <v>45</v>
      </c>
      <c r="F11" s="154">
        <f>IFERROR(IF(DIR_ATUAL[[#This Row],[PONTO]]="RAMAL","",VLOOKUP(DIR_ATUAL[[#This Row],[PONTO]],GERAL[],4,0)),"")</f>
        <v>0</v>
      </c>
      <c r="G11" s="154">
        <f>IFERROR(IF(DIR_ATUAL[[#This Row],[PONTO]]="RAMAL","",VLOOKUP(DIR_ATUAL[[#This Row],[PONTO]],GERAL[],5,0)),"")</f>
        <v>0</v>
      </c>
      <c r="H11" s="55">
        <f>IFERROR(IF(DIR_ATUAL[[#This Row],[PONTO]]="RAMAL",DMDI,VLOOKUP(DIR_ATUAL[[#This Row],[PONTO]],GERAL[],8,0)),"")</f>
        <v>41.961599999999997</v>
      </c>
      <c r="I11" s="55">
        <f>IFERROR(IF(DIR_ATUAL[[#This Row],[PONTO]]="RAMAL",DIR_ATUAL[[#This Row],[KVA PONTO]],VLOOKUP(DIR_ATUAL[[#This Row],[PONTO]],GERAL[],9,0)),"")</f>
        <v>61.175199999999997</v>
      </c>
      <c r="J11" s="55" t="str">
        <f>IFERROR(VLOOKUP(DIR_ATUAL[[#This Row],[PONTO]],GERAL[],12,0),"")</f>
        <v>70 Al - MX</v>
      </c>
      <c r="K11" s="61">
        <f>IFERROR(DIR_ATUAL[[#This Row],[Ib]],"")</f>
        <v>53.514421496559379</v>
      </c>
      <c r="L11" s="117">
        <f>IFERROR(IFERROR(DIR_ATUAL[[#This Row],[ACUMULADA]]/((IF(DIR_ATUAL[[#This Row],[FASE]]="MONO",T_LINHA_MONO,IF(DIR_ATUAL[[#This Row],[FASE]]="BIF",T_LINHA_TRF,T_LINHA_TRF*SQRT(3)))/1000)*VLOOKUP(DIR_ATUAL[[#This Row],[CONDUTOR]],CABOS[],9,0))+30,W11+60*(X11/Z11)),"")</f>
        <v>77.686118165250946</v>
      </c>
      <c r="M11" s="68">
        <f>IFERROR((VLOOKUP(DIR_ATUAL[[#This Row],[CONDUTOR]],CABOS[],3,0)/VLOOKUP(DIR_ATUAL[[#This Row],[CONDUTOR]],CABOS[],6,0))*(1+VLOOKUP(DIR_ATUAL[[#This Row],[CONDUTOR]],CABOS[],5,0)*(DIR_ATUAL[[#This Row],[T]]-20)),"")</f>
        <v>0.54764920015641216</v>
      </c>
      <c r="N11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3.9696099492660655</v>
      </c>
      <c r="O11" s="116">
        <f>IF(DIR_ATUAL[[#This Row],[PONTO]]="","",IFERROR(SUMIF(DIR_ATUAL[PONTO],DIR_ATUAL[[#This Row],[TRECHO]],DIR_ATUAL[Coluna1])+DIR_ATUAL[[#This Row],[QT-PONTO]],""))</f>
        <v>12.98085955089566</v>
      </c>
      <c r="P11" s="56">
        <f>IFERROR(DIR_ATUAL[[#This Row],[Coluna1]]/T_LINHA_MONO,"")</f>
        <v>0.10219776485485001</v>
      </c>
      <c r="Q11" s="55">
        <f>IFERROR(T_LINHA_MONO*(1-DIR_ATUAL[[#This Row],[QT %]]),"")</f>
        <v>114.03619967082201</v>
      </c>
      <c r="R11" s="55">
        <f>IFERROR(T_LINHA_TRF*(1-DIR_ATUAL[[#This Row],[QT %]]),"")</f>
        <v>197.516491731933</v>
      </c>
      <c r="S11" s="67" t="str">
        <f>IFERROR(IF(DIR_ATUAL[[#This Row],[PROTECAO]]="OK","Protecao OK","Ajustar Disj/Condutor"),"")</f>
        <v>Ajustar Disj/Condutor</v>
      </c>
      <c r="T11" s="72" t="str">
        <f>IF(DIR_ATUAL[[#This Row],[ETA]]=1,"MONO",IF(DIR_ATUAL[[#This Row],[ETA]]=2,"BIF","TRI"))</f>
        <v>TRI</v>
      </c>
      <c r="U11" s="72">
        <v>3</v>
      </c>
      <c r="V11" s="72" t="str">
        <f t="shared" si="0"/>
        <v>AEREO</v>
      </c>
      <c r="W11" s="72">
        <v>23</v>
      </c>
      <c r="X11" s="72">
        <f>IFERROR(IF(DIR_ATUAL[[#This Row],[FASE]]="MONO",DIR_ATUAL[[#This Row],[ACUMULADA]]*1000/(T_LINHA_TRF*DIR_ATUAL[[#This Row],[ETA]]),DIR_ATUAL[[#This Row],[ACUMULADA]]*1000/(SQRT(3)*$R$7*DIR_ATUAL[[#This Row],[ETA]])),"")</f>
        <v>53.514421496559379</v>
      </c>
      <c r="Y11" s="72">
        <f>IFERROR(VLOOKUP(DIR_ATUAL[[#This Row],[Ib]],TabelaDisjuntores[],2,TRUE),"")</f>
        <v>50</v>
      </c>
      <c r="Z11" s="72">
        <f>IFERROR(VLOOKUP(DIR_ATUAL[[#This Row],[CONDUTOR]],CABOS[],2,0),"")</f>
        <v>202</v>
      </c>
      <c r="AA11" s="72" t="str">
        <f>IF(AND(DIR_ATUAL[[#This Row],[Ib]]&lt;=DIR_ATUAL[[#This Row],[In]],DIR_ATUAL[[#This Row],[In]]&lt;=DIR_ATUAL[[#This Row],[Iz]]),"OK","VERIFICAR")</f>
        <v>VERIFICAR</v>
      </c>
      <c r="AB11" s="97">
        <f>IFERROR(SQRT((DIR_ATUAL[[#This Row],[X]]-$AF$4)^2+(DIR_ATUAL[[#This Row],[Y]]-$AF$5)^2),0)</f>
        <v>0</v>
      </c>
      <c r="AC11" s="9">
        <f>IFERROR(VLOOKUP(DIR_ATUAL[[#This Row],[CONDUTOR]],CONDUTORES,2,0),"")</f>
        <v>202</v>
      </c>
      <c r="AE11" t="s">
        <v>33</v>
      </c>
      <c r="AF11" t="s">
        <v>269</v>
      </c>
    </row>
    <row r="12" spans="1:33" x14ac:dyDescent="0.3">
      <c r="A12" s="172" t="s">
        <v>317</v>
      </c>
      <c r="B12" s="130">
        <v>8</v>
      </c>
      <c r="C12" s="54">
        <f>IFERROR(IF(DIR_ATUAL[[#This Row],[PONTO]]="RAMAL",B11,VLOOKUP(DIR_ATUAL[[#This Row],[PONTO]],GERAL[],2,0)),"")</f>
        <v>7</v>
      </c>
      <c r="D12" s="154">
        <f>IFERROR(IF(DIR_ATUAL[[#This Row],[PONTO]]="RAMAL",15,VLOOKUP(DIR_ATUAL[[#This Row],[PONTO]],GERAL[],3,0)),"")</f>
        <v>40</v>
      </c>
      <c r="E12" s="154">
        <f>IFERROR(IF(DIR_ATUAL[[#This Row],[PONTO]]="RAMAL","",VLOOKUP(DIR_ATUAL[[#This Row],[PONTO]],GERAL[],7,0)),"")</f>
        <v>17</v>
      </c>
      <c r="F12" s="154">
        <f>IFERROR(IF(DIR_ATUAL[[#This Row],[PONTO]]="RAMAL","",VLOOKUP(DIR_ATUAL[[#This Row],[PONTO]],GERAL[],4,0)),"")</f>
        <v>0</v>
      </c>
      <c r="G12" s="154">
        <f>IFERROR(IF(DIR_ATUAL[[#This Row],[PONTO]]="RAMAL","",VLOOKUP(DIR_ATUAL[[#This Row],[PONTO]],GERAL[],5,0)),"")</f>
        <v>0</v>
      </c>
      <c r="H12" s="55">
        <f>IFERROR(IF(DIR_ATUAL[[#This Row],[PONTO]]="RAMAL",DMDI,VLOOKUP(DIR_ATUAL[[#This Row],[PONTO]],GERAL[],8,0)),"")</f>
        <v>28.387999999999998</v>
      </c>
      <c r="I12" s="55">
        <f>IFERROR(IF(DIR_ATUAL[[#This Row],[PONTO]]="RAMAL",DIR_ATUAL[[#This Row],[KVA PONTO]],VLOOKUP(DIR_ATUAL[[#This Row],[PONTO]],GERAL[],9,0)),"")</f>
        <v>28.387999999999998</v>
      </c>
      <c r="J12" s="55" t="str">
        <f>IFERROR(VLOOKUP(DIR_ATUAL[[#This Row],[PONTO]],GERAL[],12,0),"")</f>
        <v>70 Al - MX</v>
      </c>
      <c r="K12" s="61">
        <f>IFERROR(DIR_ATUAL[[#This Row],[Ib]],"")</f>
        <v>24.833059760234992</v>
      </c>
      <c r="L12" s="117">
        <f>IFERROR(IFERROR(DIR_ATUAL[[#This Row],[ACUMULADA]]/((IF(DIR_ATUAL[[#This Row],[FASE]]="MONO",T_LINHA_MONO,IF(DIR_ATUAL[[#This Row],[FASE]]="BIF",T_LINHA_TRF,T_LINHA_TRF*SQRT(3)))/1000)*VLOOKUP(DIR_ATUAL[[#This Row],[CONDUTOR]],CABOS[],9,0))+30,W12+60*(X12/Z12)),"")</f>
        <v>52.12846909327871</v>
      </c>
      <c r="M12" s="68">
        <f>IFERROR((VLOOKUP(DIR_ATUAL[[#This Row],[CONDUTOR]],CABOS[],3,0)/VLOOKUP(DIR_ATUAL[[#This Row],[CONDUTOR]],CABOS[],6,0))*(1+VLOOKUP(DIR_ATUAL[[#This Row],[CONDUTOR]],CABOS[],5,0)*(DIR_ATUAL[[#This Row],[T]]-20)),"")</f>
        <v>0.50188242963500251</v>
      </c>
      <c r="N12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1.5420055242168447</v>
      </c>
      <c r="O12" s="116">
        <f>IF(DIR_ATUAL[[#This Row],[PONTO]]="","",IFERROR(SUMIF(DIR_ATUAL[PONTO],DIR_ATUAL[[#This Row],[TRECHO]],DIR_ATUAL[Coluna1])+DIR_ATUAL[[#This Row],[QT-PONTO]],""))</f>
        <v>14.522865075112506</v>
      </c>
      <c r="P12" s="56">
        <f>IFERROR(DIR_ATUAL[[#This Row],[Coluna1]]/T_LINHA_MONO,"")</f>
        <v>0.114337909916193</v>
      </c>
      <c r="Q12" s="55">
        <f>IFERROR(T_LINHA_MONO*(1-DIR_ATUAL[[#This Row],[QT %]]),"")</f>
        <v>112.49419414660517</v>
      </c>
      <c r="R12" s="55">
        <f>IFERROR(T_LINHA_TRF*(1-DIR_ATUAL[[#This Row],[QT %]]),"")</f>
        <v>194.84565981843755</v>
      </c>
      <c r="S12" s="67" t="str">
        <f>IFERROR(IF(DIR_ATUAL[[#This Row],[PROTECAO]]="OK","Protecao OK","Ajustar Disj/Condutor"),"")</f>
        <v>Ajustar Disj/Condutor</v>
      </c>
      <c r="T12" s="72" t="str">
        <f>IF(DIR_ATUAL[[#This Row],[ETA]]=1,"MONO",IF(DIR_ATUAL[[#This Row],[ETA]]=2,"BIF","TRI"))</f>
        <v>TRI</v>
      </c>
      <c r="U12" s="72">
        <v>3</v>
      </c>
      <c r="V12" s="72" t="str">
        <f t="shared" si="0"/>
        <v>AEREO</v>
      </c>
      <c r="W12" s="72">
        <v>24</v>
      </c>
      <c r="X12" s="72">
        <f>IFERROR(IF(DIR_ATUAL[[#This Row],[FASE]]="MONO",DIR_ATUAL[[#This Row],[ACUMULADA]]*1000/(T_LINHA_TRF*DIR_ATUAL[[#This Row],[ETA]]),DIR_ATUAL[[#This Row],[ACUMULADA]]*1000/(SQRT(3)*$R$7*DIR_ATUAL[[#This Row],[ETA]])),"")</f>
        <v>24.833059760234992</v>
      </c>
      <c r="Y12" s="72">
        <f>IFERROR(VLOOKUP(DIR_ATUAL[[#This Row],[Ib]],TabelaDisjuntores[],2,TRUE),"")</f>
        <v>20</v>
      </c>
      <c r="Z12" s="72">
        <f>IFERROR(VLOOKUP(DIR_ATUAL[[#This Row],[CONDUTOR]],CABOS[],2,0),"")</f>
        <v>202</v>
      </c>
      <c r="AA12" s="72" t="str">
        <f>IF(AND(DIR_ATUAL[[#This Row],[Ib]]&lt;=DIR_ATUAL[[#This Row],[In]],DIR_ATUAL[[#This Row],[In]]&lt;=DIR_ATUAL[[#This Row],[Iz]]),"OK","VERIFICAR")</f>
        <v>VERIFICAR</v>
      </c>
      <c r="AB12" s="97">
        <f>IFERROR(SQRT((DIR_ATUAL[[#This Row],[X]]-$AF$4)^2+(DIR_ATUAL[[#This Row],[Y]]-$AF$5)^2),0)</f>
        <v>0</v>
      </c>
      <c r="AC12" s="9">
        <f>IFERROR(VLOOKUP(DIR_ATUAL[[#This Row],[CONDUTOR]],CONDUTORES,2,0),"")</f>
        <v>202</v>
      </c>
      <c r="AE12" t="s">
        <v>270</v>
      </c>
      <c r="AF12" t="s">
        <v>271</v>
      </c>
    </row>
    <row r="13" spans="1:33" x14ac:dyDescent="0.3">
      <c r="A13" s="54"/>
      <c r="B13" s="130">
        <v>9</v>
      </c>
      <c r="C13" s="54">
        <f>IFERROR(IF(DIR_ATUAL[[#This Row],[PONTO]]="RAMAL",B12,VLOOKUP(DIR_ATUAL[[#This Row],[PONTO]],GERAL[],2,0)),"")</f>
        <v>5</v>
      </c>
      <c r="D13" s="154">
        <f>IFERROR(IF(DIR_ATUAL[[#This Row],[PONTO]]="RAMAL",15,VLOOKUP(DIR_ATUAL[[#This Row],[PONTO]],GERAL[],3,0)),"")</f>
        <v>4</v>
      </c>
      <c r="E13" s="154">
        <f>IFERROR(IF(DIR_ATUAL[[#This Row],[PONTO]]="RAMAL","",VLOOKUP(DIR_ATUAL[[#This Row],[PONTO]],GERAL[],7,0)),"")</f>
        <v>1</v>
      </c>
      <c r="F13" s="154">
        <f>IFERROR(IF(DIR_ATUAL[[#This Row],[PONTO]]="RAMAL","",VLOOKUP(DIR_ATUAL[[#This Row],[PONTO]],GERAL[],4,0)),"")</f>
        <v>0</v>
      </c>
      <c r="G13" s="154">
        <f>IFERROR(IF(DIR_ATUAL[[#This Row],[PONTO]]="RAMAL","",VLOOKUP(DIR_ATUAL[[#This Row],[PONTO]],GERAL[],5,0)),"")</f>
        <v>0</v>
      </c>
      <c r="H13" s="55">
        <f>IFERROR(IF(DIR_ATUAL[[#This Row],[PONTO]]="RAMAL",DMDI,VLOOKUP(DIR_ATUAL[[#This Row],[PONTO]],GERAL[],8,0)),"")</f>
        <v>7.2943999999999996</v>
      </c>
      <c r="I13" s="55">
        <f>IFERROR(IF(DIR_ATUAL[[#This Row],[PONTO]]="RAMAL",DIR_ATUAL[[#This Row],[KVA PONTO]],VLOOKUP(DIR_ATUAL[[#This Row],[PONTO]],GERAL[],9,0)),"")</f>
        <v>7.2943999999999996</v>
      </c>
      <c r="J13" s="55" t="str">
        <f>IFERROR(VLOOKUP(DIR_ATUAL[[#This Row],[PONTO]],GERAL[],12,0),"")</f>
        <v>53 AA</v>
      </c>
      <c r="K13" s="61">
        <f>IFERROR(DIR_ATUAL[[#This Row],[Ib]],"")</f>
        <v>6.3809451569345539</v>
      </c>
      <c r="L13" s="117">
        <f>IFERROR(IFERROR(DIR_ATUAL[[#This Row],[ACUMULADA]]/((IF(DIR_ATUAL[[#This Row],[FASE]]="MONO",T_LINHA_MONO,IF(DIR_ATUAL[[#This Row],[FASE]]="BIF",T_LINHA_TRF,T_LINHA_TRF*SQRT(3)))/1000)*VLOOKUP(DIR_ATUAL[[#This Row],[CONDUTOR]],CABOS[],9,0))+30,W13+60*(X13/Z13)),"")</f>
        <v>37.04644250459031</v>
      </c>
      <c r="M13" s="68">
        <f>IFERROR((VLOOKUP(DIR_ATUAL[[#This Row],[CONDUTOR]],CABOS[],3,0)/VLOOKUP(DIR_ATUAL[[#This Row],[CONDUTOR]],CABOS[],6,0))*(1+VLOOKUP(DIR_ATUAL[[#This Row],[CONDUTOR]],CABOS[],5,0)*(DIR_ATUAL[[#This Row],[T]]-20)),"")</f>
        <v>0.55356195783730799</v>
      </c>
      <c r="N13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4.355947403012566E-2</v>
      </c>
      <c r="O13" s="116">
        <f>IF(DIR_ATUAL[[#This Row],[PONTO]]="","",IFERROR(SUMIF(DIR_ATUAL[PONTO],DIR_ATUAL[[#This Row],[TRECHO]],DIR_ATUAL[Coluna1])+DIR_ATUAL[[#This Row],[QT-PONTO]],""))</f>
        <v>8.7296778185054542</v>
      </c>
      <c r="P13" s="56">
        <f>IFERROR(DIR_ATUAL[[#This Row],[Coluna1]]/T_LINHA_MONO,"")</f>
        <v>6.8728388706174939E-2</v>
      </c>
      <c r="Q13" s="55">
        <f>IFERROR(T_LINHA_MONO*(1-DIR_ATUAL[[#This Row],[QT %]]),"")</f>
        <v>118.28738140321222</v>
      </c>
      <c r="R13" s="55">
        <f>IFERROR(T_LINHA_TRF*(1-DIR_ATUAL[[#This Row],[QT %]]),"")</f>
        <v>204.87975448464152</v>
      </c>
      <c r="S13" s="67" t="str">
        <f>IFERROR(IF(DIR_ATUAL[[#This Row],[PROTECAO]]="OK","Protecao OK","Ajustar Disj/Condutor"),"")</f>
        <v>Ajustar Disj/Condutor</v>
      </c>
      <c r="T13" s="72" t="str">
        <f>IF(DIR_ATUAL[[#This Row],[ETA]]=1,"MONO",IF(DIR_ATUAL[[#This Row],[ETA]]=2,"BIF","TRI"))</f>
        <v>TRI</v>
      </c>
      <c r="U13" s="72">
        <v>3</v>
      </c>
      <c r="V13" s="72" t="str">
        <f t="shared" si="0"/>
        <v>AEREO</v>
      </c>
      <c r="W13" s="72">
        <v>25</v>
      </c>
      <c r="X13" s="72">
        <f>IFERROR(IF(DIR_ATUAL[[#This Row],[FASE]]="MONO",DIR_ATUAL[[#This Row],[ACUMULADA]]*1000/(T_LINHA_TRF*DIR_ATUAL[[#This Row],[ETA]]),DIR_ATUAL[[#This Row],[ACUMULADA]]*1000/(SQRT(3)*$R$7*DIR_ATUAL[[#This Row],[ETA]])),"")</f>
        <v>6.3809451569345539</v>
      </c>
      <c r="Y13" s="72">
        <f>IFERROR(VLOOKUP(DIR_ATUAL[[#This Row],[Ib]],TabelaDisjuntores[],2,TRUE),"")</f>
        <v>6</v>
      </c>
      <c r="Z13" s="72">
        <f>IFERROR(VLOOKUP(DIR_ATUAL[[#This Row],[CONDUTOR]],CABOS[],2,0),"")</f>
        <v>163</v>
      </c>
      <c r="AA13" s="72" t="str">
        <f>IF(AND(DIR_ATUAL[[#This Row],[Ib]]&lt;=DIR_ATUAL[[#This Row],[In]],DIR_ATUAL[[#This Row],[In]]&lt;=DIR_ATUAL[[#This Row],[Iz]]),"OK","VERIFICAR")</f>
        <v>VERIFICAR</v>
      </c>
      <c r="AB13" s="97">
        <f>IFERROR(SQRT((DIR_ATUAL[[#This Row],[X]]-$AF$4)^2+(DIR_ATUAL[[#This Row],[Y]]-$AF$5)^2),0)</f>
        <v>0</v>
      </c>
      <c r="AC13" s="9">
        <f>IFERROR(VLOOKUP(DIR_ATUAL[[#This Row],[CONDUTOR]],CONDUTORES,2,0),"")</f>
        <v>163</v>
      </c>
    </row>
    <row r="14" spans="1:33" x14ac:dyDescent="0.3">
      <c r="A14" s="172"/>
      <c r="B14" s="130"/>
      <c r="C14" s="54" t="str">
        <f>IFERROR(IF(DIR_ATUAL[[#This Row],[PONTO]]="RAMAL",B13,VLOOKUP(DIR_ATUAL[[#This Row],[PONTO]],GERAL[],2,0)),"")</f>
        <v/>
      </c>
      <c r="D14" s="154" t="str">
        <f>IFERROR(IF(DIR_ATUAL[[#This Row],[PONTO]]="RAMAL",15,VLOOKUP(DIR_ATUAL[[#This Row],[PONTO]],GERAL[],3,0)),"")</f>
        <v/>
      </c>
      <c r="E14" s="154" t="str">
        <f>IFERROR(IF(DIR_ATUAL[[#This Row],[PONTO]]="RAMAL","",VLOOKUP(DIR_ATUAL[[#This Row],[PONTO]],GERAL[],7,0)),"")</f>
        <v/>
      </c>
      <c r="F14" s="154" t="str">
        <f>IFERROR(IF(DIR_ATUAL[[#This Row],[PONTO]]="RAMAL","",VLOOKUP(DIR_ATUAL[[#This Row],[PONTO]],GERAL[],4,0)),"")</f>
        <v/>
      </c>
      <c r="G14" s="154" t="str">
        <f>IFERROR(IF(DIR_ATUAL[[#This Row],[PONTO]]="RAMAL","",VLOOKUP(DIR_ATUAL[[#This Row],[PONTO]],GERAL[],5,0)),"")</f>
        <v/>
      </c>
      <c r="H14" s="55" t="str">
        <f>IFERROR(IF(DIR_ATUAL[[#This Row],[PONTO]]="RAMAL",DMDI,VLOOKUP(DIR_ATUAL[[#This Row],[PONTO]],GERAL[],8,0)),"")</f>
        <v/>
      </c>
      <c r="I14" s="55" t="str">
        <f>IFERROR(IF(DIR_ATUAL[[#This Row],[PONTO]]="RAMAL",DIR_ATUAL[[#This Row],[KVA PONTO]],VLOOKUP(DIR_ATUAL[[#This Row],[PONTO]],GERAL[],9,0)),"")</f>
        <v/>
      </c>
      <c r="J14" s="55" t="str">
        <f>IFERROR(VLOOKUP(DIR_ATUAL[[#This Row],[PONTO]],GERAL[],12,0),"")</f>
        <v/>
      </c>
      <c r="K14" s="61" t="str">
        <f>IFERROR(DIR_ATUAL[[#This Row],[Ib]],"")</f>
        <v/>
      </c>
      <c r="L14" s="117" t="str">
        <f>IFERROR(IFERROR(DIR_ATUAL[[#This Row],[ACUMULADA]]/((IF(DIR_ATUAL[[#This Row],[FASE]]="MONO",T_LINHA_MONO,IF(DIR_ATUAL[[#This Row],[FASE]]="BIF",T_LINHA_TRF,T_LINHA_TRF*SQRT(3)))/1000)*VLOOKUP(DIR_ATUAL[[#This Row],[CONDUTOR]],CABOS[],9,0))+30,W14+60*(X14/Z14)),"")</f>
        <v/>
      </c>
      <c r="M14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14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14" s="116" t="str">
        <f>IF(DIR_ATUAL[[#This Row],[PONTO]]="","",IFERROR(SUMIF(DIR_ATUAL[PONTO],DIR_ATUAL[[#This Row],[TRECHO]],DIR_ATUAL[Coluna1])+DIR_ATUAL[[#This Row],[QT-PONTO]],""))</f>
        <v/>
      </c>
      <c r="P14" s="56" t="str">
        <f>IFERROR(DIR_ATUAL[[#This Row],[Coluna1]]/T_LINHA_MONO,"")</f>
        <v/>
      </c>
      <c r="Q14" s="55" t="str">
        <f>IFERROR(T_LINHA_MONO*(1-DIR_ATUAL[[#This Row],[QT %]]),"")</f>
        <v/>
      </c>
      <c r="R14" s="55" t="str">
        <f>IFERROR(T_LINHA_TRF*(1-DIR_ATUAL[[#This Row],[QT %]]),"")</f>
        <v/>
      </c>
      <c r="S14" s="67" t="str">
        <f>IFERROR(IF(DIR_ATUAL[[#This Row],[PROTECAO]]="OK","Protecao OK","Ajustar Disj/Condutor"),"")</f>
        <v>Protecao OK</v>
      </c>
      <c r="T14" s="72" t="str">
        <f>IF(DIR_ATUAL[[#This Row],[ETA]]=1,"MONO",IF(DIR_ATUAL[[#This Row],[ETA]]=2,"BIF","TRI"))</f>
        <v>TRI</v>
      </c>
      <c r="U14" s="72">
        <v>3</v>
      </c>
      <c r="V14" s="72" t="str">
        <f t="shared" si="0"/>
        <v>AEREO</v>
      </c>
      <c r="W14" s="72">
        <v>26</v>
      </c>
      <c r="X14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14" s="72" t="str">
        <f>IFERROR(VLOOKUP(DIR_ATUAL[[#This Row],[Ib]],TabelaDisjuntores[],2,TRUE),"")</f>
        <v/>
      </c>
      <c r="Z14" s="72" t="str">
        <f>IFERROR(VLOOKUP(DIR_ATUAL[[#This Row],[CONDUTOR]],CABOS[],2,0),"")</f>
        <v/>
      </c>
      <c r="AA14" s="72" t="str">
        <f>IF(AND(DIR_ATUAL[[#This Row],[Ib]]&lt;=DIR_ATUAL[[#This Row],[In]],DIR_ATUAL[[#This Row],[In]]&lt;=DIR_ATUAL[[#This Row],[Iz]]),"OK","VERIFICAR")</f>
        <v>OK</v>
      </c>
      <c r="AB14" s="97">
        <f>IFERROR(SQRT((DIR_ATUAL[[#This Row],[X]]-$AF$4)^2+(DIR_ATUAL[[#This Row],[Y]]-$AF$5)^2),0)</f>
        <v>0</v>
      </c>
      <c r="AC14" s="9" t="str">
        <f>IFERROR(VLOOKUP(DIR_ATUAL[[#This Row],[CONDUTOR]],CONDUTORES,2,0),"")</f>
        <v/>
      </c>
      <c r="AE14" t="s">
        <v>272</v>
      </c>
    </row>
    <row r="15" spans="1:33" x14ac:dyDescent="0.3">
      <c r="A15" s="54"/>
      <c r="B15" s="130"/>
      <c r="C15" s="54" t="str">
        <f>IFERROR(IF(DIR_ATUAL[[#This Row],[PONTO]]="RAMAL",B14,VLOOKUP(DIR_ATUAL[[#This Row],[PONTO]],GERAL[],2,0)),"")</f>
        <v/>
      </c>
      <c r="D15" s="154" t="str">
        <f>IFERROR(IF(DIR_ATUAL[[#This Row],[PONTO]]="RAMAL",15,VLOOKUP(DIR_ATUAL[[#This Row],[PONTO]],GERAL[],3,0)),"")</f>
        <v/>
      </c>
      <c r="E15" s="154" t="str">
        <f>IFERROR(IF(DIR_ATUAL[[#This Row],[PONTO]]="RAMAL","",VLOOKUP(DIR_ATUAL[[#This Row],[PONTO]],GERAL[],7,0)),"")</f>
        <v/>
      </c>
      <c r="F15" s="154" t="str">
        <f>IFERROR(IF(DIR_ATUAL[[#This Row],[PONTO]]="RAMAL","",VLOOKUP(DIR_ATUAL[[#This Row],[PONTO]],GERAL[],4,0)),"")</f>
        <v/>
      </c>
      <c r="G15" s="154" t="str">
        <f>IFERROR(IF(DIR_ATUAL[[#This Row],[PONTO]]="RAMAL","",VLOOKUP(DIR_ATUAL[[#This Row],[PONTO]],GERAL[],5,0)),"")</f>
        <v/>
      </c>
      <c r="H15" s="55" t="str">
        <f>IFERROR(IF(DIR_ATUAL[[#This Row],[PONTO]]="RAMAL",DMDI,VLOOKUP(DIR_ATUAL[[#This Row],[PONTO]],GERAL[],8,0)),"")</f>
        <v/>
      </c>
      <c r="I15" s="55" t="str">
        <f>IFERROR(IF(DIR_ATUAL[[#This Row],[PONTO]]="RAMAL",DIR_ATUAL[[#This Row],[KVA PONTO]],VLOOKUP(DIR_ATUAL[[#This Row],[PONTO]],GERAL[],9,0)),"")</f>
        <v/>
      </c>
      <c r="J15" s="55" t="str">
        <f>IFERROR(VLOOKUP(DIR_ATUAL[[#This Row],[PONTO]],GERAL[],12,0),"")</f>
        <v/>
      </c>
      <c r="K15" s="61" t="str">
        <f>IFERROR(DIR_ATUAL[[#This Row],[Ib]],"")</f>
        <v/>
      </c>
      <c r="L15" s="117" t="str">
        <f>IFERROR(IFERROR(DIR_ATUAL[[#This Row],[ACUMULADA]]/((IF(DIR_ATUAL[[#This Row],[FASE]]="MONO",T_LINHA_MONO,IF(DIR_ATUAL[[#This Row],[FASE]]="BIF",T_LINHA_TRF,T_LINHA_TRF*SQRT(3)))/1000)*VLOOKUP(DIR_ATUAL[[#This Row],[CONDUTOR]],CABOS[],9,0))+30,W15+60*(X15/Z15)),"")</f>
        <v/>
      </c>
      <c r="M15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15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15" s="116" t="str">
        <f>IF(DIR_ATUAL[[#This Row],[PONTO]]="","",IFERROR(SUMIF(DIR_ATUAL[PONTO],DIR_ATUAL[[#This Row],[TRECHO]],DIR_ATUAL[Coluna1])+DIR_ATUAL[[#This Row],[QT-PONTO]],""))</f>
        <v/>
      </c>
      <c r="P15" s="56" t="str">
        <f>IFERROR(DIR_ATUAL[[#This Row],[Coluna1]]/T_LINHA_MONO,"")</f>
        <v/>
      </c>
      <c r="Q15" s="55" t="str">
        <f>IFERROR(T_LINHA_MONO*(1-DIR_ATUAL[[#This Row],[QT %]]),"")</f>
        <v/>
      </c>
      <c r="R15" s="55" t="str">
        <f>IFERROR(T_LINHA_TRF*(1-DIR_ATUAL[[#This Row],[QT %]]),"")</f>
        <v/>
      </c>
      <c r="S15" s="67" t="str">
        <f>IFERROR(IF(DIR_ATUAL[[#This Row],[PROTECAO]]="OK","Protecao OK","Ajustar Disj/Condutor"),"")</f>
        <v>Protecao OK</v>
      </c>
      <c r="T15" s="72" t="str">
        <f>IF(DIR_ATUAL[[#This Row],[ETA]]=1,"MONO",IF(DIR_ATUAL[[#This Row],[ETA]]=2,"BIF","TRI"))</f>
        <v>TRI</v>
      </c>
      <c r="U15" s="72">
        <v>3</v>
      </c>
      <c r="V15" s="72" t="str">
        <f t="shared" si="0"/>
        <v>AEREO</v>
      </c>
      <c r="W15" s="72">
        <v>27</v>
      </c>
      <c r="X15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15" s="72" t="str">
        <f>IFERROR(VLOOKUP(DIR_ATUAL[[#This Row],[Ib]],TabelaDisjuntores[],2,TRUE),"")</f>
        <v/>
      </c>
      <c r="Z15" s="72" t="str">
        <f>IFERROR(VLOOKUP(DIR_ATUAL[[#This Row],[CONDUTOR]],CABOS[],2,0),"")</f>
        <v/>
      </c>
      <c r="AA15" s="72" t="str">
        <f>IF(AND(DIR_ATUAL[[#This Row],[Ib]]&lt;=DIR_ATUAL[[#This Row],[In]],DIR_ATUAL[[#This Row],[In]]&lt;=DIR_ATUAL[[#This Row],[Iz]]),"OK","VERIFICAR")</f>
        <v>OK</v>
      </c>
      <c r="AB15" s="97">
        <f>IFERROR(SQRT((DIR_ATUAL[[#This Row],[X]]-$AF$4)^2+(DIR_ATUAL[[#This Row],[Y]]-$AF$5)^2),0)</f>
        <v>0</v>
      </c>
      <c r="AC15" s="9" t="str">
        <f>IFERROR(VLOOKUP(DIR_ATUAL[[#This Row],[CONDUTOR]],CONDUTORES,2,0),"")</f>
        <v/>
      </c>
      <c r="AE15" t="s">
        <v>273</v>
      </c>
    </row>
    <row r="16" spans="1:33" ht="14.4" customHeight="1" x14ac:dyDescent="0.3">
      <c r="A16" s="172"/>
      <c r="B16" s="130"/>
      <c r="C16" s="54" t="str">
        <f>IFERROR(IF(DIR_ATUAL[[#This Row],[PONTO]]="RAMAL",B15,VLOOKUP(DIR_ATUAL[[#This Row],[PONTO]],GERAL[],2,0)),"")</f>
        <v/>
      </c>
      <c r="D16" s="154" t="str">
        <f>IFERROR(IF(DIR_ATUAL[[#This Row],[PONTO]]="RAMAL",15,VLOOKUP(DIR_ATUAL[[#This Row],[PONTO]],GERAL[],3,0)),"")</f>
        <v/>
      </c>
      <c r="E16" s="154" t="str">
        <f>IFERROR(IF(DIR_ATUAL[[#This Row],[PONTO]]="RAMAL","",VLOOKUP(DIR_ATUAL[[#This Row],[PONTO]],GERAL[],7,0)),"")</f>
        <v/>
      </c>
      <c r="F16" s="154" t="str">
        <f>IFERROR(IF(DIR_ATUAL[[#This Row],[PONTO]]="RAMAL","",VLOOKUP(DIR_ATUAL[[#This Row],[PONTO]],GERAL[],4,0)),"")</f>
        <v/>
      </c>
      <c r="G16" s="154" t="str">
        <f>IFERROR(IF(DIR_ATUAL[[#This Row],[PONTO]]="RAMAL","",VLOOKUP(DIR_ATUAL[[#This Row],[PONTO]],GERAL[],5,0)),"")</f>
        <v/>
      </c>
      <c r="H16" s="55" t="str">
        <f>IFERROR(IF(DIR_ATUAL[[#This Row],[PONTO]]="RAMAL",DMDI,VLOOKUP(DIR_ATUAL[[#This Row],[PONTO]],GERAL[],8,0)),"")</f>
        <v/>
      </c>
      <c r="I16" s="55" t="str">
        <f>IFERROR(IF(DIR_ATUAL[[#This Row],[PONTO]]="RAMAL",DIR_ATUAL[[#This Row],[KVA PONTO]],VLOOKUP(DIR_ATUAL[[#This Row],[PONTO]],GERAL[],9,0)),"")</f>
        <v/>
      </c>
      <c r="J16" s="55" t="str">
        <f>IFERROR(VLOOKUP(DIR_ATUAL[[#This Row],[PONTO]],GERAL[],12,0),"")</f>
        <v/>
      </c>
      <c r="K16" s="61" t="str">
        <f>IFERROR(DIR_ATUAL[[#This Row],[Ib]],"")</f>
        <v/>
      </c>
      <c r="L16" s="117" t="str">
        <f>IFERROR(IFERROR(DIR_ATUAL[[#This Row],[ACUMULADA]]/((IF(DIR_ATUAL[[#This Row],[FASE]]="MONO",T_LINHA_MONO,IF(DIR_ATUAL[[#This Row],[FASE]]="BIF",T_LINHA_TRF,T_LINHA_TRF*SQRT(3)))/1000)*VLOOKUP(DIR_ATUAL[[#This Row],[CONDUTOR]],CABOS[],9,0))+30,W16+60*(X16/Z16)),"")</f>
        <v/>
      </c>
      <c r="M16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16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16" s="116" t="str">
        <f>IF(DIR_ATUAL[[#This Row],[PONTO]]="","",IFERROR(SUMIF(DIR_ATUAL[PONTO],DIR_ATUAL[[#This Row],[TRECHO]],DIR_ATUAL[Coluna1])+DIR_ATUAL[[#This Row],[QT-PONTO]],""))</f>
        <v/>
      </c>
      <c r="P16" s="56" t="str">
        <f>IFERROR(DIR_ATUAL[[#This Row],[Coluna1]]/T_LINHA_MONO,"")</f>
        <v/>
      </c>
      <c r="Q16" s="55" t="str">
        <f>IFERROR(T_LINHA_MONO*(1-DIR_ATUAL[[#This Row],[QT %]]),"")</f>
        <v/>
      </c>
      <c r="R16" s="55" t="str">
        <f>IFERROR(T_LINHA_TRF*(1-DIR_ATUAL[[#This Row],[QT %]]),"")</f>
        <v/>
      </c>
      <c r="S16" s="67" t="str">
        <f>IFERROR(IF(DIR_ATUAL[[#This Row],[PROTECAO]]="OK","Protecao OK","Ajustar Disj/Condutor"),"")</f>
        <v>Protecao OK</v>
      </c>
      <c r="T16" s="72" t="str">
        <f>IF(DIR_ATUAL[[#This Row],[ETA]]=1,"MONO",IF(DIR_ATUAL[[#This Row],[ETA]]=2,"BIF","TRI"))</f>
        <v>TRI</v>
      </c>
      <c r="U16" s="72">
        <v>3</v>
      </c>
      <c r="V16" s="72" t="str">
        <f t="shared" si="0"/>
        <v>AEREO</v>
      </c>
      <c r="W16" s="72">
        <v>28</v>
      </c>
      <c r="X16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16" s="72" t="str">
        <f>IFERROR(VLOOKUP(DIR_ATUAL[[#This Row],[Ib]],TabelaDisjuntores[],2,TRUE),"")</f>
        <v/>
      </c>
      <c r="Z16" s="72" t="str">
        <f>IFERROR(VLOOKUP(DIR_ATUAL[[#This Row],[CONDUTOR]],CABOS[],2,0),"")</f>
        <v/>
      </c>
      <c r="AA16" s="72" t="str">
        <f>IF(AND(DIR_ATUAL[[#This Row],[Ib]]&lt;=DIR_ATUAL[[#This Row],[In]],DIR_ATUAL[[#This Row],[In]]&lt;=DIR_ATUAL[[#This Row],[Iz]]),"OK","VERIFICAR")</f>
        <v>OK</v>
      </c>
      <c r="AB16" s="97">
        <f>IFERROR(SQRT((DIR_ATUAL[[#This Row],[X]]-$AF$4)^2+(DIR_ATUAL[[#This Row],[Y]]-$AF$5)^2),0)</f>
        <v>0</v>
      </c>
      <c r="AC16" s="9" t="str">
        <f>IFERROR(VLOOKUP(DIR_ATUAL[[#This Row],[CONDUTOR]],CONDUTORES,2,0),"")</f>
        <v/>
      </c>
      <c r="AE16" s="262" t="s">
        <v>279</v>
      </c>
      <c r="AF16" s="262"/>
      <c r="AG16" s="262"/>
    </row>
    <row r="17" spans="1:33" x14ac:dyDescent="0.3">
      <c r="A17" s="54"/>
      <c r="B17" s="130"/>
      <c r="C17" s="54" t="str">
        <f>IFERROR(IF(DIR_ATUAL[[#This Row],[PONTO]]="RAMAL",B16,VLOOKUP(DIR_ATUAL[[#This Row],[PONTO]],GERAL[],2,0)),"")</f>
        <v/>
      </c>
      <c r="D17" s="154" t="str">
        <f>IFERROR(IF(DIR_ATUAL[[#This Row],[PONTO]]="RAMAL",15,VLOOKUP(DIR_ATUAL[[#This Row],[PONTO]],GERAL[],3,0)),"")</f>
        <v/>
      </c>
      <c r="E17" s="154" t="str">
        <f>IFERROR(IF(DIR_ATUAL[[#This Row],[PONTO]]="RAMAL","",VLOOKUP(DIR_ATUAL[[#This Row],[PONTO]],GERAL[],7,0)),"")</f>
        <v/>
      </c>
      <c r="F17" s="154" t="str">
        <f>IFERROR(IF(DIR_ATUAL[[#This Row],[PONTO]]="RAMAL","",VLOOKUP(DIR_ATUAL[[#This Row],[PONTO]],GERAL[],4,0)),"")</f>
        <v/>
      </c>
      <c r="G17" s="154" t="str">
        <f>IFERROR(IF(DIR_ATUAL[[#This Row],[PONTO]]="RAMAL","",VLOOKUP(DIR_ATUAL[[#This Row],[PONTO]],GERAL[],5,0)),"")</f>
        <v/>
      </c>
      <c r="H17" s="55" t="str">
        <f>IFERROR(IF(DIR_ATUAL[[#This Row],[PONTO]]="RAMAL",DMDI,VLOOKUP(DIR_ATUAL[[#This Row],[PONTO]],GERAL[],8,0)),"")</f>
        <v/>
      </c>
      <c r="I17" s="55" t="str">
        <f>IFERROR(IF(DIR_ATUAL[[#This Row],[PONTO]]="RAMAL",DIR_ATUAL[[#This Row],[KVA PONTO]],VLOOKUP(DIR_ATUAL[[#This Row],[PONTO]],GERAL[],9,0)),"")</f>
        <v/>
      </c>
      <c r="J17" s="55" t="str">
        <f>IFERROR(VLOOKUP(DIR_ATUAL[[#This Row],[PONTO]],GERAL[],12,0),"")</f>
        <v/>
      </c>
      <c r="K17" s="61" t="str">
        <f>IFERROR(DIR_ATUAL[[#This Row],[Ib]],"")</f>
        <v/>
      </c>
      <c r="L17" s="117" t="str">
        <f>IFERROR(IFERROR(DIR_ATUAL[[#This Row],[ACUMULADA]]/((IF(DIR_ATUAL[[#This Row],[FASE]]="MONO",T_LINHA_MONO,IF(DIR_ATUAL[[#This Row],[FASE]]="BIF",T_LINHA_TRF,T_LINHA_TRF*SQRT(3)))/1000)*VLOOKUP(DIR_ATUAL[[#This Row],[CONDUTOR]],CABOS[],9,0))+30,W17+60*(X17/Z17)),"")</f>
        <v/>
      </c>
      <c r="M17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17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17" s="116" t="str">
        <f>IF(DIR_ATUAL[[#This Row],[PONTO]]="","",IFERROR(SUMIF(DIR_ATUAL[PONTO],DIR_ATUAL[[#This Row],[TRECHO]],DIR_ATUAL[Coluna1])+DIR_ATUAL[[#This Row],[QT-PONTO]],""))</f>
        <v/>
      </c>
      <c r="P17" s="56" t="str">
        <f>IFERROR(DIR_ATUAL[[#This Row],[Coluna1]]/T_LINHA_MONO,"")</f>
        <v/>
      </c>
      <c r="Q17" s="55" t="str">
        <f>IFERROR(T_LINHA_MONO*(1-DIR_ATUAL[[#This Row],[QT %]]),"")</f>
        <v/>
      </c>
      <c r="R17" s="55" t="str">
        <f>IFERROR(T_LINHA_TRF*(1-DIR_ATUAL[[#This Row],[QT %]]),"")</f>
        <v/>
      </c>
      <c r="S17" s="67" t="str">
        <f>IFERROR(IF(DIR_ATUAL[[#This Row],[PROTECAO]]="OK","Protecao OK","Ajustar Disj/Condutor"),"")</f>
        <v>Protecao OK</v>
      </c>
      <c r="T17" s="72" t="str">
        <f>IF(DIR_ATUAL[[#This Row],[ETA]]=1,"MONO",IF(DIR_ATUAL[[#This Row],[ETA]]=2,"BIF","TRI"))</f>
        <v>TRI</v>
      </c>
      <c r="U17" s="72">
        <v>3</v>
      </c>
      <c r="V17" s="72" t="str">
        <f t="shared" si="0"/>
        <v>AEREO</v>
      </c>
      <c r="W17" s="72">
        <v>29</v>
      </c>
      <c r="X17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17" s="72" t="str">
        <f>IFERROR(VLOOKUP(DIR_ATUAL[[#This Row],[Ib]],TabelaDisjuntores[],2,TRUE),"")</f>
        <v/>
      </c>
      <c r="Z17" s="72" t="str">
        <f>IFERROR(VLOOKUP(DIR_ATUAL[[#This Row],[CONDUTOR]],CABOS[],2,0),"")</f>
        <v/>
      </c>
      <c r="AA17" s="72" t="str">
        <f>IF(AND(DIR_ATUAL[[#This Row],[Ib]]&lt;=DIR_ATUAL[[#This Row],[In]],DIR_ATUAL[[#This Row],[In]]&lt;=DIR_ATUAL[[#This Row],[Iz]]),"OK","VERIFICAR")</f>
        <v>OK</v>
      </c>
      <c r="AB17" s="97">
        <f>IFERROR(SQRT((DIR_ATUAL[[#This Row],[X]]-$AF$4)^2+(DIR_ATUAL[[#This Row],[Y]]-$AF$5)^2),0)</f>
        <v>0</v>
      </c>
      <c r="AC17" s="9" t="str">
        <f>IFERROR(VLOOKUP(DIR_ATUAL[[#This Row],[CONDUTOR]],CONDUTORES,2,0),"")</f>
        <v/>
      </c>
      <c r="AE17" s="262"/>
      <c r="AF17" s="262"/>
      <c r="AG17" s="262"/>
    </row>
    <row r="18" spans="1:33" x14ac:dyDescent="0.3">
      <c r="A18" s="172"/>
      <c r="B18" s="130"/>
      <c r="C18" s="54" t="str">
        <f>IFERROR(IF(DIR_ATUAL[[#This Row],[PONTO]]="RAMAL",B17,VLOOKUP(DIR_ATUAL[[#This Row],[PONTO]],GERAL[],2,0)),"")</f>
        <v/>
      </c>
      <c r="D18" s="154" t="str">
        <f>IFERROR(IF(DIR_ATUAL[[#This Row],[PONTO]]="RAMAL",15,VLOOKUP(DIR_ATUAL[[#This Row],[PONTO]],GERAL[],3,0)),"")</f>
        <v/>
      </c>
      <c r="E18" s="154" t="str">
        <f>IFERROR(IF(DIR_ATUAL[[#This Row],[PONTO]]="RAMAL","",VLOOKUP(DIR_ATUAL[[#This Row],[PONTO]],GERAL[],7,0)),"")</f>
        <v/>
      </c>
      <c r="F18" s="154" t="str">
        <f>IFERROR(IF(DIR_ATUAL[[#This Row],[PONTO]]="RAMAL","",VLOOKUP(DIR_ATUAL[[#This Row],[PONTO]],GERAL[],4,0)),"")</f>
        <v/>
      </c>
      <c r="G18" s="154" t="str">
        <f>IFERROR(IF(DIR_ATUAL[[#This Row],[PONTO]]="RAMAL","",VLOOKUP(DIR_ATUAL[[#This Row],[PONTO]],GERAL[],5,0)),"")</f>
        <v/>
      </c>
      <c r="H18" s="55" t="str">
        <f>IFERROR(IF(DIR_ATUAL[[#This Row],[PONTO]]="RAMAL",DMDI,VLOOKUP(DIR_ATUAL[[#This Row],[PONTO]],GERAL[],8,0)),"")</f>
        <v/>
      </c>
      <c r="I18" s="55" t="str">
        <f>IFERROR(IF(DIR_ATUAL[[#This Row],[PONTO]]="RAMAL",DIR_ATUAL[[#This Row],[KVA PONTO]],VLOOKUP(DIR_ATUAL[[#This Row],[PONTO]],GERAL[],9,0)),"")</f>
        <v/>
      </c>
      <c r="J18" s="55" t="str">
        <f>IFERROR(VLOOKUP(DIR_ATUAL[[#This Row],[PONTO]],GERAL[],12,0),"")</f>
        <v/>
      </c>
      <c r="K18" s="61" t="str">
        <f>IFERROR(DIR_ATUAL[[#This Row],[Ib]],"")</f>
        <v/>
      </c>
      <c r="L18" s="117" t="str">
        <f>IFERROR(IFERROR(DIR_ATUAL[[#This Row],[ACUMULADA]]/((IF(DIR_ATUAL[[#This Row],[FASE]]="MONO",T_LINHA_MONO,IF(DIR_ATUAL[[#This Row],[FASE]]="BIF",T_LINHA_TRF,T_LINHA_TRF*SQRT(3)))/1000)*VLOOKUP(DIR_ATUAL[[#This Row],[CONDUTOR]],CABOS[],9,0))+30,W18+60*(X18/Z18)),"")</f>
        <v/>
      </c>
      <c r="M18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18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18" s="116" t="str">
        <f>IF(DIR_ATUAL[[#This Row],[PONTO]]="","",IFERROR(SUMIF(DIR_ATUAL[PONTO],DIR_ATUAL[[#This Row],[TRECHO]],DIR_ATUAL[Coluna1])+DIR_ATUAL[[#This Row],[QT-PONTO]],""))</f>
        <v/>
      </c>
      <c r="P18" s="56" t="str">
        <f>IFERROR(DIR_ATUAL[[#This Row],[Coluna1]]/T_LINHA_MONO,"")</f>
        <v/>
      </c>
      <c r="Q18" s="55" t="str">
        <f>IFERROR(T_LINHA_MONO*(1-DIR_ATUAL[[#This Row],[QT %]]),"")</f>
        <v/>
      </c>
      <c r="R18" s="55" t="str">
        <f>IFERROR(T_LINHA_TRF*(1-DIR_ATUAL[[#This Row],[QT %]]),"")</f>
        <v/>
      </c>
      <c r="S18" s="67" t="str">
        <f>IFERROR(IF(DIR_ATUAL[[#This Row],[PROTECAO]]="OK","Protecao OK","Ajustar Disj/Condutor"),"")</f>
        <v>Protecao OK</v>
      </c>
      <c r="T18" s="72" t="str">
        <f>IF(DIR_ATUAL[[#This Row],[ETA]]=1,"MONO",IF(DIR_ATUAL[[#This Row],[ETA]]=2,"BIF","TRI"))</f>
        <v>TRI</v>
      </c>
      <c r="U18" s="72">
        <v>3</v>
      </c>
      <c r="V18" s="72" t="str">
        <f t="shared" si="0"/>
        <v>AEREO</v>
      </c>
      <c r="W18" s="72">
        <v>30</v>
      </c>
      <c r="X18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18" s="72" t="str">
        <f>IFERROR(VLOOKUP(DIR_ATUAL[[#This Row],[Ib]],TabelaDisjuntores[],2,TRUE),"")</f>
        <v/>
      </c>
      <c r="Z18" s="72" t="str">
        <f>IFERROR(VLOOKUP(DIR_ATUAL[[#This Row],[CONDUTOR]],CABOS[],2,0),"")</f>
        <v/>
      </c>
      <c r="AA18" s="72" t="str">
        <f>IF(AND(DIR_ATUAL[[#This Row],[Ib]]&lt;=DIR_ATUAL[[#This Row],[In]],DIR_ATUAL[[#This Row],[In]]&lt;=DIR_ATUAL[[#This Row],[Iz]]),"OK","VERIFICAR")</f>
        <v>OK</v>
      </c>
      <c r="AB18" s="97">
        <f>IFERROR(SQRT((DIR_ATUAL[[#This Row],[X]]-$AF$4)^2+(DIR_ATUAL[[#This Row],[Y]]-$AF$5)^2),0)</f>
        <v>0</v>
      </c>
      <c r="AC18" s="9" t="str">
        <f>IFERROR(VLOOKUP(DIR_ATUAL[[#This Row],[CONDUTOR]],CONDUTORES,2,0),"")</f>
        <v/>
      </c>
      <c r="AE18" s="262"/>
      <c r="AF18" s="262"/>
      <c r="AG18" s="262"/>
    </row>
    <row r="19" spans="1:33" x14ac:dyDescent="0.3">
      <c r="A19" s="54"/>
      <c r="B19" s="130"/>
      <c r="C19" s="54" t="str">
        <f>IFERROR(IF(DIR_ATUAL[[#This Row],[PONTO]]="RAMAL",B18,VLOOKUP(DIR_ATUAL[[#This Row],[PONTO]],GERAL[],2,0)),"")</f>
        <v/>
      </c>
      <c r="D19" s="154" t="str">
        <f>IFERROR(IF(DIR_ATUAL[[#This Row],[PONTO]]="RAMAL",15,VLOOKUP(DIR_ATUAL[[#This Row],[PONTO]],GERAL[],3,0)),"")</f>
        <v/>
      </c>
      <c r="E19" s="154" t="str">
        <f>IFERROR(IF(DIR_ATUAL[[#This Row],[PONTO]]="RAMAL","",VLOOKUP(DIR_ATUAL[[#This Row],[PONTO]],GERAL[],7,0)),"")</f>
        <v/>
      </c>
      <c r="F19" s="154" t="str">
        <f>IFERROR(IF(DIR_ATUAL[[#This Row],[PONTO]]="RAMAL","",VLOOKUP(DIR_ATUAL[[#This Row],[PONTO]],GERAL[],4,0)),"")</f>
        <v/>
      </c>
      <c r="G19" s="154" t="str">
        <f>IFERROR(IF(DIR_ATUAL[[#This Row],[PONTO]]="RAMAL","",VLOOKUP(DIR_ATUAL[[#This Row],[PONTO]],GERAL[],5,0)),"")</f>
        <v/>
      </c>
      <c r="H19" s="55" t="str">
        <f>IFERROR(IF(DIR_ATUAL[[#This Row],[PONTO]]="RAMAL",DMDI,VLOOKUP(DIR_ATUAL[[#This Row],[PONTO]],GERAL[],8,0)),"")</f>
        <v/>
      </c>
      <c r="I19" s="55" t="str">
        <f>IFERROR(IF(DIR_ATUAL[[#This Row],[PONTO]]="RAMAL",DIR_ATUAL[[#This Row],[KVA PONTO]],VLOOKUP(DIR_ATUAL[[#This Row],[PONTO]],GERAL[],9,0)),"")</f>
        <v/>
      </c>
      <c r="J19" s="55" t="str">
        <f>IFERROR(VLOOKUP(DIR_ATUAL[[#This Row],[PONTO]],GERAL[],12,0),"")</f>
        <v/>
      </c>
      <c r="K19" s="61" t="str">
        <f>IFERROR(DIR_ATUAL[[#This Row],[Ib]],"")</f>
        <v/>
      </c>
      <c r="L19" s="117" t="str">
        <f>IFERROR(IFERROR(DIR_ATUAL[[#This Row],[ACUMULADA]]/((IF(DIR_ATUAL[[#This Row],[FASE]]="MONO",T_LINHA_MONO,IF(DIR_ATUAL[[#This Row],[FASE]]="BIF",T_LINHA_TRF,T_LINHA_TRF*SQRT(3)))/1000)*VLOOKUP(DIR_ATUAL[[#This Row],[CONDUTOR]],CABOS[],9,0))+30,W19+60*(X19/Z19)),"")</f>
        <v/>
      </c>
      <c r="M19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19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19" s="116" t="str">
        <f>IF(DIR_ATUAL[[#This Row],[PONTO]]="","",IFERROR(SUMIF(DIR_ATUAL[PONTO],DIR_ATUAL[[#This Row],[TRECHO]],DIR_ATUAL[Coluna1])+DIR_ATUAL[[#This Row],[QT-PONTO]],""))</f>
        <v/>
      </c>
      <c r="P19" s="56" t="str">
        <f>IFERROR(DIR_ATUAL[[#This Row],[Coluna1]]/T_LINHA_MONO,"")</f>
        <v/>
      </c>
      <c r="Q19" s="55" t="str">
        <f>IFERROR(T_LINHA_MONO*(1-DIR_ATUAL[[#This Row],[QT %]]),"")</f>
        <v/>
      </c>
      <c r="R19" s="55" t="str">
        <f>IFERROR(T_LINHA_TRF*(1-DIR_ATUAL[[#This Row],[QT %]]),"")</f>
        <v/>
      </c>
      <c r="S19" s="67" t="str">
        <f>IFERROR(IF(DIR_ATUAL[[#This Row],[PROTECAO]]="OK","Protecao OK","Ajustar Disj/Condutor"),"")</f>
        <v>Protecao OK</v>
      </c>
      <c r="T19" s="72" t="str">
        <f>IF(DIR_ATUAL[[#This Row],[ETA]]=1,"MONO",IF(DIR_ATUAL[[#This Row],[ETA]]=2,"BIF","TRI"))</f>
        <v>TRI</v>
      </c>
      <c r="U19" s="72">
        <v>3</v>
      </c>
      <c r="V19" s="72" t="str">
        <f t="shared" si="0"/>
        <v>AEREO</v>
      </c>
      <c r="W19" s="72">
        <v>31</v>
      </c>
      <c r="X19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19" s="72" t="str">
        <f>IFERROR(VLOOKUP(DIR_ATUAL[[#This Row],[Ib]],TabelaDisjuntores[],2,TRUE),"")</f>
        <v/>
      </c>
      <c r="Z19" s="72" t="str">
        <f>IFERROR(VLOOKUP(DIR_ATUAL[[#This Row],[CONDUTOR]],CABOS[],2,0),"")</f>
        <v/>
      </c>
      <c r="AA19" s="72" t="str">
        <f>IF(AND(DIR_ATUAL[[#This Row],[Ib]]&lt;=DIR_ATUAL[[#This Row],[In]],DIR_ATUAL[[#This Row],[In]]&lt;=DIR_ATUAL[[#This Row],[Iz]]),"OK","VERIFICAR")</f>
        <v>OK</v>
      </c>
      <c r="AB19" s="97">
        <f>IFERROR(SQRT((DIR_ATUAL[[#This Row],[X]]-$AF$4)^2+(DIR_ATUAL[[#This Row],[Y]]-$AF$5)^2),0)</f>
        <v>0</v>
      </c>
      <c r="AC19" s="9" t="str">
        <f>IFERROR(VLOOKUP(DIR_ATUAL[[#This Row],[CONDUTOR]],CONDUTORES,2,0),"")</f>
        <v/>
      </c>
      <c r="AE19" s="262"/>
      <c r="AF19" s="262"/>
      <c r="AG19" s="262"/>
    </row>
    <row r="20" spans="1:33" x14ac:dyDescent="0.3">
      <c r="A20" s="172"/>
      <c r="B20" s="130"/>
      <c r="C20" s="54" t="str">
        <f>IFERROR(IF(DIR_ATUAL[[#This Row],[PONTO]]="RAMAL",B19,VLOOKUP(DIR_ATUAL[[#This Row],[PONTO]],GERAL[],2,0)),"")</f>
        <v/>
      </c>
      <c r="D20" s="154" t="str">
        <f>IFERROR(IF(DIR_ATUAL[[#This Row],[PONTO]]="RAMAL",15,VLOOKUP(DIR_ATUAL[[#This Row],[PONTO]],GERAL[],3,0)),"")</f>
        <v/>
      </c>
      <c r="E20" s="154" t="str">
        <f>IFERROR(IF(DIR_ATUAL[[#This Row],[PONTO]]="RAMAL","",VLOOKUP(DIR_ATUAL[[#This Row],[PONTO]],GERAL[],7,0)),"")</f>
        <v/>
      </c>
      <c r="F20" s="154" t="str">
        <f>IFERROR(IF(DIR_ATUAL[[#This Row],[PONTO]]="RAMAL","",VLOOKUP(DIR_ATUAL[[#This Row],[PONTO]],GERAL[],4,0)),"")</f>
        <v/>
      </c>
      <c r="G20" s="154" t="str">
        <f>IFERROR(IF(DIR_ATUAL[[#This Row],[PONTO]]="RAMAL","",VLOOKUP(DIR_ATUAL[[#This Row],[PONTO]],GERAL[],5,0)),"")</f>
        <v/>
      </c>
      <c r="H20" s="55" t="str">
        <f>IFERROR(IF(DIR_ATUAL[[#This Row],[PONTO]]="RAMAL",DMDI,VLOOKUP(DIR_ATUAL[[#This Row],[PONTO]],GERAL[],8,0)),"")</f>
        <v/>
      </c>
      <c r="I20" s="55" t="str">
        <f>IFERROR(IF(DIR_ATUAL[[#This Row],[PONTO]]="RAMAL",DIR_ATUAL[[#This Row],[KVA PONTO]],VLOOKUP(DIR_ATUAL[[#This Row],[PONTO]],GERAL[],9,0)),"")</f>
        <v/>
      </c>
      <c r="J20" s="55" t="str">
        <f>IFERROR(VLOOKUP(DIR_ATUAL[[#This Row],[PONTO]],GERAL[],12,0),"")</f>
        <v/>
      </c>
      <c r="K20" s="61" t="str">
        <f>IFERROR(DIR_ATUAL[[#This Row],[Ib]],"")</f>
        <v/>
      </c>
      <c r="L20" s="117" t="str">
        <f>IFERROR(IFERROR(DIR_ATUAL[[#This Row],[ACUMULADA]]/((IF(DIR_ATUAL[[#This Row],[FASE]]="MONO",T_LINHA_MONO,IF(DIR_ATUAL[[#This Row],[FASE]]="BIF",T_LINHA_TRF,T_LINHA_TRF*SQRT(3)))/1000)*VLOOKUP(DIR_ATUAL[[#This Row],[CONDUTOR]],CABOS[],9,0))+30,W20+60*(X20/Z20)),"")</f>
        <v/>
      </c>
      <c r="M20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20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20" s="116" t="str">
        <f>IF(DIR_ATUAL[[#This Row],[PONTO]]="","",IFERROR(SUMIF(DIR_ATUAL[PONTO],DIR_ATUAL[[#This Row],[TRECHO]],DIR_ATUAL[Coluna1])+DIR_ATUAL[[#This Row],[QT-PONTO]],""))</f>
        <v/>
      </c>
      <c r="P20" s="56" t="str">
        <f>IFERROR(DIR_ATUAL[[#This Row],[Coluna1]]/T_LINHA_MONO,"")</f>
        <v/>
      </c>
      <c r="Q20" s="55" t="str">
        <f>IFERROR(T_LINHA_MONO*(1-DIR_ATUAL[[#This Row],[QT %]]),"")</f>
        <v/>
      </c>
      <c r="R20" s="55" t="str">
        <f>IFERROR(T_LINHA_TRF*(1-DIR_ATUAL[[#This Row],[QT %]]),"")</f>
        <v/>
      </c>
      <c r="S20" s="67" t="str">
        <f>IFERROR(IF(DIR_ATUAL[[#This Row],[PROTECAO]]="OK","Protecao OK","Ajustar Disj/Condutor"),"")</f>
        <v>Protecao OK</v>
      </c>
      <c r="T20" s="72" t="str">
        <f>IF(DIR_ATUAL[[#This Row],[ETA]]=1,"MONO",IF(DIR_ATUAL[[#This Row],[ETA]]=2,"BIF","TRI"))</f>
        <v>TRI</v>
      </c>
      <c r="U20" s="72">
        <v>3</v>
      </c>
      <c r="V20" s="72" t="str">
        <f t="shared" si="0"/>
        <v>AEREO</v>
      </c>
      <c r="W20" s="72">
        <v>32</v>
      </c>
      <c r="X20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20" s="72" t="str">
        <f>IFERROR(VLOOKUP(DIR_ATUAL[[#This Row],[Ib]],TabelaDisjuntores[],2,TRUE),"")</f>
        <v/>
      </c>
      <c r="Z20" s="72" t="str">
        <f>IFERROR(VLOOKUP(DIR_ATUAL[[#This Row],[CONDUTOR]],CABOS[],2,0),"")</f>
        <v/>
      </c>
      <c r="AA20" s="72" t="str">
        <f>IF(AND(DIR_ATUAL[[#This Row],[Ib]]&lt;=DIR_ATUAL[[#This Row],[In]],DIR_ATUAL[[#This Row],[In]]&lt;=DIR_ATUAL[[#This Row],[Iz]]),"OK","VERIFICAR")</f>
        <v>OK</v>
      </c>
      <c r="AB20" s="97">
        <f>IFERROR(SQRT((DIR_ATUAL[[#This Row],[X]]-$AF$4)^2+(DIR_ATUAL[[#This Row],[Y]]-$AF$5)^2),0)</f>
        <v>0</v>
      </c>
      <c r="AC20" s="9" t="str">
        <f>IFERROR(VLOOKUP(DIR_ATUAL[[#This Row],[CONDUTOR]],CONDUTORES,2,0),"")</f>
        <v/>
      </c>
    </row>
    <row r="21" spans="1:33" x14ac:dyDescent="0.3">
      <c r="A21" s="54"/>
      <c r="B21" s="130"/>
      <c r="C21" s="54" t="str">
        <f>IFERROR(IF(DIR_ATUAL[[#This Row],[PONTO]]="RAMAL",B20,VLOOKUP(DIR_ATUAL[[#This Row],[PONTO]],GERAL[],2,0)),"")</f>
        <v/>
      </c>
      <c r="D21" s="154" t="str">
        <f>IFERROR(IF(DIR_ATUAL[[#This Row],[PONTO]]="RAMAL",15,VLOOKUP(DIR_ATUAL[[#This Row],[PONTO]],GERAL[],3,0)),"")</f>
        <v/>
      </c>
      <c r="E21" s="154" t="str">
        <f>IFERROR(IF(DIR_ATUAL[[#This Row],[PONTO]]="RAMAL","",VLOOKUP(DIR_ATUAL[[#This Row],[PONTO]],GERAL[],7,0)),"")</f>
        <v/>
      </c>
      <c r="F21" s="154" t="str">
        <f>IFERROR(IF(DIR_ATUAL[[#This Row],[PONTO]]="RAMAL","",VLOOKUP(DIR_ATUAL[[#This Row],[PONTO]],GERAL[],4,0)),"")</f>
        <v/>
      </c>
      <c r="G21" s="154" t="str">
        <f>IFERROR(IF(DIR_ATUAL[[#This Row],[PONTO]]="RAMAL","",VLOOKUP(DIR_ATUAL[[#This Row],[PONTO]],GERAL[],5,0)),"")</f>
        <v/>
      </c>
      <c r="H21" s="55" t="str">
        <f>IFERROR(IF(DIR_ATUAL[[#This Row],[PONTO]]="RAMAL",DMDI,VLOOKUP(DIR_ATUAL[[#This Row],[PONTO]],GERAL[],8,0)),"")</f>
        <v/>
      </c>
      <c r="I21" s="55" t="str">
        <f>IFERROR(IF(DIR_ATUAL[[#This Row],[PONTO]]="RAMAL",DIR_ATUAL[[#This Row],[KVA PONTO]],VLOOKUP(DIR_ATUAL[[#This Row],[PONTO]],GERAL[],9,0)),"")</f>
        <v/>
      </c>
      <c r="J21" s="55" t="str">
        <f>IFERROR(VLOOKUP(DIR_ATUAL[[#This Row],[PONTO]],GERAL[],12,0),"")</f>
        <v/>
      </c>
      <c r="K21" s="61" t="str">
        <f>IFERROR(DIR_ATUAL[[#This Row],[Ib]],"")</f>
        <v/>
      </c>
      <c r="L21" s="117" t="str">
        <f>IFERROR(IFERROR(DIR_ATUAL[[#This Row],[ACUMULADA]]/((IF(DIR_ATUAL[[#This Row],[FASE]]="MONO",T_LINHA_MONO,IF(DIR_ATUAL[[#This Row],[FASE]]="BIF",T_LINHA_TRF,T_LINHA_TRF*SQRT(3)))/1000)*VLOOKUP(DIR_ATUAL[[#This Row],[CONDUTOR]],CABOS[],9,0))+30,W21+60*(X21/Z21)),"")</f>
        <v/>
      </c>
      <c r="M21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21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21" s="116" t="str">
        <f>IF(DIR_ATUAL[[#This Row],[PONTO]]="","",IFERROR(SUMIF(DIR_ATUAL[PONTO],DIR_ATUAL[[#This Row],[TRECHO]],DIR_ATUAL[Coluna1])+DIR_ATUAL[[#This Row],[QT-PONTO]],""))</f>
        <v/>
      </c>
      <c r="P21" s="56" t="str">
        <f>IFERROR(DIR_ATUAL[[#This Row],[Coluna1]]/T_LINHA_MONO,"")</f>
        <v/>
      </c>
      <c r="Q21" s="55" t="str">
        <f>IFERROR(T_LINHA_MONO*(1-DIR_ATUAL[[#This Row],[QT %]]),"")</f>
        <v/>
      </c>
      <c r="R21" s="55" t="str">
        <f>IFERROR(T_LINHA_TRF*(1-DIR_ATUAL[[#This Row],[QT %]]),"")</f>
        <v/>
      </c>
      <c r="S21" s="67" t="str">
        <f>IFERROR(IF(DIR_ATUAL[[#This Row],[PROTECAO]]="OK","Protecao OK","Ajustar Disj/Condutor"),"")</f>
        <v>Protecao OK</v>
      </c>
      <c r="T21" s="72" t="str">
        <f>IF(DIR_ATUAL[[#This Row],[ETA]]=1,"MONO",IF(DIR_ATUAL[[#This Row],[ETA]]=2,"BIF","TRI"))</f>
        <v>TRI</v>
      </c>
      <c r="U21" s="72">
        <v>3</v>
      </c>
      <c r="V21" s="72" t="str">
        <f t="shared" si="0"/>
        <v>AEREO</v>
      </c>
      <c r="W21" s="72">
        <v>33</v>
      </c>
      <c r="X21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21" s="72" t="str">
        <f>IFERROR(VLOOKUP(DIR_ATUAL[[#This Row],[Ib]],TabelaDisjuntores[],2,TRUE),"")</f>
        <v/>
      </c>
      <c r="Z21" s="72" t="str">
        <f>IFERROR(VLOOKUP(DIR_ATUAL[[#This Row],[CONDUTOR]],CABOS[],2,0),"")</f>
        <v/>
      </c>
      <c r="AA21" s="72" t="str">
        <f>IF(AND(DIR_ATUAL[[#This Row],[Ib]]&lt;=DIR_ATUAL[[#This Row],[In]],DIR_ATUAL[[#This Row],[In]]&lt;=DIR_ATUAL[[#This Row],[Iz]]),"OK","VERIFICAR")</f>
        <v>OK</v>
      </c>
      <c r="AB21" s="97">
        <f>IFERROR(SQRT((DIR_ATUAL[[#This Row],[X]]-$AF$4)^2+(DIR_ATUAL[[#This Row],[Y]]-$AF$5)^2),0)</f>
        <v>0</v>
      </c>
      <c r="AC21" s="9" t="str">
        <f>IFERROR(VLOOKUP(DIR_ATUAL[[#This Row],[CONDUTOR]],CONDUTORES,2,0),"")</f>
        <v/>
      </c>
      <c r="AE21" s="146"/>
      <c r="AF21" s="146" t="str">
        <f>IF(J23="","FALTA CONDUTOR NO RAMAL","")</f>
        <v/>
      </c>
      <c r="AG21" s="146"/>
    </row>
    <row r="22" spans="1:33" x14ac:dyDescent="0.3">
      <c r="A22" s="172"/>
      <c r="B22" s="130" t="str">
        <f>IFERROR(VLOOKUP(A22,PROJ1!A22:C64,2,0),"")</f>
        <v/>
      </c>
      <c r="C22" s="54" t="str">
        <f>IFERROR(IF(DIR_ATUAL[[#This Row],[PONTO]]="RAMAL",B21,VLOOKUP(DIR_ATUAL[[#This Row],[PONTO]],GERAL[],2,0)),"")</f>
        <v/>
      </c>
      <c r="D22" s="154" t="str">
        <f>IFERROR(IF(DIR_ATUAL[[#This Row],[PONTO]]="RAMAL",15,VLOOKUP(DIR_ATUAL[[#This Row],[PONTO]],GERAL[],3,0)),"")</f>
        <v/>
      </c>
      <c r="E22" s="154" t="str">
        <f>IFERROR(IF(DIR_ATUAL[[#This Row],[PONTO]]="RAMAL","",VLOOKUP(DIR_ATUAL[[#This Row],[PONTO]],GERAL[],7,0)),"")</f>
        <v/>
      </c>
      <c r="F22" s="154" t="str">
        <f>IFERROR(IF(DIR_ATUAL[[#This Row],[PONTO]]="RAMAL","",VLOOKUP(DIR_ATUAL[[#This Row],[PONTO]],GERAL[],4,0)),"")</f>
        <v/>
      </c>
      <c r="G22" s="154" t="str">
        <f>IFERROR(IF(DIR_ATUAL[[#This Row],[PONTO]]="RAMAL","",VLOOKUP(DIR_ATUAL[[#This Row],[PONTO]],GERAL[],5,0)),"")</f>
        <v/>
      </c>
      <c r="H22" s="55" t="str">
        <f>IFERROR(IF(DIR_ATUAL[[#This Row],[PONTO]]="RAMAL",DMDI,VLOOKUP(DIR_ATUAL[[#This Row],[PONTO]],GERAL[],8,0)),"")</f>
        <v/>
      </c>
      <c r="I22" s="55" t="str">
        <f>IFERROR(IF(DIR_ATUAL[[#This Row],[PONTO]]="RAMAL",DIR_ATUAL[[#This Row],[KVA PONTO]],VLOOKUP(DIR_ATUAL[[#This Row],[PONTO]],GERAL[],9,0)),"")</f>
        <v/>
      </c>
      <c r="J22" s="55" t="str">
        <f>IFERROR(VLOOKUP(DIR_ATUAL[[#This Row],[PONTO]],GERAL[],12,0),"")</f>
        <v/>
      </c>
      <c r="K22" s="61" t="str">
        <f>IFERROR(DIR_ATUAL[[#This Row],[Ib]],"")</f>
        <v/>
      </c>
      <c r="L22" s="117" t="str">
        <f>IFERROR(IFERROR(DIR_ATUAL[[#This Row],[ACUMULADA]]/((IF(DIR_ATUAL[[#This Row],[FASE]]="MONO",T_LINHA_MONO,IF(DIR_ATUAL[[#This Row],[FASE]]="BIF",T_LINHA_TRF,T_LINHA_TRF*SQRT(3)))/1000)*VLOOKUP(DIR_ATUAL[[#This Row],[CONDUTOR]],CABOS[],9,0))+30,W22+60*(X22/Z22)),"")</f>
        <v/>
      </c>
      <c r="M22" s="68" t="str">
        <f>IFERROR((VLOOKUP(DIR_ATUAL[[#This Row],[CONDUTOR]],CABOS[],3,0)/VLOOKUP(DIR_ATUAL[[#This Row],[CONDUTOR]],CABOS[],6,0))*(1+VLOOKUP(DIR_ATUAL[[#This Row],[CONDUTOR]],CABOS[],5,0)*(DIR_ATUAL[[#This Row],[T]]-20)),"")</f>
        <v/>
      </c>
      <c r="N22" s="62" t="str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/>
      </c>
      <c r="O22" s="116" t="str">
        <f>IF(DIR_ATUAL[[#This Row],[PONTO]]="","",IFERROR(SUMIF(DIR_ATUAL[PONTO],DIR_ATUAL[[#This Row],[TRECHO]],DIR_ATUAL[Coluna1])+DIR_ATUAL[[#This Row],[QT-PONTO]],""))</f>
        <v/>
      </c>
      <c r="P22" s="56" t="str">
        <f>IFERROR(DIR_ATUAL[[#This Row],[Coluna1]]/T_LINHA_MONO,"")</f>
        <v/>
      </c>
      <c r="Q22" s="55" t="str">
        <f>IFERROR(T_LINHA_MONO*(1-DIR_ATUAL[[#This Row],[QT %]]),"")</f>
        <v/>
      </c>
      <c r="R22" s="55" t="str">
        <f>IFERROR(T_LINHA_TRF*(1-DIR_ATUAL[[#This Row],[QT %]]),"")</f>
        <v/>
      </c>
      <c r="S22" s="67" t="str">
        <f>IFERROR(IF(DIR_ATUAL[[#This Row],[PROTECAO]]="OK","Protecao OK","Ajustar Disj/Condutor"),"")</f>
        <v>Protecao OK</v>
      </c>
      <c r="T22" s="72" t="str">
        <f>IF(DIR_ATUAL[[#This Row],[ETA]]=1,"MONO",IF(DIR_ATUAL[[#This Row],[ETA]]=2,"BIF","TRI"))</f>
        <v>TRI</v>
      </c>
      <c r="U22" s="72">
        <v>3</v>
      </c>
      <c r="V22" s="72" t="str">
        <f t="shared" si="0"/>
        <v>AEREO</v>
      </c>
      <c r="W22" s="72">
        <v>34</v>
      </c>
      <c r="X22" s="72" t="str">
        <f>IFERROR(IF(DIR_ATUAL[[#This Row],[FASE]]="MONO",DIR_ATUAL[[#This Row],[ACUMULADA]]*1000/(T_LINHA_TRF*DIR_ATUAL[[#This Row],[ETA]]),DIR_ATUAL[[#This Row],[ACUMULADA]]*1000/(SQRT(3)*$R$7*DIR_ATUAL[[#This Row],[ETA]])),"")</f>
        <v/>
      </c>
      <c r="Y22" s="72" t="str">
        <f>IFERROR(VLOOKUP(DIR_ATUAL[[#This Row],[Ib]],TabelaDisjuntores[],2,TRUE),"")</f>
        <v/>
      </c>
      <c r="Z22" s="72" t="str">
        <f>IFERROR(VLOOKUP(DIR_ATUAL[[#This Row],[CONDUTOR]],CABOS[],2,0),"")</f>
        <v/>
      </c>
      <c r="AA22" s="72" t="str">
        <f>IF(AND(DIR_ATUAL[[#This Row],[Ib]]&lt;=DIR_ATUAL[[#This Row],[In]],DIR_ATUAL[[#This Row],[In]]&lt;=DIR_ATUAL[[#This Row],[Iz]]),"OK","VERIFICAR")</f>
        <v>OK</v>
      </c>
      <c r="AB22" s="97">
        <f>IFERROR(SQRT((DIR_ATUAL[[#This Row],[X]]-$AF$4)^2+(DIR_ATUAL[[#This Row],[Y]]-$AF$5)^2),0)</f>
        <v>0</v>
      </c>
      <c r="AC22" s="9" t="str">
        <f>IFERROR(VLOOKUP(DIR_ATUAL[[#This Row],[CONDUTOR]],CONDUTORES,2,0),"")</f>
        <v/>
      </c>
    </row>
    <row r="23" spans="1:33" x14ac:dyDescent="0.3">
      <c r="A23" s="172" t="s">
        <v>323</v>
      </c>
      <c r="B23" s="70" t="s">
        <v>275</v>
      </c>
      <c r="C23" s="130">
        <v>8</v>
      </c>
      <c r="D23" s="54">
        <v>30</v>
      </c>
      <c r="E23" s="154">
        <v>1</v>
      </c>
      <c r="F23" s="154" t="str">
        <f>IFERROR(IF(DIR_ATUAL[[#This Row],[PONTO]]="RAMAL","",VLOOKUP(DIR_ATUAL[[#This Row],[PONTO]],GERAL[],4,0)),"")</f>
        <v/>
      </c>
      <c r="G23" s="154" t="str">
        <f>IFERROR(IF(DIR_ATUAL[[#This Row],[PONTO]]="RAMAL","",VLOOKUP(DIR_ATUAL[[#This Row],[PONTO]],GERAL[],5,0)),"")</f>
        <v/>
      </c>
      <c r="H23" s="55">
        <f>IFERROR(IF(DIR_ATUAL[[#This Row],[PONTO]]="RAMAL",DMDI,VLOOKUP(DIR_ATUAL[[#This Row],[PONTO]],GERAL[],8,0)),"")</f>
        <v>1.88</v>
      </c>
      <c r="I23" s="55">
        <f>IFERROR(IF(DIR_ATUAL[[#This Row],[PONTO]]="RAMAL",DIR_ATUAL[[#This Row],[KVA PONTO]],VLOOKUP(DIR_ATUAL[[#This Row],[PONTO]],GERAL[],9,0)),"")</f>
        <v>1.88</v>
      </c>
      <c r="J23" s="135" t="s">
        <v>97</v>
      </c>
      <c r="K23" s="61">
        <f>IFERROR(DIR_ATUAL[[#This Row],[Ib]],"")</f>
        <v>1.6445734940552976</v>
      </c>
      <c r="L23" s="117">
        <f>IFERROR(IFERROR(DIR_ATUAL[[#This Row],[ACUMULADA]]/((IF(DIR_ATUAL[[#This Row],[FASE]]="MONO",T_LINHA_MONO,IF(DIR_ATUAL[[#This Row],[FASE]]="BIF",T_LINHA_TRF,T_LINHA_TRF*SQRT(3)))/1000)*VLOOKUP(DIR_ATUAL[[#This Row],[CONDUTOR]],CABOS[],9,0))+30,W23+60*(X23/Z23)),"")</f>
        <v>34.698781411586566</v>
      </c>
      <c r="M23" s="68">
        <f>IFERROR((VLOOKUP(DIR_ATUAL[[#This Row],[CONDUTOR]],CABOS[],3,0)/VLOOKUP(DIR_ATUAL[[#This Row],[CONDUTOR]],CABOS[],6,0))*(1+VLOOKUP(DIR_ATUAL[[#This Row],[CONDUTOR]],CABOS[],5,0)*(DIR_ATUAL[[#This Row],[T]]-20)),"")</f>
        <v>2.0636037487625933</v>
      </c>
      <c r="N23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0.33033328915624954</v>
      </c>
      <c r="O23" s="116">
        <f>IF(DIR_ATUAL[[#This Row],[PONTO]]="","",IFERROR(SUMIF(DIR_ATUAL[PONTO],DIR_ATUAL[[#This Row],[TRECHO]],DIR_ATUAL[Coluna1])+DIR_ATUAL[[#This Row],[QT-PONTO]],""))</f>
        <v>14.853198364268755</v>
      </c>
      <c r="P23" s="56">
        <f>IFERROR(DIR_ATUAL[[#This Row],[Coluna1]]/T_LINHA_MONO,"")</f>
        <v>0.11693861009914737</v>
      </c>
      <c r="Q23" s="55">
        <f>IFERROR(T_LINHA_MONO*(1-DIR_ATUAL[[#This Row],[QT %]]),"")</f>
        <v>112.16386085744891</v>
      </c>
      <c r="R23" s="55">
        <f>IFERROR(T_LINHA_TRF*(1-DIR_ATUAL[[#This Row],[QT %]]),"")</f>
        <v>194.27350577818757</v>
      </c>
      <c r="S23" s="67" t="str">
        <f>IFERROR(IF(DIR_ATUAL[[#This Row],[PROTECAO]]="OK","Protecao OK","Ajustar Disj/Condutor"),"")</f>
        <v>Ajustar Disj/Condutor</v>
      </c>
      <c r="T23" s="72" t="str">
        <f>IF(DIR_ATUAL[[#This Row],[ETA]]=1,"MONO",IF(DIR_ATUAL[[#This Row],[ETA]]=2,"BIF","TRI"))</f>
        <v>TRI</v>
      </c>
      <c r="U23" s="72">
        <v>3</v>
      </c>
      <c r="V23" s="72" t="str">
        <f t="shared" si="0"/>
        <v>AEREO</v>
      </c>
      <c r="W23" s="72">
        <v>47</v>
      </c>
      <c r="X23" s="72">
        <f>IFERROR(IF(DIR_ATUAL[[#This Row],[FASE]]="MONO",DIR_ATUAL[[#This Row],[ACUMULADA]]*1000/(T_LINHA_TRF*DIR_ATUAL[[#This Row],[ETA]]),DIR_ATUAL[[#This Row],[ACUMULADA]]*1000/(SQRT(3)*$R$7*DIR_ATUAL[[#This Row],[ETA]])),"")</f>
        <v>1.6445734940552976</v>
      </c>
      <c r="Y23" s="72">
        <f>IFERROR(VLOOKUP(DIR_ATUAL[[#This Row],[Ib]],TabelaDisjuntores[],2,TRUE),"")</f>
        <v>0</v>
      </c>
      <c r="Z23" s="72">
        <f>IFERROR(VLOOKUP(DIR_ATUAL[[#This Row],[CONDUTOR]],CABOS[],2,0),"")</f>
        <v>63</v>
      </c>
      <c r="AA23" s="72" t="str">
        <f>IF(AND(DIR_ATUAL[[#This Row],[Ib]]&lt;=DIR_ATUAL[[#This Row],[In]],DIR_ATUAL[[#This Row],[In]]&lt;=DIR_ATUAL[[#This Row],[Iz]]),"OK","VERIFICAR")</f>
        <v>VERIFICAR</v>
      </c>
      <c r="AB23" s="97">
        <f>IFERROR(SQRT((DIR_ATUAL[[#This Row],[X]]-$AF$4)^2+(DIR_ATUAL[[#This Row],[Y]]-$AF$5)^2),0)</f>
        <v>0</v>
      </c>
      <c r="AC23" s="9">
        <f>IFERROR(VLOOKUP(DIR_ATUAL[[#This Row],[CONDUTOR]],CONDUTORES,2,0),"")</f>
        <v>63</v>
      </c>
      <c r="AF23" t="s">
        <v>276</v>
      </c>
    </row>
    <row r="24" spans="1:33" x14ac:dyDescent="0.3">
      <c r="A24" s="172" t="s">
        <v>323</v>
      </c>
      <c r="B24" s="70" t="s">
        <v>275</v>
      </c>
      <c r="C24" s="130">
        <v>9</v>
      </c>
      <c r="D24" s="54">
        <v>30</v>
      </c>
      <c r="E24" s="154">
        <v>1</v>
      </c>
      <c r="F24" s="154" t="str">
        <f>IFERROR(IF(DIR_ATUAL[[#This Row],[PONTO]]="RAMAL","",VLOOKUP(DIR_ATUAL[[#This Row],[PONTO]],GERAL[],4,0)),"")</f>
        <v/>
      </c>
      <c r="G24" s="154" t="str">
        <f>IFERROR(IF(DIR_ATUAL[[#This Row],[PONTO]]="RAMAL","",VLOOKUP(DIR_ATUAL[[#This Row],[PONTO]],GERAL[],5,0)),"")</f>
        <v/>
      </c>
      <c r="H24" s="55">
        <f>IFERROR(IF(DIR_ATUAL[[#This Row],[PONTO]]="RAMAL",DMDI,VLOOKUP(DIR_ATUAL[[#This Row],[PONTO]],GERAL[],8,0)),"")</f>
        <v>1.88</v>
      </c>
      <c r="I24" s="55">
        <f>IFERROR(IF(DIR_ATUAL[[#This Row],[PONTO]]="RAMAL",DIR_ATUAL[[#This Row],[KVA PONTO]],VLOOKUP(DIR_ATUAL[[#This Row],[PONTO]],GERAL[],9,0)),"")</f>
        <v>1.88</v>
      </c>
      <c r="J24" s="135" t="s">
        <v>97</v>
      </c>
      <c r="K24" s="61">
        <f>IFERROR(DIR_ATUAL[[#This Row],[Ib]],"")</f>
        <v>1.6445734940552976</v>
      </c>
      <c r="L24" s="117">
        <f>IFERROR(IFERROR(DIR_ATUAL[[#This Row],[ACUMULADA]]/((IF(DIR_ATUAL[[#This Row],[FASE]]="MONO",T_LINHA_MONO,IF(DIR_ATUAL[[#This Row],[FASE]]="BIF",T_LINHA_TRF,T_LINHA_TRF*SQRT(3)))/1000)*VLOOKUP(DIR_ATUAL[[#This Row],[CONDUTOR]],CABOS[],9,0))+30,W24+60*(X24/Z24)),"")</f>
        <v>34.698781411586566</v>
      </c>
      <c r="M24" s="68">
        <f>IFERROR((VLOOKUP(DIR_ATUAL[[#This Row],[CONDUTOR]],CABOS[],3,0)/VLOOKUP(DIR_ATUAL[[#This Row],[CONDUTOR]],CABOS[],6,0))*(1+VLOOKUP(DIR_ATUAL[[#This Row],[CONDUTOR]],CABOS[],5,0)*(DIR_ATUAL[[#This Row],[T]]-20)),"")</f>
        <v>2.0636037487625933</v>
      </c>
      <c r="N24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0.33033328915624954</v>
      </c>
      <c r="O24" s="116">
        <f>IF(DIR_ATUAL[[#This Row],[PONTO]]="","",IFERROR(SUMIF(DIR_ATUAL[PONTO],DIR_ATUAL[[#This Row],[TRECHO]],DIR_ATUAL[Coluna1])+DIR_ATUAL[[#This Row],[QT-PONTO]],""))</f>
        <v>9.0600111076617029</v>
      </c>
      <c r="P24" s="56">
        <f>IFERROR(DIR_ATUAL[[#This Row],[Coluna1]]/T_LINHA_MONO,"")</f>
        <v>7.1329088889129325E-2</v>
      </c>
      <c r="Q24" s="55">
        <f>IFERROR(T_LINHA_MONO*(1-DIR_ATUAL[[#This Row],[QT %]]),"")</f>
        <v>117.95704811405597</v>
      </c>
      <c r="R24" s="55">
        <f>IFERROR(T_LINHA_TRF*(1-DIR_ATUAL[[#This Row],[QT %]]),"")</f>
        <v>204.30760044439154</v>
      </c>
      <c r="S24" s="67" t="str">
        <f>IFERROR(IF(DIR_ATUAL[[#This Row],[PROTECAO]]="OK","Protecao OK","Ajustar Disj/Condutor"),"")</f>
        <v>Ajustar Disj/Condutor</v>
      </c>
      <c r="T24" s="72" t="str">
        <f>IF(DIR_ATUAL[[#This Row],[ETA]]=1,"MONO",IF(DIR_ATUAL[[#This Row],[ETA]]=2,"BIF","TRI"))</f>
        <v>TRI</v>
      </c>
      <c r="U24" s="72">
        <v>3</v>
      </c>
      <c r="V24" s="72" t="str">
        <f t="shared" si="0"/>
        <v>AEREO</v>
      </c>
      <c r="W24" s="72">
        <v>47</v>
      </c>
      <c r="X24" s="72">
        <f>IFERROR(IF(DIR_ATUAL[[#This Row],[FASE]]="MONO",DIR_ATUAL[[#This Row],[ACUMULADA]]*1000/(T_LINHA_TRF*DIR_ATUAL[[#This Row],[ETA]]),DIR_ATUAL[[#This Row],[ACUMULADA]]*1000/(SQRT(3)*$R$7*DIR_ATUAL[[#This Row],[ETA]])),"")</f>
        <v>1.6445734940552976</v>
      </c>
      <c r="Y24" s="72">
        <f>IFERROR(VLOOKUP(DIR_ATUAL[[#This Row],[Ib]],TabelaDisjuntores[],2,TRUE),"")</f>
        <v>0</v>
      </c>
      <c r="Z24" s="72">
        <f>IFERROR(VLOOKUP(DIR_ATUAL[[#This Row],[CONDUTOR]],CABOS[],2,0),"")</f>
        <v>63</v>
      </c>
      <c r="AA24" s="72" t="str">
        <f>IF(AND(DIR_ATUAL[[#This Row],[Ib]]&lt;=DIR_ATUAL[[#This Row],[In]],DIR_ATUAL[[#This Row],[In]]&lt;=DIR_ATUAL[[#This Row],[Iz]]),"OK","VERIFICAR")</f>
        <v>VERIFICAR</v>
      </c>
      <c r="AB24" s="97">
        <f>IFERROR(SQRT((DIR_ATUAL[[#This Row],[X]]-$AF$4)^2+(DIR_ATUAL[[#This Row],[Y]]-$AF$5)^2),0)</f>
        <v>0</v>
      </c>
      <c r="AC24" s="9">
        <f>IFERROR(VLOOKUP(DIR_ATUAL[[#This Row],[CONDUTOR]],CONDUTORES,2,0),"")</f>
        <v>63</v>
      </c>
    </row>
    <row r="25" spans="1:33" x14ac:dyDescent="0.3">
      <c r="A25" s="172" t="s">
        <v>323</v>
      </c>
      <c r="B25" s="70" t="s">
        <v>275</v>
      </c>
      <c r="C25" s="130"/>
      <c r="D25" s="54">
        <v>30</v>
      </c>
      <c r="E25" s="154">
        <v>1</v>
      </c>
      <c r="F25" s="154" t="str">
        <f>IFERROR(IF(DIR_ATUAL[[#This Row],[PONTO]]="RAMAL","",VLOOKUP(DIR_ATUAL[[#This Row],[PONTO]],GERAL[],4,0)),"")</f>
        <v/>
      </c>
      <c r="G25" s="154" t="str">
        <f>IFERROR(IF(DIR_ATUAL[[#This Row],[PONTO]]="RAMAL","",VLOOKUP(DIR_ATUAL[[#This Row],[PONTO]],GERAL[],5,0)),"")</f>
        <v/>
      </c>
      <c r="H25" s="55">
        <f>IFERROR(IF(DIR_ATUAL[[#This Row],[PONTO]]="RAMAL",DMDI,VLOOKUP(DIR_ATUAL[[#This Row],[PONTO]],GERAL[],8,0)),"")</f>
        <v>1.88</v>
      </c>
      <c r="I25" s="55">
        <f>IFERROR(IF(DIR_ATUAL[[#This Row],[PONTO]]="RAMAL",DIR_ATUAL[[#This Row],[KVA PONTO]],VLOOKUP(DIR_ATUAL[[#This Row],[PONTO]],GERAL[],9,0)),"")</f>
        <v>1.88</v>
      </c>
      <c r="J25" s="135" t="s">
        <v>97</v>
      </c>
      <c r="K25" s="61">
        <f>IFERROR(DIR_ATUAL[[#This Row],[Ib]],"")</f>
        <v>1.6445734940552976</v>
      </c>
      <c r="L25" s="117">
        <f>IFERROR(IFERROR(DIR_ATUAL[[#This Row],[ACUMULADA]]/((IF(DIR_ATUAL[[#This Row],[FASE]]="MONO",T_LINHA_MONO,IF(DIR_ATUAL[[#This Row],[FASE]]="BIF",T_LINHA_TRF,T_LINHA_TRF*SQRT(3)))/1000)*VLOOKUP(DIR_ATUAL[[#This Row],[CONDUTOR]],CABOS[],9,0))+30,W25+60*(X25/Z25)),"")</f>
        <v>34.698781411586566</v>
      </c>
      <c r="M25" s="68">
        <f>IFERROR((VLOOKUP(DIR_ATUAL[[#This Row],[CONDUTOR]],CABOS[],3,0)/VLOOKUP(DIR_ATUAL[[#This Row],[CONDUTOR]],CABOS[],6,0))*(1+VLOOKUP(DIR_ATUAL[[#This Row],[CONDUTOR]],CABOS[],5,0)*(DIR_ATUAL[[#This Row],[T]]-20)),"")</f>
        <v>2.0636037487625933</v>
      </c>
      <c r="N25" s="62">
        <f>IFERROR(IF(DIR_ATUAL[[#This Row],[FASE]]="MONO",6,IF(DIR_ATUAL[[#This Row],[FASE]]="BIF",2,1))*DIR_ATUAL[[#This Row],[ACUMULADA]]*(SQRT(DIR_ATUAL[[#This Row],[R CORR]]^2+VLOOKUP(DIR_ATUAL[[#This Row],[CONDUTOR]],CABOS[],4,0)^2)/(($R$7^2)/100))*DIR_ATUAL[[#This Row],[M]]*T_LINHA_MONO/100+IF(DIR_ATUAL[[#This Row],[TRECHO]]=0,T_LINHA_MONO*QT_MTTR,0),"")</f>
        <v>6.4396466255771925</v>
      </c>
      <c r="O25" s="116">
        <f>IF(DIR_ATUAL[[#This Row],[PONTO]]="","",IFERROR(SUMIF(DIR_ATUAL[PONTO],DIR_ATUAL[[#This Row],[TRECHO]],DIR_ATUAL[Coluna1])+DIR_ATUAL[[#This Row],[QT-PONTO]],""))</f>
        <v>6.4396466255771925</v>
      </c>
      <c r="P25" s="56">
        <f>IFERROR(DIR_ATUAL[[#This Row],[Coluna1]]/T_LINHA_MONO,"")</f>
        <v>5.0699068810405326E-2</v>
      </c>
      <c r="Q25" s="55">
        <f>IFERROR(T_LINHA_MONO*(1-DIR_ATUAL[[#This Row],[QT %]]),"")</f>
        <v>120.57741259614048</v>
      </c>
      <c r="R25" s="55">
        <f>IFERROR(T_LINHA_TRF*(1-DIR_ATUAL[[#This Row],[QT %]]),"")</f>
        <v>208.84620486171085</v>
      </c>
      <c r="S25" s="67" t="str">
        <f>IFERROR(IF(DIR_ATUAL[[#This Row],[PROTECAO]]="OK","Protecao OK","Ajustar Disj/Condutor"),"")</f>
        <v>Ajustar Disj/Condutor</v>
      </c>
      <c r="T25" s="72" t="str">
        <f>IF(DIR_ATUAL[[#This Row],[ETA]]=1,"MONO",IF(DIR_ATUAL[[#This Row],[ETA]]=2,"BIF","TRI"))</f>
        <v>TRI</v>
      </c>
      <c r="U25" s="72">
        <v>3</v>
      </c>
      <c r="V25" s="72" t="str">
        <f t="shared" si="0"/>
        <v>AEREO</v>
      </c>
      <c r="W25" s="72">
        <v>47</v>
      </c>
      <c r="X25" s="72">
        <f>IFERROR(IF(DIR_ATUAL[[#This Row],[FASE]]="MONO",DIR_ATUAL[[#This Row],[ACUMULADA]]*1000/(T_LINHA_TRF*DIR_ATUAL[[#This Row],[ETA]]),DIR_ATUAL[[#This Row],[ACUMULADA]]*1000/(SQRT(3)*$R$7*DIR_ATUAL[[#This Row],[ETA]])),"")</f>
        <v>1.6445734940552976</v>
      </c>
      <c r="Y25" s="72">
        <f>IFERROR(VLOOKUP(DIR_ATUAL[[#This Row],[Ib]],TabelaDisjuntores[],2,TRUE),"")</f>
        <v>0</v>
      </c>
      <c r="Z25" s="72">
        <f>IFERROR(VLOOKUP(DIR_ATUAL[[#This Row],[CONDUTOR]],CABOS[],2,0),"")</f>
        <v>63</v>
      </c>
      <c r="AA25" s="72" t="str">
        <f>IF(AND(DIR_ATUAL[[#This Row],[Ib]]&lt;=DIR_ATUAL[[#This Row],[In]],DIR_ATUAL[[#This Row],[In]]&lt;=DIR_ATUAL[[#This Row],[Iz]]),"OK","VERIFICAR")</f>
        <v>VERIFICAR</v>
      </c>
      <c r="AB25" s="97">
        <f>IFERROR(SQRT((DIR_ATUAL[[#This Row],[X]]-$AF$4)^2+(DIR_ATUAL[[#This Row],[Y]]-$AF$5)^2),0)</f>
        <v>0</v>
      </c>
      <c r="AC25" s="9">
        <f>IFERROR(VLOOKUP(DIR_ATUAL[[#This Row],[CONDUTOR]],CONDUTORES,2,0),"")</f>
        <v>63</v>
      </c>
    </row>
    <row r="36" spans="32:32" x14ac:dyDescent="0.3">
      <c r="AF36" s="102"/>
    </row>
  </sheetData>
  <mergeCells count="25">
    <mergeCell ref="AE2:AF3"/>
    <mergeCell ref="C2:C3"/>
    <mergeCell ref="H5:H6"/>
    <mergeCell ref="F2:F3"/>
    <mergeCell ref="AC5:AC6"/>
    <mergeCell ref="N5:N6"/>
    <mergeCell ref="P5:P6"/>
    <mergeCell ref="O5:O6"/>
    <mergeCell ref="E5:E6"/>
    <mergeCell ref="B5:B6"/>
    <mergeCell ref="B2:B3"/>
    <mergeCell ref="A5:A6"/>
    <mergeCell ref="AE16:AG19"/>
    <mergeCell ref="D2:D3"/>
    <mergeCell ref="G2:G3"/>
    <mergeCell ref="K5:K6"/>
    <mergeCell ref="AB5:AB6"/>
    <mergeCell ref="I5:I6"/>
    <mergeCell ref="U5:U6"/>
    <mergeCell ref="Q5:Q6"/>
    <mergeCell ref="S5:S6"/>
    <mergeCell ref="C5:C6"/>
    <mergeCell ref="J5:J6"/>
    <mergeCell ref="F5:G5"/>
    <mergeCell ref="D5:D6"/>
  </mergeCells>
  <phoneticPr fontId="34" type="noConversion"/>
  <conditionalFormatting sqref="S23:T25 V23:AA25">
    <cfRule type="cellIs" dxfId="25" priority="2" operator="equal">
      <formula>"Condutor Suporta Amperagem"</formula>
    </cfRule>
    <cfRule type="cellIs" dxfId="24" priority="3" operator="equal">
      <formula>"Condutor Sobrecarregado"</formula>
    </cfRule>
  </conditionalFormatting>
  <conditionalFormatting sqref="S8:AA22 U23:U25">
    <cfRule type="cellIs" dxfId="23" priority="20" operator="equal">
      <formula>"Condutor Suporta Amperagem"</formula>
    </cfRule>
    <cfRule type="cellIs" dxfId="22" priority="21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ignoredErrors>
    <ignoredError sqref="U8 W8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37341A94-044D-4955-BB82-FCA36DAC3AB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Q23:R23</xm:sqref>
        </x14:conditionalFormatting>
        <x14:conditionalFormatting xmlns:xm="http://schemas.microsoft.com/office/excel/2006/main">
          <x14:cfRule type="iconSet" priority="4" id="{9DF0631F-0D1B-4E8C-A7E1-97526C0EAC5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Q24:R24</xm:sqref>
        </x14:conditionalFormatting>
        <x14:conditionalFormatting xmlns:xm="http://schemas.microsoft.com/office/excel/2006/main">
          <x14:cfRule type="iconSet" priority="1" id="{FBF5FAFB-E9E7-4AF6-A63A-7EBF98E658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Q25:R25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312B-194B-4258-85B0-6C180E13CB6D}">
  <dimension ref="A1:AG36"/>
  <sheetViews>
    <sheetView zoomScaleNormal="100" workbookViewId="0">
      <pane ySplit="7" topLeftCell="A8" activePane="bottomLeft" state="frozen"/>
      <selection activeCell="A35" sqref="A35:Y35"/>
      <selection pane="bottomLeft" activeCell="AC23" activeCellId="3" sqref="J8:J15 J23 AC8:AC15 AC23"/>
    </sheetView>
  </sheetViews>
  <sheetFormatPr defaultRowHeight="14.4" x14ac:dyDescent="0.3"/>
  <cols>
    <col min="2" max="2" width="11.6640625" bestFit="1" customWidth="1"/>
    <col min="3" max="3" width="12.6640625" customWidth="1"/>
    <col min="4" max="4" width="9.5546875" customWidth="1"/>
    <col min="5" max="5" width="8.6640625" customWidth="1"/>
    <col min="6" max="6" width="10.44140625" bestFit="1" customWidth="1"/>
    <col min="7" max="7" width="13.33203125" customWidth="1"/>
    <col min="8" max="8" width="10.33203125" customWidth="1"/>
    <col min="9" max="9" width="8.88671875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7.5546875" hidden="1" customWidth="1"/>
    <col min="19" max="19" width="20.6640625" hidden="1" customWidth="1"/>
    <col min="20" max="20" width="9" hidden="1" customWidth="1"/>
    <col min="21" max="21" width="8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bestFit="1" customWidth="1"/>
    <col min="30" max="30" width="4.6640625" customWidth="1"/>
    <col min="31" max="31" width="13.21875" customWidth="1"/>
    <col min="32" max="32" width="11.33203125" customWidth="1"/>
  </cols>
  <sheetData>
    <row r="1" spans="1:33" x14ac:dyDescent="0.3">
      <c r="J1" s="118" t="s">
        <v>94</v>
      </c>
    </row>
    <row r="2" spans="1:33" x14ac:dyDescent="0.3">
      <c r="B2" s="259" t="s">
        <v>237</v>
      </c>
      <c r="C2" s="263">
        <f>Q23</f>
        <v>122.71711598329536</v>
      </c>
      <c r="D2" s="260">
        <f>P23</f>
        <v>3.3853273448225925E-2</v>
      </c>
      <c r="E2" s="170"/>
      <c r="F2" s="215"/>
      <c r="G2" s="215"/>
      <c r="H2" s="63"/>
      <c r="J2" s="118" t="s">
        <v>97</v>
      </c>
      <c r="AE2" s="204" t="s">
        <v>36</v>
      </c>
      <c r="AF2" s="205"/>
    </row>
    <row r="3" spans="1:33" x14ac:dyDescent="0.3">
      <c r="B3" s="266"/>
      <c r="C3" s="261"/>
      <c r="D3" s="261"/>
      <c r="E3" s="170"/>
      <c r="F3" s="209"/>
      <c r="G3" s="209"/>
      <c r="H3" s="63"/>
      <c r="AE3" s="206"/>
      <c r="AF3" s="206"/>
    </row>
    <row r="4" spans="1:33" x14ac:dyDescent="0.3">
      <c r="AE4" s="11" t="s">
        <v>26</v>
      </c>
      <c r="AF4" s="13">
        <f>IFERROR(SUMPRODUCT(I8:I22,F8:F22)/SUM(I8:I22),"INSERIR DADOS")</f>
        <v>0</v>
      </c>
    </row>
    <row r="5" spans="1:33" ht="13.8" customHeight="1" x14ac:dyDescent="0.3">
      <c r="A5" s="220" t="s">
        <v>322</v>
      </c>
      <c r="B5" s="259" t="s">
        <v>13</v>
      </c>
      <c r="C5" s="220" t="s">
        <v>238</v>
      </c>
      <c r="D5" s="220" t="s">
        <v>330</v>
      </c>
      <c r="E5" s="220" t="s">
        <v>321</v>
      </c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>
        <f>IFERROR(SUMPRODUCT(I8:I11,G8:G11)/SUM(I8:I11),"INSERIR DADOS")</f>
        <v>0</v>
      </c>
    </row>
    <row r="6" spans="1:33" ht="34.200000000000003" customHeight="1" x14ac:dyDescent="0.3">
      <c r="A6" s="218"/>
      <c r="B6" s="266"/>
      <c r="C6" s="209"/>
      <c r="D6" s="265"/>
      <c r="E6" s="265"/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3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  <c r="AE7" t="s">
        <v>265</v>
      </c>
    </row>
    <row r="8" spans="1:33" x14ac:dyDescent="0.3">
      <c r="A8" s="172" t="s">
        <v>311</v>
      </c>
      <c r="B8" s="54">
        <f>PROJ1!B9</f>
        <v>1</v>
      </c>
      <c r="C8" s="54">
        <f>IFERROR(IF(DIR_ATUAL22[[#This Row],[PONTO]]="RAMAL",B7,VLOOKUP(DIR_ATUAL22[[#This Row],[PONTO]],GERAL[],2,0)),"")</f>
        <v>0</v>
      </c>
      <c r="D8" s="154">
        <f>IFERROR(IF(DIR_ATUAL22[[#This Row],[PONTO]]="RAMAL",15,VLOOKUP(DIR_ATUAL22[[#This Row],[PONTO]],GERAL[],3,0)),"")</f>
        <v>4</v>
      </c>
      <c r="E8" s="154">
        <f>IFERROR(IF(DIR_ATUAL22[[#This Row],[PONTO]]="RAMAL","",VLOOKUP(DIR_ATUAL22[[#This Row],[PONTO]],GERAL[],7,0)),"")</f>
        <v>90</v>
      </c>
      <c r="F8" s="154">
        <f>IFERROR(IF(DIR_ATUAL22[[#This Row],[PONTO]]="RAMAL","",VLOOKUP(DIR_ATUAL22[[#This Row],[PONTO]],GERAL[],4,0)),"")</f>
        <v>0</v>
      </c>
      <c r="G8" s="154">
        <f>IFERROR(IF(DIR_ATUAL22[[#This Row],[PONTO]]="RAMAL","",VLOOKUP(DIR_ATUAL22[[#This Row],[PONTO]],GERAL[],5,0)),"")</f>
        <v>0</v>
      </c>
      <c r="H8" s="55">
        <f>IFERROR(IF(DIR_ATUAL22[[#This Row],[PONTO]]="RAMAL",DMDI,VLOOKUP(DIR_ATUAL22[[#This Row],[PONTO]],GERAL[],8,0)),"")</f>
        <v>7.2943999999999996</v>
      </c>
      <c r="I8" s="55">
        <f>IFERROR(IF(DIR_ATUAL22[[#This Row],[PONTO]]="RAMAL",DIR_ATUAL22[[#This Row],[KVA PONTO]],VLOOKUP(DIR_ATUAL22[[#This Row],[PONTO]],GERAL[],9,0)),"")</f>
        <v>127.70729411764684</v>
      </c>
      <c r="J8" s="55" t="str">
        <f>IFERROR(VLOOKUP(DIR_ATUAL22[[#This Row],[PONTO]],GERAL[],12,0),"")</f>
        <v>240 Cu</v>
      </c>
      <c r="K8" s="61">
        <f>IFERROR(DIR_ATUAL22[[#This Row],[Ib]],"")</f>
        <v>111.7149100550032</v>
      </c>
      <c r="L8" s="117">
        <f>IFERROR(IFERROR(DIR_ATUAL22[[#This Row],[ACUMULADA]]/((IF(DIR_ATUAL22[[#This Row],[FASE]]="MONO",T_LINHA_MONO,IF(DIR_ATUAL22[[#This Row],[FASE]]="BIF",T_LINHA_TRF,T_LINHA_TRF*SQRT(3)))/1000)*VLOOKUP(DIR_ATUAL22[[#This Row],[CONDUTOR]],CABOS[],9,0))+30,W8+60*(X8/Z8)),"")</f>
        <v>76.764380953257159</v>
      </c>
      <c r="M8" s="68">
        <f>IFERROR((VLOOKUP(DIR_ATUAL22[[#This Row],[CONDUTOR]],CABOS[],3,0)/VLOOKUP(DIR_ATUAL22[[#This Row],[CONDUTOR]],CABOS[],6,0))*(1+VLOOKUP(DIR_ATUAL22[[#This Row],[CONDUTOR]],CABOS[],5,0)*(DIR_ATUAL22[[#This Row],[T]]-20)),"")</f>
        <v>9.9277857246209786E-2</v>
      </c>
      <c r="N8" s="62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>6.2886815082202769</v>
      </c>
      <c r="O8" s="116">
        <f>IF(DIR_ATUAL22[[#This Row],[PONTO]]="","",IFERROR(SUMIF(DIR_ATUAL22[PONTO],DIR_ATUAL22[[#This Row],[TRECHO]],DIR_ATUAL22[Coluna1])+DIR_ATUAL22[[#This Row],[QT-PONTO]],""))</f>
        <v>6.2886815082202769</v>
      </c>
      <c r="P8" s="56">
        <f>IFERROR(DIR_ATUAL22[[#This Row],[Coluna1]]/T_LINHA_MONO,"")</f>
        <v>4.951052674934725E-2</v>
      </c>
      <c r="Q8" s="55">
        <f>IFERROR(T_LINHA_MONO*(1-DIR_ATUAL22[[#This Row],[QT %]]),"")</f>
        <v>120.72837771349741</v>
      </c>
      <c r="R8" s="55">
        <f>IFERROR(T_LINHA_TRF*(1-DIR_ATUAL22[[#This Row],[QT %]]),"")</f>
        <v>209.10768411514363</v>
      </c>
      <c r="S8" s="67" t="str">
        <f>IFERROR(IF(DIR_ATUAL22[[#This Row],[PROTECAO]]="OK","Protecao OK","Ajustar Disj/Condutor"),"")</f>
        <v>Ajustar Disj/Condutor</v>
      </c>
      <c r="T8" s="72" t="str">
        <f>IF(DIR_ATUAL22[[#This Row],[ETA]]=1,"MONO",IF(DIR_ATUAL22[[#This Row],[ETA]]=2,"BIF","TRI"))</f>
        <v>TRI</v>
      </c>
      <c r="U8" s="72">
        <v>3</v>
      </c>
      <c r="V8" s="72" t="str">
        <f t="shared" ref="V8:V25" si="0">"AEREO"</f>
        <v>AEREO</v>
      </c>
      <c r="W8" s="72">
        <v>20</v>
      </c>
      <c r="X8" s="72">
        <f>IFERROR(IF(DIR_ATUAL22[[#This Row],[FASE]]="MONO",DIR_ATUAL22[[#This Row],[ACUMULADA]]*1000/(T_LINHA_TRF*DIR_ATUAL22[[#This Row],[ETA]]),DIR_ATUAL22[[#This Row],[ACUMULADA]]*1000/(SQRT(3)*$R$7*DIR_ATUAL22[[#This Row],[ETA]])),"")</f>
        <v>111.7149100550032</v>
      </c>
      <c r="Y8" s="72">
        <f>IFERROR(VLOOKUP(DIR_ATUAL22[[#This Row],[Ib]],TabelaDisjuntores[],2,TRUE),"")</f>
        <v>100</v>
      </c>
      <c r="Z8" s="72">
        <f>IFERROR(VLOOKUP(DIR_ATUAL22[[#This Row],[CONDUTOR]],CABOS[],2,0),"")</f>
        <v>430</v>
      </c>
      <c r="AA8" s="72" t="str">
        <f>IF(AND(DIR_ATUAL22[[#This Row],[Ib]]&lt;=DIR_ATUAL22[[#This Row],[In]],DIR_ATUAL22[[#This Row],[In]]&lt;=DIR_ATUAL22[[#This Row],[Iz]]),"OK","VERIFICAR")</f>
        <v>VERIFICAR</v>
      </c>
      <c r="AB8" s="97">
        <f>IFERROR(SQRT((DIR_ATUAL22[[#This Row],[X]]-$AF$4)^2+(DIR_ATUAL22[[#This Row],[Y]]-$AF$5)^2),0)</f>
        <v>0</v>
      </c>
      <c r="AC8" s="9">
        <f>IFERROR(VLOOKUP(DIR_ATUAL22[[#This Row],[CONDUTOR]],CONDUTORES,2,0),"")</f>
        <v>430</v>
      </c>
    </row>
    <row r="9" spans="1:33" x14ac:dyDescent="0.3">
      <c r="A9" s="54" t="s">
        <v>347</v>
      </c>
      <c r="B9" s="130">
        <v>13</v>
      </c>
      <c r="C9" s="54" t="str">
        <f>IFERROR(IF(DIR_ATUAL22[[#This Row],[PONTO]]="RAMAL",B8,VLOOKUP(DIR_ATUAL22[[#This Row],[PONTO]],GERAL[],2,0)),"")</f>
        <v/>
      </c>
      <c r="D9" s="154" t="str">
        <f>IFERROR(IF(DIR_ATUAL22[[#This Row],[PONTO]]="RAMAL",15,VLOOKUP(DIR_ATUAL22[[#This Row],[PONTO]],GERAL[],3,0)),"")</f>
        <v/>
      </c>
      <c r="E9" s="154" t="str">
        <f>IFERROR(IF(DIR_ATUAL22[[#This Row],[PONTO]]="RAMAL","",VLOOKUP(DIR_ATUAL22[[#This Row],[PONTO]],GERAL[],7,0)),"")</f>
        <v/>
      </c>
      <c r="F9" s="154" t="str">
        <f>IFERROR(IF(DIR_ATUAL22[[#This Row],[PONTO]]="RAMAL","",VLOOKUP(DIR_ATUAL22[[#This Row],[PONTO]],GERAL[],4,0)),"")</f>
        <v/>
      </c>
      <c r="G9" s="154" t="str">
        <f>IFERROR(IF(DIR_ATUAL22[[#This Row],[PONTO]]="RAMAL","",VLOOKUP(DIR_ATUAL22[[#This Row],[PONTO]],GERAL[],5,0)),"")</f>
        <v/>
      </c>
      <c r="H9" s="55" t="str">
        <f>IFERROR(IF(DIR_ATUAL22[[#This Row],[PONTO]]="RAMAL",DMDI,VLOOKUP(DIR_ATUAL22[[#This Row],[PONTO]],GERAL[],8,0)),"")</f>
        <v/>
      </c>
      <c r="I9" s="55" t="str">
        <f>IFERROR(IF(DIR_ATUAL22[[#This Row],[PONTO]]="RAMAL",DIR_ATUAL22[[#This Row],[KVA PONTO]],VLOOKUP(DIR_ATUAL22[[#This Row],[PONTO]],GERAL[],9,0)),"")</f>
        <v/>
      </c>
      <c r="J9" s="55" t="str">
        <f>IFERROR(VLOOKUP(DIR_ATUAL22[[#This Row],[PONTO]],GERAL[],12,0),"")</f>
        <v/>
      </c>
      <c r="K9" s="61" t="str">
        <f>IFERROR(DIR_ATUAL22[[#This Row],[Ib]],"")</f>
        <v/>
      </c>
      <c r="L9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Row],[CONDUTOR]],CABOS[],9,0))+30,W9+60*(X9/Z9)),"")</f>
        <v/>
      </c>
      <c r="M9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9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9" s="116" t="str">
        <f>IF(DIR_ATUAL22[[#This Row],[PONTO]]="","",IFERROR(SUMIF(DIR_ATUAL22[PONTO],DIR_ATUAL22[[#This Row],[TRECHO]],DIR_ATUAL22[Coluna1])+DIR_ATUAL22[[#This Row],[QT-PONTO]],""))</f>
        <v/>
      </c>
      <c r="P9" s="56" t="str">
        <f>IFERROR(DIR_ATUAL22[[#This Row],[Coluna1]]/T_LINHA_MONO,"")</f>
        <v/>
      </c>
      <c r="Q9" s="55" t="str">
        <f>IFERROR(T_LINHA_MONO*(1-DIR_ATUAL22[[#This Row],[QT %]]),"")</f>
        <v/>
      </c>
      <c r="R9" s="55" t="str">
        <f>IFERROR(T_LINHA_TRF*(1-DIR_ATUAL22[[#This Row],[QT %]]),"")</f>
        <v/>
      </c>
      <c r="S9" s="67" t="str">
        <f>IFERROR(IF(DIR_ATUAL22[[#This Row],[PROTECAO]]="OK","Protecao OK","Ajustar Disj/Condutor"),"")</f>
        <v>Protecao OK</v>
      </c>
      <c r="T9" s="72" t="str">
        <f>IF(DIR_ATUAL22[[#This Row],[ETA]]=1,"MONO",IF(DIR_ATUAL22[[#This Row],[ETA]]=2,"BIF","TRI"))</f>
        <v>TRI</v>
      </c>
      <c r="U9" s="72">
        <v>3</v>
      </c>
      <c r="V9" s="72" t="str">
        <f t="shared" si="0"/>
        <v>AEREO</v>
      </c>
      <c r="W9" s="72">
        <v>21</v>
      </c>
      <c r="X9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9" s="72" t="str">
        <f>IFERROR(VLOOKUP(DIR_ATUAL22[[#This Row],[Ib]],TabelaDisjuntores[],2,TRUE),"")</f>
        <v/>
      </c>
      <c r="Z9" s="72" t="str">
        <f>IFERROR(VLOOKUP(DIR_ATUAL22[[#This Row],[CONDUTOR]],CABOS[],2,0),"")</f>
        <v/>
      </c>
      <c r="AA9" s="72" t="str">
        <f>IF(AND(DIR_ATUAL22[[#This Row],[Ib]]&lt;=DIR_ATUAL22[[#This Row],[In]],DIR_ATUAL22[[#This Row],[In]]&lt;=DIR_ATUAL22[[#This Row],[Iz]]),"OK","VERIFICAR")</f>
        <v>OK</v>
      </c>
      <c r="AB9" s="97">
        <f>IFERROR(SQRT((DIR_ATUAL22[[#This Row],[X]]-$AF$4)^2+(DIR_ATUAL22[[#This Row],[Y]]-$AF$5)^2),0)</f>
        <v>0</v>
      </c>
      <c r="AC9" s="9" t="str">
        <f>IFERROR(VLOOKUP(DIR_ATUAL22[[#This Row],[CONDUTOR]],CONDUTORES,2,0),"")</f>
        <v/>
      </c>
      <c r="AE9" t="s">
        <v>15</v>
      </c>
      <c r="AF9" t="s">
        <v>266</v>
      </c>
    </row>
    <row r="10" spans="1:33" x14ac:dyDescent="0.3">
      <c r="A10" s="172" t="s">
        <v>348</v>
      </c>
      <c r="B10" s="130">
        <v>12</v>
      </c>
      <c r="C10" s="54" t="str">
        <f>IFERROR(IF(DIR_ATUAL22[[#This Row],[PONTO]]="RAMAL",B9,VLOOKUP(DIR_ATUAL22[[#This Row],[PONTO]],GERAL[],2,0)),"")</f>
        <v/>
      </c>
      <c r="D10" s="154" t="str">
        <f>IFERROR(IF(DIR_ATUAL22[[#This Row],[PONTO]]="RAMAL",15,VLOOKUP(DIR_ATUAL22[[#This Row],[PONTO]],GERAL[],3,0)),"")</f>
        <v/>
      </c>
      <c r="E10" s="154" t="str">
        <f>IFERROR(IF(DIR_ATUAL22[[#This Row],[PONTO]]="RAMAL","",VLOOKUP(DIR_ATUAL22[[#This Row],[PONTO]],GERAL[],7,0)),"")</f>
        <v/>
      </c>
      <c r="F10" s="154" t="str">
        <f>IFERROR(IF(DIR_ATUAL22[[#This Row],[PONTO]]="RAMAL","",VLOOKUP(DIR_ATUAL22[[#This Row],[PONTO]],GERAL[],4,0)),"")</f>
        <v/>
      </c>
      <c r="G10" s="154" t="str">
        <f>IFERROR(IF(DIR_ATUAL22[[#This Row],[PONTO]]="RAMAL","",VLOOKUP(DIR_ATUAL22[[#This Row],[PONTO]],GERAL[],5,0)),"")</f>
        <v/>
      </c>
      <c r="H10" s="55" t="str">
        <f>IFERROR(IF(DIR_ATUAL22[[#This Row],[PONTO]]="RAMAL",DMDI,VLOOKUP(DIR_ATUAL22[[#This Row],[PONTO]],GERAL[],8,0)),"")</f>
        <v/>
      </c>
      <c r="I10" s="55" t="str">
        <f>IFERROR(IF(DIR_ATUAL22[[#This Row],[PONTO]]="RAMAL",DIR_ATUAL22[[#This Row],[KVA PONTO]],VLOOKUP(DIR_ATUAL22[[#This Row],[PONTO]],GERAL[],9,0)),"")</f>
        <v/>
      </c>
      <c r="J10" s="55" t="str">
        <f>IFERROR(VLOOKUP(DIR_ATUAL22[[#This Row],[PONTO]],GERAL[],12,0),"")</f>
        <v/>
      </c>
      <c r="K10" s="61" t="str">
        <f>IFERROR(DIR_ATUAL22[[#This Row],[Ib]],"")</f>
        <v/>
      </c>
      <c r="L10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Row],[CONDUTOR]],CABOS[],9,0))+30,W10+60*(X10/Z10)),"")</f>
        <v/>
      </c>
      <c r="M10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10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10" s="116" t="str">
        <f>IF(DIR_ATUAL22[[#This Row],[PONTO]]="","",IFERROR(SUMIF(DIR_ATUAL22[PONTO],DIR_ATUAL22[[#This Row],[TRECHO]],DIR_ATUAL22[Coluna1])+DIR_ATUAL22[[#This Row],[QT-PONTO]],""))</f>
        <v/>
      </c>
      <c r="P10" s="56" t="str">
        <f>IFERROR(DIR_ATUAL22[[#This Row],[Coluna1]]/T_LINHA_MONO,"")</f>
        <v/>
      </c>
      <c r="Q10" s="55" t="str">
        <f>IFERROR(T_LINHA_MONO*(1-DIR_ATUAL22[[#This Row],[QT %]]),"")</f>
        <v/>
      </c>
      <c r="R10" s="55" t="str">
        <f>IFERROR(T_LINHA_TRF*(1-DIR_ATUAL22[[#This Row],[QT %]]),"")</f>
        <v/>
      </c>
      <c r="S10" s="67" t="str">
        <f>IFERROR(IF(DIR_ATUAL22[[#This Row],[PROTECAO]]="OK","Protecao OK","Ajustar Disj/Condutor"),"")</f>
        <v>Protecao OK</v>
      </c>
      <c r="T10" s="72" t="str">
        <f>IF(DIR_ATUAL22[[#This Row],[ETA]]=1,"MONO",IF(DIR_ATUAL22[[#This Row],[ETA]]=2,"BIF","TRI"))</f>
        <v>TRI</v>
      </c>
      <c r="U10" s="72">
        <v>3</v>
      </c>
      <c r="V10" s="72" t="str">
        <f t="shared" si="0"/>
        <v>AEREO</v>
      </c>
      <c r="W10" s="72">
        <v>22</v>
      </c>
      <c r="X10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10" s="72" t="str">
        <f>IFERROR(VLOOKUP(DIR_ATUAL22[[#This Row],[Ib]],TabelaDisjuntores[],2,TRUE),"")</f>
        <v/>
      </c>
      <c r="Z10" s="72" t="str">
        <f>IFERROR(VLOOKUP(DIR_ATUAL22[[#This Row],[CONDUTOR]],CABOS[],2,0),"")</f>
        <v/>
      </c>
      <c r="AA10" s="72" t="str">
        <f>IF(AND(DIR_ATUAL22[[#This Row],[Ib]]&lt;=DIR_ATUAL22[[#This Row],[In]],DIR_ATUAL22[[#This Row],[In]]&lt;=DIR_ATUAL22[[#This Row],[Iz]]),"OK","VERIFICAR")</f>
        <v>OK</v>
      </c>
      <c r="AB10" s="97">
        <f>IFERROR(SQRT((DIR_ATUAL22[[#This Row],[X]]-$AF$4)^2+(DIR_ATUAL22[[#This Row],[Y]]-$AF$5)^2),0)</f>
        <v>0</v>
      </c>
      <c r="AC10" s="9" t="str">
        <f>IFERROR(VLOOKUP(DIR_ATUAL22[[#This Row],[CONDUTOR]],CONDUTORES,2,0),"")</f>
        <v/>
      </c>
      <c r="AE10" t="s">
        <v>267</v>
      </c>
      <c r="AF10" t="s">
        <v>268</v>
      </c>
    </row>
    <row r="11" spans="1:33" x14ac:dyDescent="0.3">
      <c r="A11" s="54" t="s">
        <v>349</v>
      </c>
      <c r="B11" s="130">
        <v>11</v>
      </c>
      <c r="C11" s="54" t="str">
        <f>IFERROR(IF(DIR_ATUAL22[[#This Row],[PONTO]]="RAMAL",B10,VLOOKUP(DIR_ATUAL22[[#This Row],[PONTO]],GERAL[],2,0)),"")</f>
        <v/>
      </c>
      <c r="D11" s="154" t="str">
        <f>IFERROR(IF(DIR_ATUAL22[[#This Row],[PONTO]]="RAMAL",15,VLOOKUP(DIR_ATUAL22[[#This Row],[PONTO]],GERAL[],3,0)),"")</f>
        <v/>
      </c>
      <c r="E11" s="154" t="str">
        <f>IFERROR(IF(DIR_ATUAL22[[#This Row],[PONTO]]="RAMAL","",VLOOKUP(DIR_ATUAL22[[#This Row],[PONTO]],GERAL[],7,0)),"")</f>
        <v/>
      </c>
      <c r="F11" s="154" t="str">
        <f>IFERROR(IF(DIR_ATUAL22[[#This Row],[PONTO]]="RAMAL","",VLOOKUP(DIR_ATUAL22[[#This Row],[PONTO]],GERAL[],4,0)),"")</f>
        <v/>
      </c>
      <c r="G11" s="154" t="str">
        <f>IFERROR(IF(DIR_ATUAL22[[#This Row],[PONTO]]="RAMAL","",VLOOKUP(DIR_ATUAL22[[#This Row],[PONTO]],GERAL[],5,0)),"")</f>
        <v/>
      </c>
      <c r="H11" s="55" t="str">
        <f>IFERROR(IF(DIR_ATUAL22[[#This Row],[PONTO]]="RAMAL",DMDI,VLOOKUP(DIR_ATUAL22[[#This Row],[PONTO]],GERAL[],8,0)),"")</f>
        <v/>
      </c>
      <c r="I11" s="55" t="str">
        <f>IFERROR(IF(DIR_ATUAL22[[#This Row],[PONTO]]="RAMAL",DIR_ATUAL22[[#This Row],[KVA PONTO]],VLOOKUP(DIR_ATUAL22[[#This Row],[PONTO]],GERAL[],9,0)),"")</f>
        <v/>
      </c>
      <c r="J11" s="55" t="str">
        <f>IFERROR(VLOOKUP(DIR_ATUAL22[[#This Row],[PONTO]],GERAL[],12,0),"")</f>
        <v/>
      </c>
      <c r="K11" s="61" t="str">
        <f>IFERROR(DIR_ATUAL22[[#This Row],[Ib]],"")</f>
        <v/>
      </c>
      <c r="L11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Row],[CONDUTOR]],CABOS[],9,0))+30,W11+60*(X11/Z11)),"")</f>
        <v/>
      </c>
      <c r="M11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11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11" s="116" t="str">
        <f>IF(DIR_ATUAL22[[#This Row],[PONTO]]="","",IFERROR(SUMIF(DIR_ATUAL22[PONTO],DIR_ATUAL22[[#This Row],[TRECHO]],DIR_ATUAL22[Coluna1])+DIR_ATUAL22[[#This Row],[QT-PONTO]],""))</f>
        <v/>
      </c>
      <c r="P11" s="56" t="str">
        <f>IFERROR(DIR_ATUAL22[[#This Row],[Coluna1]]/T_LINHA_MONO,"")</f>
        <v/>
      </c>
      <c r="Q11" s="55" t="str">
        <f>IFERROR(T_LINHA_MONO*(1-DIR_ATUAL22[[#This Row],[QT %]]),"")</f>
        <v/>
      </c>
      <c r="R11" s="55" t="str">
        <f>IFERROR(T_LINHA_TRF*(1-DIR_ATUAL22[[#This Row],[QT %]]),"")</f>
        <v/>
      </c>
      <c r="S11" s="67" t="str">
        <f>IFERROR(IF(DIR_ATUAL22[[#This Row],[PROTECAO]]="OK","Protecao OK","Ajustar Disj/Condutor"),"")</f>
        <v>Protecao OK</v>
      </c>
      <c r="T11" s="72" t="str">
        <f>IF(DIR_ATUAL22[[#This Row],[ETA]]=1,"MONO",IF(DIR_ATUAL22[[#This Row],[ETA]]=2,"BIF","TRI"))</f>
        <v>TRI</v>
      </c>
      <c r="U11" s="72">
        <v>3</v>
      </c>
      <c r="V11" s="72" t="str">
        <f t="shared" si="0"/>
        <v>AEREO</v>
      </c>
      <c r="W11" s="72">
        <v>23</v>
      </c>
      <c r="X11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11" s="72" t="str">
        <f>IFERROR(VLOOKUP(DIR_ATUAL22[[#This Row],[Ib]],TabelaDisjuntores[],2,TRUE),"")</f>
        <v/>
      </c>
      <c r="Z11" s="72" t="str">
        <f>IFERROR(VLOOKUP(DIR_ATUAL22[[#This Row],[CONDUTOR]],CABOS[],2,0),"")</f>
        <v/>
      </c>
      <c r="AA11" s="72" t="str">
        <f>IF(AND(DIR_ATUAL22[[#This Row],[Ib]]&lt;=DIR_ATUAL22[[#This Row],[In]],DIR_ATUAL22[[#This Row],[In]]&lt;=DIR_ATUAL22[[#This Row],[Iz]]),"OK","VERIFICAR")</f>
        <v>OK</v>
      </c>
      <c r="AB11" s="97">
        <f>IFERROR(SQRT((DIR_ATUAL22[[#This Row],[X]]-$AF$4)^2+(DIR_ATUAL22[[#This Row],[Y]]-$AF$5)^2),0)</f>
        <v>0</v>
      </c>
      <c r="AC11" s="9" t="str">
        <f>IFERROR(VLOOKUP(DIR_ATUAL22[[#This Row],[CONDUTOR]],CONDUTORES,2,0),"")</f>
        <v/>
      </c>
      <c r="AE11" t="s">
        <v>33</v>
      </c>
      <c r="AF11" t="s">
        <v>269</v>
      </c>
    </row>
    <row r="12" spans="1:33" x14ac:dyDescent="0.3">
      <c r="A12" s="172" t="s">
        <v>350</v>
      </c>
      <c r="B12" s="130">
        <v>10</v>
      </c>
      <c r="C12" s="54" t="str">
        <f>IFERROR(IF(DIR_ATUAL22[[#This Row],[PONTO]]="RAMAL",B11,VLOOKUP(DIR_ATUAL22[[#This Row],[PONTO]],GERAL[],2,0)),"")</f>
        <v/>
      </c>
      <c r="D12" s="154" t="str">
        <f>IFERROR(IF(DIR_ATUAL22[[#This Row],[PONTO]]="RAMAL",15,VLOOKUP(DIR_ATUAL22[[#This Row],[PONTO]],GERAL[],3,0)),"")</f>
        <v/>
      </c>
      <c r="E12" s="154" t="str">
        <f>IFERROR(IF(DIR_ATUAL22[[#This Row],[PONTO]]="RAMAL","",VLOOKUP(DIR_ATUAL22[[#This Row],[PONTO]],GERAL[],7,0)),"")</f>
        <v/>
      </c>
      <c r="F12" s="154" t="str">
        <f>IFERROR(IF(DIR_ATUAL22[[#This Row],[PONTO]]="RAMAL","",VLOOKUP(DIR_ATUAL22[[#This Row],[PONTO]],GERAL[],4,0)),"")</f>
        <v/>
      </c>
      <c r="G12" s="154" t="str">
        <f>IFERROR(IF(DIR_ATUAL22[[#This Row],[PONTO]]="RAMAL","",VLOOKUP(DIR_ATUAL22[[#This Row],[PONTO]],GERAL[],5,0)),"")</f>
        <v/>
      </c>
      <c r="H12" s="55" t="str">
        <f>IFERROR(IF(DIR_ATUAL22[[#This Row],[PONTO]]="RAMAL",DMDI,VLOOKUP(DIR_ATUAL22[[#This Row],[PONTO]],GERAL[],8,0)),"")</f>
        <v/>
      </c>
      <c r="I12" s="55" t="str">
        <f>IFERROR(IF(DIR_ATUAL22[[#This Row],[PONTO]]="RAMAL",DIR_ATUAL22[[#This Row],[KVA PONTO]],VLOOKUP(DIR_ATUAL22[[#This Row],[PONTO]],GERAL[],9,0)),"")</f>
        <v/>
      </c>
      <c r="J12" s="55" t="str">
        <f>IFERROR(VLOOKUP(DIR_ATUAL22[[#This Row],[PONTO]],GERAL[],12,0),"")</f>
        <v/>
      </c>
      <c r="K12" s="61" t="str">
        <f>IFERROR(DIR_ATUAL22[[#This Row],[Ib]],"")</f>
        <v/>
      </c>
      <c r="L12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Row],[CONDUTOR]],CABOS[],9,0))+30,W12+60*(X12/Z12)),"")</f>
        <v/>
      </c>
      <c r="M12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12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12" s="116" t="str">
        <f>IF(DIR_ATUAL22[[#This Row],[PONTO]]="","",IFERROR(SUMIF(DIR_ATUAL22[PONTO],DIR_ATUAL22[[#This Row],[TRECHO]],DIR_ATUAL22[Coluna1])+DIR_ATUAL22[[#This Row],[QT-PONTO]],""))</f>
        <v/>
      </c>
      <c r="P12" s="56" t="str">
        <f>IFERROR(DIR_ATUAL22[[#This Row],[Coluna1]]/T_LINHA_MONO,"")</f>
        <v/>
      </c>
      <c r="Q12" s="55" t="str">
        <f>IFERROR(T_LINHA_MONO*(1-DIR_ATUAL22[[#This Row],[QT %]]),"")</f>
        <v/>
      </c>
      <c r="R12" s="55" t="str">
        <f>IFERROR(T_LINHA_TRF*(1-DIR_ATUAL22[[#This Row],[QT %]]),"")</f>
        <v/>
      </c>
      <c r="S12" s="67" t="str">
        <f>IFERROR(IF(DIR_ATUAL22[[#This Row],[PROTECAO]]="OK","Protecao OK","Ajustar Disj/Condutor"),"")</f>
        <v>Protecao OK</v>
      </c>
      <c r="T12" s="72" t="str">
        <f>IF(DIR_ATUAL22[[#This Row],[ETA]]=1,"MONO",IF(DIR_ATUAL22[[#This Row],[ETA]]=2,"BIF","TRI"))</f>
        <v>TRI</v>
      </c>
      <c r="U12" s="72">
        <v>3</v>
      </c>
      <c r="V12" s="72" t="str">
        <f t="shared" si="0"/>
        <v>AEREO</v>
      </c>
      <c r="W12" s="72">
        <v>24</v>
      </c>
      <c r="X12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12" s="72" t="str">
        <f>IFERROR(VLOOKUP(DIR_ATUAL22[[#This Row],[Ib]],TabelaDisjuntores[],2,TRUE),"")</f>
        <v/>
      </c>
      <c r="Z12" s="72" t="str">
        <f>IFERROR(VLOOKUP(DIR_ATUAL22[[#This Row],[CONDUTOR]],CABOS[],2,0),"")</f>
        <v/>
      </c>
      <c r="AA12" s="72" t="str">
        <f>IF(AND(DIR_ATUAL22[[#This Row],[Ib]]&lt;=DIR_ATUAL22[[#This Row],[In]],DIR_ATUAL22[[#This Row],[In]]&lt;=DIR_ATUAL22[[#This Row],[Iz]]),"OK","VERIFICAR")</f>
        <v>OK</v>
      </c>
      <c r="AB12" s="97">
        <f>IFERROR(SQRT((DIR_ATUAL22[[#This Row],[X]]-$AF$4)^2+(DIR_ATUAL22[[#This Row],[Y]]-$AF$5)^2),0)</f>
        <v>0</v>
      </c>
      <c r="AC12" s="9" t="str">
        <f>IFERROR(VLOOKUP(DIR_ATUAL22[[#This Row],[CONDUTOR]],CONDUTORES,2,0),"")</f>
        <v/>
      </c>
      <c r="AE12" t="s">
        <v>270</v>
      </c>
      <c r="AF12" t="s">
        <v>271</v>
      </c>
    </row>
    <row r="13" spans="1:33" x14ac:dyDescent="0.3">
      <c r="A13" s="54" t="s">
        <v>351</v>
      </c>
      <c r="B13" s="130">
        <v>9</v>
      </c>
      <c r="C13" s="54">
        <f>IFERROR(IF(DIR_ATUAL22[[#This Row],[PONTO]]="RAMAL",B12,VLOOKUP(DIR_ATUAL22[[#This Row],[PONTO]],GERAL[],2,0)),"")</f>
        <v>5</v>
      </c>
      <c r="D13" s="154">
        <f>IFERROR(IF(DIR_ATUAL22[[#This Row],[PONTO]]="RAMAL",15,VLOOKUP(DIR_ATUAL22[[#This Row],[PONTO]],GERAL[],3,0)),"")</f>
        <v>4</v>
      </c>
      <c r="E13" s="154">
        <f>IFERROR(IF(DIR_ATUAL22[[#This Row],[PONTO]]="RAMAL","",VLOOKUP(DIR_ATUAL22[[#This Row],[PONTO]],GERAL[],7,0)),"")</f>
        <v>1</v>
      </c>
      <c r="F13" s="154">
        <f>IFERROR(IF(DIR_ATUAL22[[#This Row],[PONTO]]="RAMAL","",VLOOKUP(DIR_ATUAL22[[#This Row],[PONTO]],GERAL[],4,0)),"")</f>
        <v>0</v>
      </c>
      <c r="G13" s="154">
        <f>IFERROR(IF(DIR_ATUAL22[[#This Row],[PONTO]]="RAMAL","",VLOOKUP(DIR_ATUAL22[[#This Row],[PONTO]],GERAL[],5,0)),"")</f>
        <v>0</v>
      </c>
      <c r="H13" s="55">
        <f>IFERROR(IF(DIR_ATUAL22[[#This Row],[PONTO]]="RAMAL",DMDI,VLOOKUP(DIR_ATUAL22[[#This Row],[PONTO]],GERAL[],8,0)),"")</f>
        <v>7.2943999999999996</v>
      </c>
      <c r="I13" s="55">
        <f>IFERROR(IF(DIR_ATUAL22[[#This Row],[PONTO]]="RAMAL",DIR_ATUAL22[[#This Row],[KVA PONTO]],VLOOKUP(DIR_ATUAL22[[#This Row],[PONTO]],GERAL[],9,0)),"")</f>
        <v>7.2943999999999996</v>
      </c>
      <c r="J13" s="55" t="str">
        <f>IFERROR(VLOOKUP(DIR_ATUAL22[[#This Row],[PONTO]],GERAL[],12,0),"")</f>
        <v>53 AA</v>
      </c>
      <c r="K13" s="61">
        <f>IFERROR(DIR_ATUAL22[[#This Row],[Ib]],"")</f>
        <v>6.3809451569345539</v>
      </c>
      <c r="L13" s="117">
        <f>IFERROR(IFERROR(DIR_ATUAL22[[#This Row],[ACUMULADA]]/((IF(DIR_ATUAL22[[#This Row],[FASE]]="MONO",T_LINHA_MONO,IF(DIR_ATUAL22[[#This Row],[FASE]]="BIF",T_LINHA_TRF,T_LINHA_TRF*SQRT(3)))/1000)*VLOOKUP(DIR_ATUAL22[[#This Row],[CONDUTOR]],CABOS[],9,0))+30,W13+60*(X13/Z13)),"")</f>
        <v>37.04644250459031</v>
      </c>
      <c r="M13" s="68">
        <f>IFERROR((VLOOKUP(DIR_ATUAL22[[#This Row],[CONDUTOR]],CABOS[],3,0)/VLOOKUP(DIR_ATUAL22[[#This Row],[CONDUTOR]],CABOS[],6,0))*(1+VLOOKUP(DIR_ATUAL22[[#This Row],[CONDUTOR]],CABOS[],5,0)*(DIR_ATUAL22[[#This Row],[T]]-20)),"")</f>
        <v>0.55356195783730799</v>
      </c>
      <c r="N13" s="62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>4.355947403012566E-2</v>
      </c>
      <c r="O13" s="116">
        <f>IF(DIR_ATUAL22[[#This Row],[PONTO]]="","",IFERROR(SUMIF(DIR_ATUAL22[PONTO],DIR_ATUAL22[[#This Row],[TRECHO]],DIR_ATUAL22[Coluna1])+DIR_ATUAL22[[#This Row],[QT-PONTO]],""))</f>
        <v>4.355947403012566E-2</v>
      </c>
      <c r="P13" s="56">
        <f>IFERROR(DIR_ATUAL22[[#This Row],[Coluna1]]/T_LINHA_MONO,"")</f>
        <v>3.4294191895979404E-4</v>
      </c>
      <c r="Q13" s="55">
        <f>IFERROR(T_LINHA_MONO*(1-DIR_ATUAL22[[#This Row],[QT %]]),"")</f>
        <v>126.97349974768755</v>
      </c>
      <c r="R13" s="55">
        <f>IFERROR(T_LINHA_TRF*(1-DIR_ATUAL22[[#This Row],[QT %]]),"")</f>
        <v>219.92455277782884</v>
      </c>
      <c r="S13" s="67" t="str">
        <f>IFERROR(IF(DIR_ATUAL22[[#This Row],[PROTECAO]]="OK","Protecao OK","Ajustar Disj/Condutor"),"")</f>
        <v>Ajustar Disj/Condutor</v>
      </c>
      <c r="T13" s="72" t="str">
        <f>IF(DIR_ATUAL22[[#This Row],[ETA]]=1,"MONO",IF(DIR_ATUAL22[[#This Row],[ETA]]=2,"BIF","TRI"))</f>
        <v>TRI</v>
      </c>
      <c r="U13" s="72">
        <v>3</v>
      </c>
      <c r="V13" s="72" t="str">
        <f t="shared" si="0"/>
        <v>AEREO</v>
      </c>
      <c r="W13" s="72">
        <v>25</v>
      </c>
      <c r="X13" s="72">
        <f>IFERROR(IF(DIR_ATUAL22[[#This Row],[FASE]]="MONO",DIR_ATUAL22[[#This Row],[ACUMULADA]]*1000/(T_LINHA_TRF*DIR_ATUAL22[[#This Row],[ETA]]),DIR_ATUAL22[[#This Row],[ACUMULADA]]*1000/(SQRT(3)*$R$7*DIR_ATUAL22[[#This Row],[ETA]])),"")</f>
        <v>6.3809451569345539</v>
      </c>
      <c r="Y13" s="72">
        <f>IFERROR(VLOOKUP(DIR_ATUAL22[[#This Row],[Ib]],TabelaDisjuntores[],2,TRUE),"")</f>
        <v>6</v>
      </c>
      <c r="Z13" s="72">
        <f>IFERROR(VLOOKUP(DIR_ATUAL22[[#This Row],[CONDUTOR]],CABOS[],2,0),"")</f>
        <v>163</v>
      </c>
      <c r="AA13" s="72" t="str">
        <f>IF(AND(DIR_ATUAL22[[#This Row],[Ib]]&lt;=DIR_ATUAL22[[#This Row],[In]],DIR_ATUAL22[[#This Row],[In]]&lt;=DIR_ATUAL22[[#This Row],[Iz]]),"OK","VERIFICAR")</f>
        <v>VERIFICAR</v>
      </c>
      <c r="AB13" s="97">
        <f>IFERROR(SQRT((DIR_ATUAL22[[#This Row],[X]]-$AF$4)^2+(DIR_ATUAL22[[#This Row],[Y]]-$AF$5)^2),0)</f>
        <v>0</v>
      </c>
      <c r="AC13" s="9">
        <f>IFERROR(VLOOKUP(DIR_ATUAL22[[#This Row],[CONDUTOR]],CONDUTORES,2,0),"")</f>
        <v>163</v>
      </c>
    </row>
    <row r="14" spans="1:33" x14ac:dyDescent="0.3">
      <c r="A14" s="172" t="s">
        <v>352</v>
      </c>
      <c r="B14" s="130">
        <v>8</v>
      </c>
      <c r="C14" s="54">
        <f>IFERROR(IF(DIR_ATUAL22[[#This Row],[PONTO]]="RAMAL",B13,VLOOKUP(DIR_ATUAL22[[#This Row],[PONTO]],GERAL[],2,0)),"")</f>
        <v>7</v>
      </c>
      <c r="D14" s="154">
        <f>IFERROR(IF(DIR_ATUAL22[[#This Row],[PONTO]]="RAMAL",15,VLOOKUP(DIR_ATUAL22[[#This Row],[PONTO]],GERAL[],3,0)),"")</f>
        <v>40</v>
      </c>
      <c r="E14" s="154">
        <f>IFERROR(IF(DIR_ATUAL22[[#This Row],[PONTO]]="RAMAL","",VLOOKUP(DIR_ATUAL22[[#This Row],[PONTO]],GERAL[],7,0)),"")</f>
        <v>17</v>
      </c>
      <c r="F14" s="154">
        <f>IFERROR(IF(DIR_ATUAL22[[#This Row],[PONTO]]="RAMAL","",VLOOKUP(DIR_ATUAL22[[#This Row],[PONTO]],GERAL[],4,0)),"")</f>
        <v>0</v>
      </c>
      <c r="G14" s="154">
        <f>IFERROR(IF(DIR_ATUAL22[[#This Row],[PONTO]]="RAMAL","",VLOOKUP(DIR_ATUAL22[[#This Row],[PONTO]],GERAL[],5,0)),"")</f>
        <v>0</v>
      </c>
      <c r="H14" s="55">
        <f>IFERROR(IF(DIR_ATUAL22[[#This Row],[PONTO]]="RAMAL",DMDI,VLOOKUP(DIR_ATUAL22[[#This Row],[PONTO]],GERAL[],8,0)),"")</f>
        <v>28.387999999999998</v>
      </c>
      <c r="I14" s="55">
        <f>IFERROR(IF(DIR_ATUAL22[[#This Row],[PONTO]]="RAMAL",DIR_ATUAL22[[#This Row],[KVA PONTO]],VLOOKUP(DIR_ATUAL22[[#This Row],[PONTO]],GERAL[],9,0)),"")</f>
        <v>28.387999999999998</v>
      </c>
      <c r="J14" s="55" t="str">
        <f>IFERROR(VLOOKUP(DIR_ATUAL22[[#This Row],[PONTO]],GERAL[],12,0),"")</f>
        <v>70 Al - MX</v>
      </c>
      <c r="K14" s="61">
        <f>IFERROR(DIR_ATUAL22[[#This Row],[Ib]],"")</f>
        <v>24.833059760234992</v>
      </c>
      <c r="L14" s="117">
        <f>IFERROR(IFERROR(DIR_ATUAL22[[#This Row],[ACUMULADA]]/((IF(DIR_ATUAL22[[#This Row],[FASE]]="MONO",T_LINHA_MONO,IF(DIR_ATUAL22[[#This Row],[FASE]]="BIF",T_LINHA_TRF,T_LINHA_TRF*SQRT(3)))/1000)*VLOOKUP(DIR_ATUAL22[[#This Row],[CONDUTOR]],CABOS[],9,0))+30,W14+60*(X14/Z14)),"")</f>
        <v>52.12846909327871</v>
      </c>
      <c r="M14" s="68">
        <f>IFERROR((VLOOKUP(DIR_ATUAL22[[#This Row],[CONDUTOR]],CABOS[],3,0)/VLOOKUP(DIR_ATUAL22[[#This Row],[CONDUTOR]],CABOS[],6,0))*(1+VLOOKUP(DIR_ATUAL22[[#This Row],[CONDUTOR]],CABOS[],5,0)*(DIR_ATUAL22[[#This Row],[T]]-20)),"")</f>
        <v>0.50188242963500251</v>
      </c>
      <c r="N14" s="62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>1.5420055242168447</v>
      </c>
      <c r="O14" s="116">
        <f>IF(DIR_ATUAL22[[#This Row],[PONTO]]="","",IFERROR(SUMIF(DIR_ATUAL22[PONTO],DIR_ATUAL22[[#This Row],[TRECHO]],DIR_ATUAL22[Coluna1])+DIR_ATUAL22[[#This Row],[QT-PONTO]],""))</f>
        <v>5.5116154734829106</v>
      </c>
      <c r="P14" s="56">
        <f>IFERROR(DIR_ATUAL22[[#This Row],[Coluna1]]/T_LINHA_MONO,"")</f>
        <v>4.3392718326614524E-2</v>
      </c>
      <c r="Q14" s="55">
        <f>IFERROR(T_LINHA_MONO*(1-DIR_ATUAL22[[#This Row],[QT %]]),"")</f>
        <v>121.50544374823477</v>
      </c>
      <c r="R14" s="55">
        <f>IFERROR(T_LINHA_TRF*(1-DIR_ATUAL22[[#This Row],[QT %]]),"")</f>
        <v>210.4536019681448</v>
      </c>
      <c r="S14" s="67" t="str">
        <f>IFERROR(IF(DIR_ATUAL22[[#This Row],[PROTECAO]]="OK","Protecao OK","Ajustar Disj/Condutor"),"")</f>
        <v>Ajustar Disj/Condutor</v>
      </c>
      <c r="T14" s="72" t="str">
        <f>IF(DIR_ATUAL22[[#This Row],[ETA]]=1,"MONO",IF(DIR_ATUAL22[[#This Row],[ETA]]=2,"BIF","TRI"))</f>
        <v>TRI</v>
      </c>
      <c r="U14" s="72">
        <v>3</v>
      </c>
      <c r="V14" s="72" t="str">
        <f t="shared" si="0"/>
        <v>AEREO</v>
      </c>
      <c r="W14" s="72">
        <v>26</v>
      </c>
      <c r="X14" s="72">
        <f>IFERROR(IF(DIR_ATUAL22[[#This Row],[FASE]]="MONO",DIR_ATUAL22[[#This Row],[ACUMULADA]]*1000/(T_LINHA_TRF*DIR_ATUAL22[[#This Row],[ETA]]),DIR_ATUAL22[[#This Row],[ACUMULADA]]*1000/(SQRT(3)*$R$7*DIR_ATUAL22[[#This Row],[ETA]])),"")</f>
        <v>24.833059760234992</v>
      </c>
      <c r="Y14" s="72">
        <f>IFERROR(VLOOKUP(DIR_ATUAL22[[#This Row],[Ib]],TabelaDisjuntores[],2,TRUE),"")</f>
        <v>20</v>
      </c>
      <c r="Z14" s="72">
        <f>IFERROR(VLOOKUP(DIR_ATUAL22[[#This Row],[CONDUTOR]],CABOS[],2,0),"")</f>
        <v>202</v>
      </c>
      <c r="AA14" s="72" t="str">
        <f>IF(AND(DIR_ATUAL22[[#This Row],[Ib]]&lt;=DIR_ATUAL22[[#This Row],[In]],DIR_ATUAL22[[#This Row],[In]]&lt;=DIR_ATUAL22[[#This Row],[Iz]]),"OK","VERIFICAR")</f>
        <v>VERIFICAR</v>
      </c>
      <c r="AB14" s="97">
        <f>IFERROR(SQRT((DIR_ATUAL22[[#This Row],[X]]-$AF$4)^2+(DIR_ATUAL22[[#This Row],[Y]]-$AF$5)^2),0)</f>
        <v>0</v>
      </c>
      <c r="AC14" s="9">
        <f>IFERROR(VLOOKUP(DIR_ATUAL22[[#This Row],[CONDUTOR]],CONDUTORES,2,0),"")</f>
        <v>202</v>
      </c>
      <c r="AE14" t="s">
        <v>272</v>
      </c>
    </row>
    <row r="15" spans="1:33" x14ac:dyDescent="0.3">
      <c r="A15" s="54" t="s">
        <v>353</v>
      </c>
      <c r="B15" s="130">
        <v>7</v>
      </c>
      <c r="C15" s="54">
        <f>IFERROR(IF(DIR_ATUAL22[[#This Row],[PONTO]]="RAMAL",B14,VLOOKUP(DIR_ATUAL22[[#This Row],[PONTO]],GERAL[],2,0)),"")</f>
        <v>6</v>
      </c>
      <c r="D15" s="154">
        <f>IFERROR(IF(DIR_ATUAL22[[#This Row],[PONTO]]="RAMAL",15,VLOOKUP(DIR_ATUAL22[[#This Row],[PONTO]],GERAL[],3,0)),"")</f>
        <v>44</v>
      </c>
      <c r="E15" s="154">
        <f>IFERROR(IF(DIR_ATUAL22[[#This Row],[PONTO]]="RAMAL","",VLOOKUP(DIR_ATUAL22[[#This Row],[PONTO]],GERAL[],7,0)),"")</f>
        <v>45</v>
      </c>
      <c r="F15" s="154">
        <f>IFERROR(IF(DIR_ATUAL22[[#This Row],[PONTO]]="RAMAL","",VLOOKUP(DIR_ATUAL22[[#This Row],[PONTO]],GERAL[],4,0)),"")</f>
        <v>0</v>
      </c>
      <c r="G15" s="154">
        <f>IFERROR(IF(DIR_ATUAL22[[#This Row],[PONTO]]="RAMAL","",VLOOKUP(DIR_ATUAL22[[#This Row],[PONTO]],GERAL[],5,0)),"")</f>
        <v>0</v>
      </c>
      <c r="H15" s="55">
        <f>IFERROR(IF(DIR_ATUAL22[[#This Row],[PONTO]]="RAMAL",DMDI,VLOOKUP(DIR_ATUAL22[[#This Row],[PONTO]],GERAL[],8,0)),"")</f>
        <v>41.961599999999997</v>
      </c>
      <c r="I15" s="55">
        <f>IFERROR(IF(DIR_ATUAL22[[#This Row],[PONTO]]="RAMAL",DIR_ATUAL22[[#This Row],[KVA PONTO]],VLOOKUP(DIR_ATUAL22[[#This Row],[PONTO]],GERAL[],9,0)),"")</f>
        <v>61.175199999999997</v>
      </c>
      <c r="J15" s="55" t="str">
        <f>IFERROR(VLOOKUP(DIR_ATUAL22[[#This Row],[PONTO]],GERAL[],12,0),"")</f>
        <v>70 Al - MX</v>
      </c>
      <c r="K15" s="61">
        <f>IFERROR(DIR_ATUAL22[[#This Row],[Ib]],"")</f>
        <v>53.514421496559379</v>
      </c>
      <c r="L15" s="117">
        <f>IFERROR(IFERROR(DIR_ATUAL22[[#This Row],[ACUMULADA]]/((IF(DIR_ATUAL22[[#This Row],[FASE]]="MONO",T_LINHA_MONO,IF(DIR_ATUAL22[[#This Row],[FASE]]="BIF",T_LINHA_TRF,T_LINHA_TRF*SQRT(3)))/1000)*VLOOKUP(DIR_ATUAL22[[#This Row],[CONDUTOR]],CABOS[],9,0))+30,W15+60*(X15/Z15)),"")</f>
        <v>77.686118165250946</v>
      </c>
      <c r="M15" s="68">
        <f>IFERROR((VLOOKUP(DIR_ATUAL22[[#This Row],[CONDUTOR]],CABOS[],3,0)/VLOOKUP(DIR_ATUAL22[[#This Row],[CONDUTOR]],CABOS[],6,0))*(1+VLOOKUP(DIR_ATUAL22[[#This Row],[CONDUTOR]],CABOS[],5,0)*(DIR_ATUAL22[[#This Row],[T]]-20)),"")</f>
        <v>0.54764920015641216</v>
      </c>
      <c r="N15" s="62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>3.9696099492660655</v>
      </c>
      <c r="O15" s="116">
        <f>IF(DIR_ATUAL22[[#This Row],[PONTO]]="","",IFERROR(SUMIF(DIR_ATUAL22[PONTO],DIR_ATUAL22[[#This Row],[TRECHO]],DIR_ATUAL22[Coluna1])+DIR_ATUAL22[[#This Row],[QT-PONTO]],""))</f>
        <v>3.9696099492660655</v>
      </c>
      <c r="P15" s="56">
        <f>IFERROR(DIR_ATUAL22[[#This Row],[Coluna1]]/T_LINHA_MONO,"")</f>
        <v>3.125257326527154E-2</v>
      </c>
      <c r="Q15" s="55">
        <f>IFERROR(T_LINHA_MONO*(1-DIR_ATUAL22[[#This Row],[QT %]]),"")</f>
        <v>123.04744927245162</v>
      </c>
      <c r="R15" s="55">
        <f>IFERROR(T_LINHA_TRF*(1-DIR_ATUAL22[[#This Row],[QT %]]),"")</f>
        <v>213.12443388164027</v>
      </c>
      <c r="S15" s="67" t="str">
        <f>IFERROR(IF(DIR_ATUAL22[[#This Row],[PROTECAO]]="OK","Protecao OK","Ajustar Disj/Condutor"),"")</f>
        <v>Ajustar Disj/Condutor</v>
      </c>
      <c r="T15" s="72" t="str">
        <f>IF(DIR_ATUAL22[[#This Row],[ETA]]=1,"MONO",IF(DIR_ATUAL22[[#This Row],[ETA]]=2,"BIF","TRI"))</f>
        <v>TRI</v>
      </c>
      <c r="U15" s="72">
        <v>3</v>
      </c>
      <c r="V15" s="72" t="str">
        <f t="shared" si="0"/>
        <v>AEREO</v>
      </c>
      <c r="W15" s="72">
        <v>27</v>
      </c>
      <c r="X15" s="72">
        <f>IFERROR(IF(DIR_ATUAL22[[#This Row],[FASE]]="MONO",DIR_ATUAL22[[#This Row],[ACUMULADA]]*1000/(T_LINHA_TRF*DIR_ATUAL22[[#This Row],[ETA]]),DIR_ATUAL22[[#This Row],[ACUMULADA]]*1000/(SQRT(3)*$R$7*DIR_ATUAL22[[#This Row],[ETA]])),"")</f>
        <v>53.514421496559379</v>
      </c>
      <c r="Y15" s="72">
        <f>IFERROR(VLOOKUP(DIR_ATUAL22[[#This Row],[Ib]],TabelaDisjuntores[],2,TRUE),"")</f>
        <v>50</v>
      </c>
      <c r="Z15" s="72">
        <f>IFERROR(VLOOKUP(DIR_ATUAL22[[#This Row],[CONDUTOR]],CABOS[],2,0),"")</f>
        <v>202</v>
      </c>
      <c r="AA15" s="72" t="str">
        <f>IF(AND(DIR_ATUAL22[[#This Row],[Ib]]&lt;=DIR_ATUAL22[[#This Row],[In]],DIR_ATUAL22[[#This Row],[In]]&lt;=DIR_ATUAL22[[#This Row],[Iz]]),"OK","VERIFICAR")</f>
        <v>VERIFICAR</v>
      </c>
      <c r="AB15" s="97">
        <f>IFERROR(SQRT((DIR_ATUAL22[[#This Row],[X]]-$AF$4)^2+(DIR_ATUAL22[[#This Row],[Y]]-$AF$5)^2),0)</f>
        <v>0</v>
      </c>
      <c r="AC15" s="9">
        <f>IFERROR(VLOOKUP(DIR_ATUAL22[[#This Row],[CONDUTOR]],CONDUTORES,2,0),"")</f>
        <v>202</v>
      </c>
      <c r="AE15" t="s">
        <v>273</v>
      </c>
    </row>
    <row r="16" spans="1:33" ht="14.4" customHeight="1" x14ac:dyDescent="0.3">
      <c r="A16" s="172"/>
      <c r="B16" s="130"/>
      <c r="C16" s="54" t="str">
        <f>IFERROR(IF(DIR_ATUAL22[[#This Row],[PONTO]]="RAMAL",B15,VLOOKUP(DIR_ATUAL22[[#This Row],[PONTO]],GERAL[],2,0)),"")</f>
        <v/>
      </c>
      <c r="D16" s="154" t="str">
        <f>IFERROR(IF(DIR_ATUAL22[[#This Row],[PONTO]]="RAMAL",15,VLOOKUP(DIR_ATUAL22[[#This Row],[PONTO]],GERAL[],3,0)),"")</f>
        <v/>
      </c>
      <c r="E16" s="154" t="str">
        <f>IFERROR(IF(DIR_ATUAL22[[#This Row],[PONTO]]="RAMAL","",VLOOKUP(DIR_ATUAL22[[#This Row],[PONTO]],GERAL[],7,0)),"")</f>
        <v/>
      </c>
      <c r="F16" s="154" t="str">
        <f>IFERROR(IF(DIR_ATUAL22[[#This Row],[PONTO]]="RAMAL","",VLOOKUP(DIR_ATUAL22[[#This Row],[PONTO]],GERAL[],4,0)),"")</f>
        <v/>
      </c>
      <c r="G16" s="154" t="str">
        <f>IFERROR(IF(DIR_ATUAL22[[#This Row],[PONTO]]="RAMAL","",VLOOKUP(DIR_ATUAL22[[#This Row],[PONTO]],GERAL[],5,0)),"")</f>
        <v/>
      </c>
      <c r="H16" s="55" t="str">
        <f>IFERROR(IF(DIR_ATUAL22[[#This Row],[PONTO]]="RAMAL",DMDI,VLOOKUP(DIR_ATUAL22[[#This Row],[PONTO]],GERAL[],8,0)),"")</f>
        <v/>
      </c>
      <c r="I16" s="55" t="str">
        <f>IFERROR(IF(DIR_ATUAL22[[#This Row],[PONTO]]="RAMAL",DIR_ATUAL22[[#This Row],[KVA PONTO]],VLOOKUP(DIR_ATUAL22[[#This Row],[PONTO]],GERAL[],9,0)),"")</f>
        <v/>
      </c>
      <c r="J16" s="55" t="str">
        <f>IFERROR(VLOOKUP(DIR_ATUAL22[[#This Row],[PONTO]],GERAL[],12,0),"")</f>
        <v/>
      </c>
      <c r="K16" s="61" t="str">
        <f>IFERROR(DIR_ATUAL22[[#This Row],[Ib]],"")</f>
        <v/>
      </c>
      <c r="L16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Row],[CONDUTOR]],CABOS[],9,0))+30,W16+60*(X16/Z16)),"")</f>
        <v/>
      </c>
      <c r="M16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16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16" s="116" t="str">
        <f>IF(DIR_ATUAL22[[#This Row],[PONTO]]="","",IFERROR(SUMIF(DIR_ATUAL22[PONTO],DIR_ATUAL22[[#This Row],[TRECHO]],DIR_ATUAL22[Coluna1])+DIR_ATUAL22[[#This Row],[QT-PONTO]],""))</f>
        <v/>
      </c>
      <c r="P16" s="56" t="str">
        <f>IFERROR(DIR_ATUAL22[[#This Row],[Coluna1]]/T_LINHA_MONO,"")</f>
        <v/>
      </c>
      <c r="Q16" s="55" t="str">
        <f>IFERROR(T_LINHA_MONO*(1-DIR_ATUAL22[[#This Row],[QT %]]),"")</f>
        <v/>
      </c>
      <c r="R16" s="55" t="str">
        <f>IFERROR(T_LINHA_TRF*(1-DIR_ATUAL22[[#This Row],[QT %]]),"")</f>
        <v/>
      </c>
      <c r="S16" s="67" t="str">
        <f>IFERROR(IF(DIR_ATUAL22[[#This Row],[PROTECAO]]="OK","Protecao OK","Ajustar Disj/Condutor"),"")</f>
        <v>Protecao OK</v>
      </c>
      <c r="T16" s="72" t="str">
        <f>IF(DIR_ATUAL22[[#This Row],[ETA]]=1,"MONO",IF(DIR_ATUAL22[[#This Row],[ETA]]=2,"BIF","TRI"))</f>
        <v>TRI</v>
      </c>
      <c r="U16" s="72">
        <v>3</v>
      </c>
      <c r="V16" s="72" t="str">
        <f t="shared" si="0"/>
        <v>AEREO</v>
      </c>
      <c r="W16" s="72">
        <v>28</v>
      </c>
      <c r="X16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16" s="72" t="str">
        <f>IFERROR(VLOOKUP(DIR_ATUAL22[[#This Row],[Ib]],TabelaDisjuntores[],2,TRUE),"")</f>
        <v/>
      </c>
      <c r="Z16" s="72" t="str">
        <f>IFERROR(VLOOKUP(DIR_ATUAL22[[#This Row],[CONDUTOR]],CABOS[],2,0),"")</f>
        <v/>
      </c>
      <c r="AA16" s="72" t="str">
        <f>IF(AND(DIR_ATUAL22[[#This Row],[Ib]]&lt;=DIR_ATUAL22[[#This Row],[In]],DIR_ATUAL22[[#This Row],[In]]&lt;=DIR_ATUAL22[[#This Row],[Iz]]),"OK","VERIFICAR")</f>
        <v>OK</v>
      </c>
      <c r="AB16" s="97">
        <f>IFERROR(SQRT((DIR_ATUAL22[[#This Row],[X]]-$AF$4)^2+(DIR_ATUAL22[[#This Row],[Y]]-$AF$5)^2),0)</f>
        <v>0</v>
      </c>
      <c r="AC16" s="9" t="str">
        <f>IFERROR(VLOOKUP(DIR_ATUAL22[[#This Row],[CONDUTOR]],CONDUTORES,2,0),"")</f>
        <v/>
      </c>
      <c r="AE16" s="262" t="s">
        <v>279</v>
      </c>
      <c r="AF16" s="262"/>
      <c r="AG16" s="262"/>
    </row>
    <row r="17" spans="1:33" x14ac:dyDescent="0.3">
      <c r="A17" s="54"/>
      <c r="B17" s="130"/>
      <c r="C17" s="54" t="str">
        <f>IFERROR(IF(DIR_ATUAL22[[#This Row],[PONTO]]="RAMAL",B16,VLOOKUP(DIR_ATUAL22[[#This Row],[PONTO]],GERAL[],2,0)),"")</f>
        <v/>
      </c>
      <c r="D17" s="154" t="str">
        <f>IFERROR(IF(DIR_ATUAL22[[#This Row],[PONTO]]="RAMAL",15,VLOOKUP(DIR_ATUAL22[[#This Row],[PONTO]],GERAL[],3,0)),"")</f>
        <v/>
      </c>
      <c r="E17" s="154" t="str">
        <f>IFERROR(IF(DIR_ATUAL22[[#This Row],[PONTO]]="RAMAL","",VLOOKUP(DIR_ATUAL22[[#This Row],[PONTO]],GERAL[],7,0)),"")</f>
        <v/>
      </c>
      <c r="F17" s="154" t="str">
        <f>IFERROR(IF(DIR_ATUAL22[[#This Row],[PONTO]]="RAMAL","",VLOOKUP(DIR_ATUAL22[[#This Row],[PONTO]],GERAL[],4,0)),"")</f>
        <v/>
      </c>
      <c r="G17" s="154" t="str">
        <f>IFERROR(IF(DIR_ATUAL22[[#This Row],[PONTO]]="RAMAL","",VLOOKUP(DIR_ATUAL22[[#This Row],[PONTO]],GERAL[],5,0)),"")</f>
        <v/>
      </c>
      <c r="H17" s="55" t="str">
        <f>IFERROR(IF(DIR_ATUAL22[[#This Row],[PONTO]]="RAMAL",DMDI,VLOOKUP(DIR_ATUAL22[[#This Row],[PONTO]],GERAL[],8,0)),"")</f>
        <v/>
      </c>
      <c r="I17" s="55" t="str">
        <f>IFERROR(IF(DIR_ATUAL22[[#This Row],[PONTO]]="RAMAL",DIR_ATUAL22[[#This Row],[KVA PONTO]],VLOOKUP(DIR_ATUAL22[[#This Row],[PONTO]],GERAL[],9,0)),"")</f>
        <v/>
      </c>
      <c r="J17" s="55" t="str">
        <f>IFERROR(VLOOKUP(DIR_ATUAL22[[#This Row],[PONTO]],GERAL[],12,0),"")</f>
        <v/>
      </c>
      <c r="K17" s="61" t="str">
        <f>IFERROR(DIR_ATUAL22[[#This Row],[Ib]],"")</f>
        <v/>
      </c>
      <c r="L17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Row],[CONDUTOR]],CABOS[],9,0))+30,W17+60*(X17/Z17)),"")</f>
        <v/>
      </c>
      <c r="M17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17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17" s="116" t="str">
        <f>IF(DIR_ATUAL22[[#This Row],[PONTO]]="","",IFERROR(SUMIF(DIR_ATUAL22[PONTO],DIR_ATUAL22[[#This Row],[TRECHO]],DIR_ATUAL22[Coluna1])+DIR_ATUAL22[[#This Row],[QT-PONTO]],""))</f>
        <v/>
      </c>
      <c r="P17" s="56" t="str">
        <f>IFERROR(DIR_ATUAL22[[#This Row],[Coluna1]]/T_LINHA_MONO,"")</f>
        <v/>
      </c>
      <c r="Q17" s="55" t="str">
        <f>IFERROR(T_LINHA_MONO*(1-DIR_ATUAL22[[#This Row],[QT %]]),"")</f>
        <v/>
      </c>
      <c r="R17" s="55" t="str">
        <f>IFERROR(T_LINHA_TRF*(1-DIR_ATUAL22[[#This Row],[QT %]]),"")</f>
        <v/>
      </c>
      <c r="S17" s="67" t="str">
        <f>IFERROR(IF(DIR_ATUAL22[[#This Row],[PROTECAO]]="OK","Protecao OK","Ajustar Disj/Condutor"),"")</f>
        <v>Protecao OK</v>
      </c>
      <c r="T17" s="72" t="str">
        <f>IF(DIR_ATUAL22[[#This Row],[ETA]]=1,"MONO",IF(DIR_ATUAL22[[#This Row],[ETA]]=2,"BIF","TRI"))</f>
        <v>TRI</v>
      </c>
      <c r="U17" s="72">
        <v>3</v>
      </c>
      <c r="V17" s="72" t="str">
        <f t="shared" si="0"/>
        <v>AEREO</v>
      </c>
      <c r="W17" s="72">
        <v>29</v>
      </c>
      <c r="X17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17" s="72" t="str">
        <f>IFERROR(VLOOKUP(DIR_ATUAL22[[#This Row],[Ib]],TabelaDisjuntores[],2,TRUE),"")</f>
        <v/>
      </c>
      <c r="Z17" s="72" t="str">
        <f>IFERROR(VLOOKUP(DIR_ATUAL22[[#This Row],[CONDUTOR]],CABOS[],2,0),"")</f>
        <v/>
      </c>
      <c r="AA17" s="72" t="str">
        <f>IF(AND(DIR_ATUAL22[[#This Row],[Ib]]&lt;=DIR_ATUAL22[[#This Row],[In]],DIR_ATUAL22[[#This Row],[In]]&lt;=DIR_ATUAL22[[#This Row],[Iz]]),"OK","VERIFICAR")</f>
        <v>OK</v>
      </c>
      <c r="AB17" s="97">
        <f>IFERROR(SQRT((DIR_ATUAL22[[#This Row],[X]]-$AF$4)^2+(DIR_ATUAL22[[#This Row],[Y]]-$AF$5)^2),0)</f>
        <v>0</v>
      </c>
      <c r="AC17" s="9" t="str">
        <f>IFERROR(VLOOKUP(DIR_ATUAL22[[#This Row],[CONDUTOR]],CONDUTORES,2,0),"")</f>
        <v/>
      </c>
      <c r="AE17" s="262"/>
      <c r="AF17" s="262"/>
      <c r="AG17" s="262"/>
    </row>
    <row r="18" spans="1:33" x14ac:dyDescent="0.3">
      <c r="A18" s="172"/>
      <c r="B18" s="130"/>
      <c r="C18" s="54" t="str">
        <f>IFERROR(IF(DIR_ATUAL22[[#This Row],[PONTO]]="RAMAL",B17,VLOOKUP(DIR_ATUAL22[[#This Row],[PONTO]],GERAL[],2,0)),"")</f>
        <v/>
      </c>
      <c r="D18" s="154" t="str">
        <f>IFERROR(IF(DIR_ATUAL22[[#This Row],[PONTO]]="RAMAL",15,VLOOKUP(DIR_ATUAL22[[#This Row],[PONTO]],GERAL[],3,0)),"")</f>
        <v/>
      </c>
      <c r="E18" s="154" t="str">
        <f>IFERROR(IF(DIR_ATUAL22[[#This Row],[PONTO]]="RAMAL","",VLOOKUP(DIR_ATUAL22[[#This Row],[PONTO]],GERAL[],7,0)),"")</f>
        <v/>
      </c>
      <c r="F18" s="154" t="str">
        <f>IFERROR(IF(DIR_ATUAL22[[#This Row],[PONTO]]="RAMAL","",VLOOKUP(DIR_ATUAL22[[#This Row],[PONTO]],GERAL[],4,0)),"")</f>
        <v/>
      </c>
      <c r="G18" s="154" t="str">
        <f>IFERROR(IF(DIR_ATUAL22[[#This Row],[PONTO]]="RAMAL","",VLOOKUP(DIR_ATUAL22[[#This Row],[PONTO]],GERAL[],5,0)),"")</f>
        <v/>
      </c>
      <c r="H18" s="55" t="str">
        <f>IFERROR(IF(DIR_ATUAL22[[#This Row],[PONTO]]="RAMAL",DMDI,VLOOKUP(DIR_ATUAL22[[#This Row],[PONTO]],GERAL[],8,0)),"")</f>
        <v/>
      </c>
      <c r="I18" s="55" t="str">
        <f>IFERROR(IF(DIR_ATUAL22[[#This Row],[PONTO]]="RAMAL",DIR_ATUAL22[[#This Row],[KVA PONTO]],VLOOKUP(DIR_ATUAL22[[#This Row],[PONTO]],GERAL[],9,0)),"")</f>
        <v/>
      </c>
      <c r="J18" s="55" t="str">
        <f>IFERROR(VLOOKUP(DIR_ATUAL22[[#This Row],[PONTO]],GERAL[],12,0),"")</f>
        <v/>
      </c>
      <c r="K18" s="61" t="str">
        <f>IFERROR(DIR_ATUAL22[[#This Row],[Ib]],"")</f>
        <v/>
      </c>
      <c r="L18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Row],[CONDUTOR]],CABOS[],9,0))+30,W18+60*(X18/Z18)),"")</f>
        <v/>
      </c>
      <c r="M18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18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18" s="116" t="str">
        <f>IF(DIR_ATUAL22[[#This Row],[PONTO]]="","",IFERROR(SUMIF(DIR_ATUAL22[PONTO],DIR_ATUAL22[[#This Row],[TRECHO]],DIR_ATUAL22[Coluna1])+DIR_ATUAL22[[#This Row],[QT-PONTO]],""))</f>
        <v/>
      </c>
      <c r="P18" s="56" t="str">
        <f>IFERROR(DIR_ATUAL22[[#This Row],[Coluna1]]/T_LINHA_MONO,"")</f>
        <v/>
      </c>
      <c r="Q18" s="55" t="str">
        <f>IFERROR(T_LINHA_MONO*(1-DIR_ATUAL22[[#This Row],[QT %]]),"")</f>
        <v/>
      </c>
      <c r="R18" s="55" t="str">
        <f>IFERROR(T_LINHA_TRF*(1-DIR_ATUAL22[[#This Row],[QT %]]),"")</f>
        <v/>
      </c>
      <c r="S18" s="67" t="str">
        <f>IFERROR(IF(DIR_ATUAL22[[#This Row],[PROTECAO]]="OK","Protecao OK","Ajustar Disj/Condutor"),"")</f>
        <v>Protecao OK</v>
      </c>
      <c r="T18" s="72" t="str">
        <f>IF(DIR_ATUAL22[[#This Row],[ETA]]=1,"MONO",IF(DIR_ATUAL22[[#This Row],[ETA]]=2,"BIF","TRI"))</f>
        <v>TRI</v>
      </c>
      <c r="U18" s="72">
        <v>3</v>
      </c>
      <c r="V18" s="72" t="str">
        <f t="shared" si="0"/>
        <v>AEREO</v>
      </c>
      <c r="W18" s="72">
        <v>30</v>
      </c>
      <c r="X18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18" s="72" t="str">
        <f>IFERROR(VLOOKUP(DIR_ATUAL22[[#This Row],[Ib]],TabelaDisjuntores[],2,TRUE),"")</f>
        <v/>
      </c>
      <c r="Z18" s="72" t="str">
        <f>IFERROR(VLOOKUP(DIR_ATUAL22[[#This Row],[CONDUTOR]],CABOS[],2,0),"")</f>
        <v/>
      </c>
      <c r="AA18" s="72" t="str">
        <f>IF(AND(DIR_ATUAL22[[#This Row],[Ib]]&lt;=DIR_ATUAL22[[#This Row],[In]],DIR_ATUAL22[[#This Row],[In]]&lt;=DIR_ATUAL22[[#This Row],[Iz]]),"OK","VERIFICAR")</f>
        <v>OK</v>
      </c>
      <c r="AB18" s="97">
        <f>IFERROR(SQRT((DIR_ATUAL22[[#This Row],[X]]-$AF$4)^2+(DIR_ATUAL22[[#This Row],[Y]]-$AF$5)^2),0)</f>
        <v>0</v>
      </c>
      <c r="AC18" s="9" t="str">
        <f>IFERROR(VLOOKUP(DIR_ATUAL22[[#This Row],[CONDUTOR]],CONDUTORES,2,0),"")</f>
        <v/>
      </c>
      <c r="AE18" s="262"/>
      <c r="AF18" s="262"/>
      <c r="AG18" s="262"/>
    </row>
    <row r="19" spans="1:33" x14ac:dyDescent="0.3">
      <c r="A19" s="54"/>
      <c r="B19" s="130"/>
      <c r="C19" s="54" t="str">
        <f>IFERROR(IF(DIR_ATUAL22[[#This Row],[PONTO]]="RAMAL",B18,VLOOKUP(DIR_ATUAL22[[#This Row],[PONTO]],GERAL[],2,0)),"")</f>
        <v/>
      </c>
      <c r="D19" s="154" t="str">
        <f>IFERROR(IF(DIR_ATUAL22[[#This Row],[PONTO]]="RAMAL",15,VLOOKUP(DIR_ATUAL22[[#This Row],[PONTO]],GERAL[],3,0)),"")</f>
        <v/>
      </c>
      <c r="E19" s="154" t="str">
        <f>IFERROR(IF(DIR_ATUAL22[[#This Row],[PONTO]]="RAMAL","",VLOOKUP(DIR_ATUAL22[[#This Row],[PONTO]],GERAL[],7,0)),"")</f>
        <v/>
      </c>
      <c r="F19" s="154" t="str">
        <f>IFERROR(IF(DIR_ATUAL22[[#This Row],[PONTO]]="RAMAL","",VLOOKUP(DIR_ATUAL22[[#This Row],[PONTO]],GERAL[],4,0)),"")</f>
        <v/>
      </c>
      <c r="G19" s="154" t="str">
        <f>IFERROR(IF(DIR_ATUAL22[[#This Row],[PONTO]]="RAMAL","",VLOOKUP(DIR_ATUAL22[[#This Row],[PONTO]],GERAL[],5,0)),"")</f>
        <v/>
      </c>
      <c r="H19" s="55" t="str">
        <f>IFERROR(IF(DIR_ATUAL22[[#This Row],[PONTO]]="RAMAL",DMDI,VLOOKUP(DIR_ATUAL22[[#This Row],[PONTO]],GERAL[],8,0)),"")</f>
        <v/>
      </c>
      <c r="I19" s="55" t="str">
        <f>IFERROR(IF(DIR_ATUAL22[[#This Row],[PONTO]]="RAMAL",DIR_ATUAL22[[#This Row],[KVA PONTO]],VLOOKUP(DIR_ATUAL22[[#This Row],[PONTO]],GERAL[],9,0)),"")</f>
        <v/>
      </c>
      <c r="J19" s="55" t="str">
        <f>IFERROR(VLOOKUP(DIR_ATUAL22[[#This Row],[PONTO]],GERAL[],12,0),"")</f>
        <v/>
      </c>
      <c r="K19" s="61" t="str">
        <f>IFERROR(DIR_ATUAL22[[#This Row],[Ib]],"")</f>
        <v/>
      </c>
      <c r="L19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Row],[CONDUTOR]],CABOS[],9,0))+30,W19+60*(X19/Z19)),"")</f>
        <v/>
      </c>
      <c r="M19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19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19" s="116" t="str">
        <f>IF(DIR_ATUAL22[[#This Row],[PONTO]]="","",IFERROR(SUMIF(DIR_ATUAL22[PONTO],DIR_ATUAL22[[#This Row],[TRECHO]],DIR_ATUAL22[Coluna1])+DIR_ATUAL22[[#This Row],[QT-PONTO]],""))</f>
        <v/>
      </c>
      <c r="P19" s="56" t="str">
        <f>IFERROR(DIR_ATUAL22[[#This Row],[Coluna1]]/T_LINHA_MONO,"")</f>
        <v/>
      </c>
      <c r="Q19" s="55" t="str">
        <f>IFERROR(T_LINHA_MONO*(1-DIR_ATUAL22[[#This Row],[QT %]]),"")</f>
        <v/>
      </c>
      <c r="R19" s="55" t="str">
        <f>IFERROR(T_LINHA_TRF*(1-DIR_ATUAL22[[#This Row],[QT %]]),"")</f>
        <v/>
      </c>
      <c r="S19" s="67" t="str">
        <f>IFERROR(IF(DIR_ATUAL22[[#This Row],[PROTECAO]]="OK","Protecao OK","Ajustar Disj/Condutor"),"")</f>
        <v>Protecao OK</v>
      </c>
      <c r="T19" s="72" t="str">
        <f>IF(DIR_ATUAL22[[#This Row],[ETA]]=1,"MONO",IF(DIR_ATUAL22[[#This Row],[ETA]]=2,"BIF","TRI"))</f>
        <v>TRI</v>
      </c>
      <c r="U19" s="72">
        <v>3</v>
      </c>
      <c r="V19" s="72" t="str">
        <f t="shared" si="0"/>
        <v>AEREO</v>
      </c>
      <c r="W19" s="72">
        <v>31</v>
      </c>
      <c r="X19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19" s="72" t="str">
        <f>IFERROR(VLOOKUP(DIR_ATUAL22[[#This Row],[Ib]],TabelaDisjuntores[],2,TRUE),"")</f>
        <v/>
      </c>
      <c r="Z19" s="72" t="str">
        <f>IFERROR(VLOOKUP(DIR_ATUAL22[[#This Row],[CONDUTOR]],CABOS[],2,0),"")</f>
        <v/>
      </c>
      <c r="AA19" s="72" t="str">
        <f>IF(AND(DIR_ATUAL22[[#This Row],[Ib]]&lt;=DIR_ATUAL22[[#This Row],[In]],DIR_ATUAL22[[#This Row],[In]]&lt;=DIR_ATUAL22[[#This Row],[Iz]]),"OK","VERIFICAR")</f>
        <v>OK</v>
      </c>
      <c r="AB19" s="97">
        <f>IFERROR(SQRT((DIR_ATUAL22[[#This Row],[X]]-$AF$4)^2+(DIR_ATUAL22[[#This Row],[Y]]-$AF$5)^2),0)</f>
        <v>0</v>
      </c>
      <c r="AC19" s="9" t="str">
        <f>IFERROR(VLOOKUP(DIR_ATUAL22[[#This Row],[CONDUTOR]],CONDUTORES,2,0),"")</f>
        <v/>
      </c>
      <c r="AE19" s="262"/>
      <c r="AF19" s="262"/>
      <c r="AG19" s="262"/>
    </row>
    <row r="20" spans="1:33" x14ac:dyDescent="0.3">
      <c r="A20" s="172"/>
      <c r="B20" s="130"/>
      <c r="C20" s="54" t="str">
        <f>IFERROR(IF(DIR_ATUAL22[[#This Row],[PONTO]]="RAMAL",B19,VLOOKUP(DIR_ATUAL22[[#This Row],[PONTO]],GERAL[],2,0)),"")</f>
        <v/>
      </c>
      <c r="D20" s="154" t="str">
        <f>IFERROR(IF(DIR_ATUAL22[[#This Row],[PONTO]]="RAMAL",15,VLOOKUP(DIR_ATUAL22[[#This Row],[PONTO]],GERAL[],3,0)),"")</f>
        <v/>
      </c>
      <c r="E20" s="154" t="str">
        <f>IFERROR(IF(DIR_ATUAL22[[#This Row],[PONTO]]="RAMAL","",VLOOKUP(DIR_ATUAL22[[#This Row],[PONTO]],GERAL[],7,0)),"")</f>
        <v/>
      </c>
      <c r="F20" s="154" t="str">
        <f>IFERROR(IF(DIR_ATUAL22[[#This Row],[PONTO]]="RAMAL","",VLOOKUP(DIR_ATUAL22[[#This Row],[PONTO]],GERAL[],4,0)),"")</f>
        <v/>
      </c>
      <c r="G20" s="154" t="str">
        <f>IFERROR(IF(DIR_ATUAL22[[#This Row],[PONTO]]="RAMAL","",VLOOKUP(DIR_ATUAL22[[#This Row],[PONTO]],GERAL[],5,0)),"")</f>
        <v/>
      </c>
      <c r="H20" s="55" t="str">
        <f>IFERROR(IF(DIR_ATUAL22[[#This Row],[PONTO]]="RAMAL",DMDI,VLOOKUP(DIR_ATUAL22[[#This Row],[PONTO]],GERAL[],8,0)),"")</f>
        <v/>
      </c>
      <c r="I20" s="55" t="str">
        <f>IFERROR(IF(DIR_ATUAL22[[#This Row],[PONTO]]="RAMAL",DIR_ATUAL22[[#This Row],[KVA PONTO]],VLOOKUP(DIR_ATUAL22[[#This Row],[PONTO]],GERAL[],9,0)),"")</f>
        <v/>
      </c>
      <c r="J20" s="55" t="str">
        <f>IFERROR(VLOOKUP(DIR_ATUAL22[[#This Row],[PONTO]],GERAL[],12,0),"")</f>
        <v/>
      </c>
      <c r="K20" s="61" t="str">
        <f>IFERROR(DIR_ATUAL22[[#This Row],[Ib]],"")</f>
        <v/>
      </c>
      <c r="L20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Row],[CONDUTOR]],CABOS[],9,0))+30,W20+60*(X20/Z20)),"")</f>
        <v/>
      </c>
      <c r="M20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20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20" s="116" t="str">
        <f>IF(DIR_ATUAL22[[#This Row],[PONTO]]="","",IFERROR(SUMIF(DIR_ATUAL22[PONTO],DIR_ATUAL22[[#This Row],[TRECHO]],DIR_ATUAL22[Coluna1])+DIR_ATUAL22[[#This Row],[QT-PONTO]],""))</f>
        <v/>
      </c>
      <c r="P20" s="56" t="str">
        <f>IFERROR(DIR_ATUAL22[[#This Row],[Coluna1]]/T_LINHA_MONO,"")</f>
        <v/>
      </c>
      <c r="Q20" s="55" t="str">
        <f>IFERROR(T_LINHA_MONO*(1-DIR_ATUAL22[[#This Row],[QT %]]),"")</f>
        <v/>
      </c>
      <c r="R20" s="55" t="str">
        <f>IFERROR(T_LINHA_TRF*(1-DIR_ATUAL22[[#This Row],[QT %]]),"")</f>
        <v/>
      </c>
      <c r="S20" s="67" t="str">
        <f>IFERROR(IF(DIR_ATUAL22[[#This Row],[PROTECAO]]="OK","Protecao OK","Ajustar Disj/Condutor"),"")</f>
        <v>Protecao OK</v>
      </c>
      <c r="T20" s="72" t="str">
        <f>IF(DIR_ATUAL22[[#This Row],[ETA]]=1,"MONO",IF(DIR_ATUAL22[[#This Row],[ETA]]=2,"BIF","TRI"))</f>
        <v>TRI</v>
      </c>
      <c r="U20" s="72">
        <v>3</v>
      </c>
      <c r="V20" s="72" t="str">
        <f t="shared" si="0"/>
        <v>AEREO</v>
      </c>
      <c r="W20" s="72">
        <v>32</v>
      </c>
      <c r="X20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20" s="72" t="str">
        <f>IFERROR(VLOOKUP(DIR_ATUAL22[[#This Row],[Ib]],TabelaDisjuntores[],2,TRUE),"")</f>
        <v/>
      </c>
      <c r="Z20" s="72" t="str">
        <f>IFERROR(VLOOKUP(DIR_ATUAL22[[#This Row],[CONDUTOR]],CABOS[],2,0),"")</f>
        <v/>
      </c>
      <c r="AA20" s="72" t="str">
        <f>IF(AND(DIR_ATUAL22[[#This Row],[Ib]]&lt;=DIR_ATUAL22[[#This Row],[In]],DIR_ATUAL22[[#This Row],[In]]&lt;=DIR_ATUAL22[[#This Row],[Iz]]),"OK","VERIFICAR")</f>
        <v>OK</v>
      </c>
      <c r="AB20" s="97">
        <f>IFERROR(SQRT((DIR_ATUAL22[[#This Row],[X]]-$AF$4)^2+(DIR_ATUAL22[[#This Row],[Y]]-$AF$5)^2),0)</f>
        <v>0</v>
      </c>
      <c r="AC20" s="9" t="str">
        <f>IFERROR(VLOOKUP(DIR_ATUAL22[[#This Row],[CONDUTOR]],CONDUTORES,2,0),"")</f>
        <v/>
      </c>
    </row>
    <row r="21" spans="1:33" x14ac:dyDescent="0.3">
      <c r="A21" s="54"/>
      <c r="B21" s="130"/>
      <c r="C21" s="54" t="str">
        <f>IFERROR(IF(DIR_ATUAL22[[#This Row],[PONTO]]="RAMAL",B20,VLOOKUP(DIR_ATUAL22[[#This Row],[PONTO]],GERAL[],2,0)),"")</f>
        <v/>
      </c>
      <c r="D21" s="154" t="str">
        <f>IFERROR(IF(DIR_ATUAL22[[#This Row],[PONTO]]="RAMAL",15,VLOOKUP(DIR_ATUAL22[[#This Row],[PONTO]],GERAL[],3,0)),"")</f>
        <v/>
      </c>
      <c r="E21" s="154" t="str">
        <f>IFERROR(IF(DIR_ATUAL22[[#This Row],[PONTO]]="RAMAL","",VLOOKUP(DIR_ATUAL22[[#This Row],[PONTO]],GERAL[],7,0)),"")</f>
        <v/>
      </c>
      <c r="F21" s="154" t="str">
        <f>IFERROR(IF(DIR_ATUAL22[[#This Row],[PONTO]]="RAMAL","",VLOOKUP(DIR_ATUAL22[[#This Row],[PONTO]],GERAL[],4,0)),"")</f>
        <v/>
      </c>
      <c r="G21" s="154" t="str">
        <f>IFERROR(IF(DIR_ATUAL22[[#This Row],[PONTO]]="RAMAL","",VLOOKUP(DIR_ATUAL22[[#This Row],[PONTO]],GERAL[],5,0)),"")</f>
        <v/>
      </c>
      <c r="H21" s="55" t="str">
        <f>IFERROR(IF(DIR_ATUAL22[[#This Row],[PONTO]]="RAMAL",DMDI,VLOOKUP(DIR_ATUAL22[[#This Row],[PONTO]],GERAL[],8,0)),"")</f>
        <v/>
      </c>
      <c r="I21" s="55" t="str">
        <f>IFERROR(IF(DIR_ATUAL22[[#This Row],[PONTO]]="RAMAL",DIR_ATUAL22[[#This Row],[KVA PONTO]],VLOOKUP(DIR_ATUAL22[[#This Row],[PONTO]],GERAL[],9,0)),"")</f>
        <v/>
      </c>
      <c r="J21" s="55" t="str">
        <f>IFERROR(VLOOKUP(DIR_ATUAL22[[#This Row],[PONTO]],GERAL[],12,0),"")</f>
        <v/>
      </c>
      <c r="K21" s="61" t="str">
        <f>IFERROR(DIR_ATUAL22[[#This Row],[Ib]],"")</f>
        <v/>
      </c>
      <c r="L21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Row],[CONDUTOR]],CABOS[],9,0))+30,W21+60*(X21/Z21)),"")</f>
        <v/>
      </c>
      <c r="M21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21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21" s="116" t="str">
        <f>IF(DIR_ATUAL22[[#This Row],[PONTO]]="","",IFERROR(SUMIF(DIR_ATUAL22[PONTO],DIR_ATUAL22[[#This Row],[TRECHO]],DIR_ATUAL22[Coluna1])+DIR_ATUAL22[[#This Row],[QT-PONTO]],""))</f>
        <v/>
      </c>
      <c r="P21" s="56" t="str">
        <f>IFERROR(DIR_ATUAL22[[#This Row],[Coluna1]]/T_LINHA_MONO,"")</f>
        <v/>
      </c>
      <c r="Q21" s="55" t="str">
        <f>IFERROR(T_LINHA_MONO*(1-DIR_ATUAL22[[#This Row],[QT %]]),"")</f>
        <v/>
      </c>
      <c r="R21" s="55" t="str">
        <f>IFERROR(T_LINHA_TRF*(1-DIR_ATUAL22[[#This Row],[QT %]]),"")</f>
        <v/>
      </c>
      <c r="S21" s="67" t="str">
        <f>IFERROR(IF(DIR_ATUAL22[[#This Row],[PROTECAO]]="OK","Protecao OK","Ajustar Disj/Condutor"),"")</f>
        <v>Protecao OK</v>
      </c>
      <c r="T21" s="72" t="str">
        <f>IF(DIR_ATUAL22[[#This Row],[ETA]]=1,"MONO",IF(DIR_ATUAL22[[#This Row],[ETA]]=2,"BIF","TRI"))</f>
        <v>TRI</v>
      </c>
      <c r="U21" s="72">
        <v>3</v>
      </c>
      <c r="V21" s="72" t="str">
        <f t="shared" si="0"/>
        <v>AEREO</v>
      </c>
      <c r="W21" s="72">
        <v>33</v>
      </c>
      <c r="X21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21" s="72" t="str">
        <f>IFERROR(VLOOKUP(DIR_ATUAL22[[#This Row],[Ib]],TabelaDisjuntores[],2,TRUE),"")</f>
        <v/>
      </c>
      <c r="Z21" s="72" t="str">
        <f>IFERROR(VLOOKUP(DIR_ATUAL22[[#This Row],[CONDUTOR]],CABOS[],2,0),"")</f>
        <v/>
      </c>
      <c r="AA21" s="72" t="str">
        <f>IF(AND(DIR_ATUAL22[[#This Row],[Ib]]&lt;=DIR_ATUAL22[[#This Row],[In]],DIR_ATUAL22[[#This Row],[In]]&lt;=DIR_ATUAL22[[#This Row],[Iz]]),"OK","VERIFICAR")</f>
        <v>OK</v>
      </c>
      <c r="AB21" s="97">
        <f>IFERROR(SQRT((DIR_ATUAL22[[#This Row],[X]]-$AF$4)^2+(DIR_ATUAL22[[#This Row],[Y]]-$AF$5)^2),0)</f>
        <v>0</v>
      </c>
      <c r="AC21" s="9" t="str">
        <f>IFERROR(VLOOKUP(DIR_ATUAL22[[#This Row],[CONDUTOR]],CONDUTORES,2,0),"")</f>
        <v/>
      </c>
      <c r="AE21" s="146"/>
      <c r="AF21" s="146" t="str">
        <f>IF(J23="","FALTA CONDUTOR NO RAMAL","")</f>
        <v/>
      </c>
      <c r="AG21" s="146"/>
    </row>
    <row r="22" spans="1:33" x14ac:dyDescent="0.3">
      <c r="A22" s="172"/>
      <c r="B22" s="130" t="str">
        <f>IFERROR(VLOOKUP(A22,PROJ1!A22:C64,2,0),"")</f>
        <v/>
      </c>
      <c r="C22" s="54" t="str">
        <f>IFERROR(IF(DIR_ATUAL22[[#This Row],[PONTO]]="RAMAL",B21,VLOOKUP(DIR_ATUAL22[[#This Row],[PONTO]],GERAL[],2,0)),"")</f>
        <v/>
      </c>
      <c r="D22" s="154" t="str">
        <f>IFERROR(IF(DIR_ATUAL22[[#This Row],[PONTO]]="RAMAL",15,VLOOKUP(DIR_ATUAL22[[#This Row],[PONTO]],GERAL[],3,0)),"")</f>
        <v/>
      </c>
      <c r="E22" s="154" t="str">
        <f>IFERROR(IF(DIR_ATUAL22[[#This Row],[PONTO]]="RAMAL","",VLOOKUP(DIR_ATUAL22[[#This Row],[PONTO]],GERAL[],7,0)),"")</f>
        <v/>
      </c>
      <c r="F22" s="154" t="str">
        <f>IFERROR(IF(DIR_ATUAL22[[#This Row],[PONTO]]="RAMAL","",VLOOKUP(DIR_ATUAL22[[#This Row],[PONTO]],GERAL[],4,0)),"")</f>
        <v/>
      </c>
      <c r="G22" s="154" t="str">
        <f>IFERROR(IF(DIR_ATUAL22[[#This Row],[PONTO]]="RAMAL","",VLOOKUP(DIR_ATUAL22[[#This Row],[PONTO]],GERAL[],5,0)),"")</f>
        <v/>
      </c>
      <c r="H22" s="55" t="str">
        <f>IFERROR(IF(DIR_ATUAL22[[#This Row],[PONTO]]="RAMAL",DMDI,VLOOKUP(DIR_ATUAL22[[#This Row],[PONTO]],GERAL[],8,0)),"")</f>
        <v/>
      </c>
      <c r="I22" s="55" t="str">
        <f>IFERROR(IF(DIR_ATUAL22[[#This Row],[PONTO]]="RAMAL",DIR_ATUAL22[[#This Row],[KVA PONTO]],VLOOKUP(DIR_ATUAL22[[#This Row],[PONTO]],GERAL[],9,0)),"")</f>
        <v/>
      </c>
      <c r="J22" s="55" t="str">
        <f>IFERROR(VLOOKUP(DIR_ATUAL22[[#This Row],[PONTO]],GERAL[],12,0),"")</f>
        <v/>
      </c>
      <c r="K22" s="61" t="str">
        <f>IFERROR(DIR_ATUAL22[[#This Row],[Ib]],"")</f>
        <v/>
      </c>
      <c r="L22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Row],[CONDUTOR]],CABOS[],9,0))+30,W22+60*(X22/Z22)),"")</f>
        <v/>
      </c>
      <c r="M22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22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22" s="116" t="str">
        <f>IF(DIR_ATUAL22[[#This Row],[PONTO]]="","",IFERROR(SUMIF(DIR_ATUAL22[PONTO],DIR_ATUAL22[[#This Row],[TRECHO]],DIR_ATUAL22[Coluna1])+DIR_ATUAL22[[#This Row],[QT-PONTO]],""))</f>
        <v/>
      </c>
      <c r="P22" s="56" t="str">
        <f>IFERROR(DIR_ATUAL22[[#This Row],[Coluna1]]/T_LINHA_MONO,"")</f>
        <v/>
      </c>
      <c r="Q22" s="55" t="str">
        <f>IFERROR(T_LINHA_MONO*(1-DIR_ATUAL22[[#This Row],[QT %]]),"")</f>
        <v/>
      </c>
      <c r="R22" s="55" t="str">
        <f>IFERROR(T_LINHA_TRF*(1-DIR_ATUAL22[[#This Row],[QT %]]),"")</f>
        <v/>
      </c>
      <c r="S22" s="67" t="str">
        <f>IFERROR(IF(DIR_ATUAL22[[#This Row],[PROTECAO]]="OK","Protecao OK","Ajustar Disj/Condutor"),"")</f>
        <v>Protecao OK</v>
      </c>
      <c r="T22" s="72" t="str">
        <f>IF(DIR_ATUAL22[[#This Row],[ETA]]=1,"MONO",IF(DIR_ATUAL22[[#This Row],[ETA]]=2,"BIF","TRI"))</f>
        <v>TRI</v>
      </c>
      <c r="U22" s="72">
        <v>3</v>
      </c>
      <c r="V22" s="72" t="str">
        <f t="shared" si="0"/>
        <v>AEREO</v>
      </c>
      <c r="W22" s="72">
        <v>34</v>
      </c>
      <c r="X22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22" s="72" t="str">
        <f>IFERROR(VLOOKUP(DIR_ATUAL22[[#This Row],[Ib]],TabelaDisjuntores[],2,TRUE),"")</f>
        <v/>
      </c>
      <c r="Z22" s="72" t="str">
        <f>IFERROR(VLOOKUP(DIR_ATUAL22[[#This Row],[CONDUTOR]],CABOS[],2,0),"")</f>
        <v/>
      </c>
      <c r="AA22" s="72" t="str">
        <f>IF(AND(DIR_ATUAL22[[#This Row],[Ib]]&lt;=DIR_ATUAL22[[#This Row],[In]],DIR_ATUAL22[[#This Row],[In]]&lt;=DIR_ATUAL22[[#This Row],[Iz]]),"OK","VERIFICAR")</f>
        <v>OK</v>
      </c>
      <c r="AB22" s="97">
        <f>IFERROR(SQRT((DIR_ATUAL22[[#This Row],[X]]-$AF$4)^2+(DIR_ATUAL22[[#This Row],[Y]]-$AF$5)^2),0)</f>
        <v>0</v>
      </c>
      <c r="AC22" s="9" t="str">
        <f>IFERROR(VLOOKUP(DIR_ATUAL22[[#This Row],[CONDUTOR]],CONDUTORES,2,0),"")</f>
        <v/>
      </c>
    </row>
    <row r="23" spans="1:33" x14ac:dyDescent="0.3">
      <c r="A23" s="172" t="s">
        <v>323</v>
      </c>
      <c r="B23" s="70" t="s">
        <v>275</v>
      </c>
      <c r="C23" s="130">
        <v>7</v>
      </c>
      <c r="D23" s="54">
        <v>30</v>
      </c>
      <c r="E23" s="154" t="str">
        <f>IFERROR(IF(DIR_ATUAL22[[#This Row],[PONTO]]="RAMAL","",VLOOKUP(DIR_ATUAL22[[#This Row],[PONTO]],GERAL[],7,0)),"")</f>
        <v/>
      </c>
      <c r="F23" s="154" t="str">
        <f>IFERROR(IF(DIR_ATUAL22[[#This Row],[PONTO]]="RAMAL","",VLOOKUP(DIR_ATUAL22[[#This Row],[PONTO]],GERAL[],4,0)),"")</f>
        <v/>
      </c>
      <c r="G23" s="154" t="str">
        <f>IFERROR(IF(DIR_ATUAL22[[#This Row],[PONTO]]="RAMAL","",VLOOKUP(DIR_ATUAL22[[#This Row],[PONTO]],GERAL[],5,0)),"")</f>
        <v/>
      </c>
      <c r="H23" s="55">
        <f>IFERROR(IF(DIR_ATUAL22[[#This Row],[PONTO]]="RAMAL",DMDI,VLOOKUP(DIR_ATUAL22[[#This Row],[PONTO]],GERAL[],8,0)),"")</f>
        <v>1.88</v>
      </c>
      <c r="I23" s="55">
        <f>IFERROR(IF(DIR_ATUAL22[[#This Row],[PONTO]]="RAMAL",DIR_ATUAL22[[#This Row],[KVA PONTO]],VLOOKUP(DIR_ATUAL22[[#This Row],[PONTO]],GERAL[],9,0)),"")</f>
        <v>1.88</v>
      </c>
      <c r="J23" s="135" t="s">
        <v>97</v>
      </c>
      <c r="K23" s="61">
        <f>IFERROR(DIR_ATUAL22[[#This Row],[Ib]],"")</f>
        <v>1.6445734940552976</v>
      </c>
      <c r="L23" s="117">
        <f>IFERROR(IFERROR(DIR_ATUAL22[[#This Row],[ACUMULADA]]/((IF(DIR_ATUAL22[[#This Row],[FASE]]="MONO",T_LINHA_MONO,IF(DIR_ATUAL22[[#This Row],[FASE]]="BIF",T_LINHA_TRF,T_LINHA_TRF*SQRT(3)))/1000)*VLOOKUP(DIR_ATUAL22[[#This Row],[CONDUTOR]],CABOS[],9,0))+30,W23+60*(X23/Z23)),"")</f>
        <v>34.698781411586566</v>
      </c>
      <c r="M23" s="68">
        <f>IFERROR((VLOOKUP(DIR_ATUAL22[[#This Row],[CONDUTOR]],CABOS[],3,0)/VLOOKUP(DIR_ATUAL22[[#This Row],[CONDUTOR]],CABOS[],6,0))*(1+VLOOKUP(DIR_ATUAL22[[#This Row],[CONDUTOR]],CABOS[],5,0)*(DIR_ATUAL22[[#This Row],[T]]-20)),"")</f>
        <v>2.0636037487625933</v>
      </c>
      <c r="N23" s="62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>0.33033328915624954</v>
      </c>
      <c r="O23" s="116">
        <f>IF(DIR_ATUAL22[[#This Row],[PONTO]]="","",IFERROR(SUMIF(DIR_ATUAL22[PONTO],DIR_ATUAL22[[#This Row],[TRECHO]],DIR_ATUAL22[Coluna1])+DIR_ATUAL22[[#This Row],[QT-PONTO]],""))</f>
        <v>4.2999432384223146</v>
      </c>
      <c r="P23" s="56">
        <f>IFERROR(DIR_ATUAL22[[#This Row],[Coluna1]]/T_LINHA_MONO,"")</f>
        <v>3.3853273448225925E-2</v>
      </c>
      <c r="Q23" s="55">
        <f>IFERROR(T_LINHA_MONO*(1-DIR_ATUAL22[[#This Row],[QT %]]),"")</f>
        <v>122.71711598329536</v>
      </c>
      <c r="R23" s="55">
        <f>IFERROR(T_LINHA_TRF*(1-DIR_ATUAL22[[#This Row],[QT %]]),"")</f>
        <v>212.55227984139029</v>
      </c>
      <c r="S23" s="67" t="str">
        <f>IFERROR(IF(DIR_ATUAL22[[#This Row],[PROTECAO]]="OK","Protecao OK","Ajustar Disj/Condutor"),"")</f>
        <v>Ajustar Disj/Condutor</v>
      </c>
      <c r="T23" s="72" t="str">
        <f>IF(DIR_ATUAL22[[#This Row],[ETA]]=1,"MONO",IF(DIR_ATUAL22[[#This Row],[ETA]]=2,"BIF","TRI"))</f>
        <v>TRI</v>
      </c>
      <c r="U23" s="72">
        <v>3</v>
      </c>
      <c r="V23" s="72" t="str">
        <f t="shared" si="0"/>
        <v>AEREO</v>
      </c>
      <c r="W23" s="72">
        <v>47</v>
      </c>
      <c r="X23" s="72">
        <f>IFERROR(IF(DIR_ATUAL22[[#This Row],[FASE]]="MONO",DIR_ATUAL22[[#This Row],[ACUMULADA]]*1000/(T_LINHA_TRF*DIR_ATUAL22[[#This Row],[ETA]]),DIR_ATUAL22[[#This Row],[ACUMULADA]]*1000/(SQRT(3)*$R$7*DIR_ATUAL22[[#This Row],[ETA]])),"")</f>
        <v>1.6445734940552976</v>
      </c>
      <c r="Y23" s="72">
        <f>IFERROR(VLOOKUP(DIR_ATUAL22[[#This Row],[Ib]],TabelaDisjuntores[],2,TRUE),"")</f>
        <v>0</v>
      </c>
      <c r="Z23" s="72">
        <f>IFERROR(VLOOKUP(DIR_ATUAL22[[#This Row],[CONDUTOR]],CABOS[],2,0),"")</f>
        <v>63</v>
      </c>
      <c r="AA23" s="72" t="str">
        <f>IF(AND(DIR_ATUAL22[[#This Row],[Ib]]&lt;=DIR_ATUAL22[[#This Row],[In]],DIR_ATUAL22[[#This Row],[In]]&lt;=DIR_ATUAL22[[#This Row],[Iz]]),"OK","VERIFICAR")</f>
        <v>VERIFICAR</v>
      </c>
      <c r="AB23" s="97">
        <f>IFERROR(SQRT((DIR_ATUAL22[[#This Row],[X]]-$AF$4)^2+(DIR_ATUAL22[[#This Row],[Y]]-$AF$5)^2),0)</f>
        <v>0</v>
      </c>
      <c r="AC23" s="9">
        <f>IFERROR(VLOOKUP(DIR_ATUAL22[[#This Row],[CONDUTOR]],CONDUTORES,2,0),"")</f>
        <v>63</v>
      </c>
      <c r="AF23" t="s">
        <v>276</v>
      </c>
    </row>
    <row r="24" spans="1:33" x14ac:dyDescent="0.3">
      <c r="A24" s="172" t="s">
        <v>323</v>
      </c>
      <c r="B24" s="70"/>
      <c r="C24" s="130"/>
      <c r="D24" s="54">
        <v>30</v>
      </c>
      <c r="E24" s="154" t="str">
        <f>IFERROR(IF(DIR_ATUAL22[[#This Row],[PONTO]]="RAMAL","",VLOOKUP(DIR_ATUAL22[[#This Row],[PONTO]],GERAL[],7,0)),"")</f>
        <v/>
      </c>
      <c r="F24" s="154" t="str">
        <f>IFERROR(IF(DIR_ATUAL22[[#This Row],[PONTO]]="RAMAL","",VLOOKUP(DIR_ATUAL22[[#This Row],[PONTO]],GERAL[],4,0)),"")</f>
        <v/>
      </c>
      <c r="G24" s="154" t="str">
        <f>IFERROR(IF(DIR_ATUAL22[[#This Row],[PONTO]]="RAMAL","",VLOOKUP(DIR_ATUAL22[[#This Row],[PONTO]],GERAL[],5,0)),"")</f>
        <v/>
      </c>
      <c r="H24" s="55" t="str">
        <f>IFERROR(IF(DIR_ATUAL22[[#This Row],[PONTO]]="RAMAL",DMDI,VLOOKUP(DIR_ATUAL22[[#This Row],[PONTO]],GERAL[],8,0)),"")</f>
        <v/>
      </c>
      <c r="I24" s="55" t="str">
        <f>IFERROR(IF(DIR_ATUAL22[[#This Row],[PONTO]]="RAMAL",DIR_ATUAL22[[#This Row],[KVA PONTO]],VLOOKUP(DIR_ATUAL22[[#This Row],[PONTO]],GERAL[],9,0)),"")</f>
        <v/>
      </c>
      <c r="J24" s="135" t="s">
        <v>97</v>
      </c>
      <c r="K24" s="61" t="str">
        <f>IFERROR(DIR_ATUAL22[[#This Row],[Ib]],"")</f>
        <v/>
      </c>
      <c r="L24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Row],[CONDUTOR]],CABOS[],9,0))+30,W24+60*(X24/Z24)),"")</f>
        <v/>
      </c>
      <c r="M24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24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24" s="116" t="str">
        <f>IF(DIR_ATUAL22[[#This Row],[PONTO]]="","",IFERROR(SUMIF(DIR_ATUAL22[PONTO],DIR_ATUAL22[[#This Row],[TRECHO]],DIR_ATUAL22[Coluna1])+DIR_ATUAL22[[#This Row],[QT-PONTO]],""))</f>
        <v/>
      </c>
      <c r="P24" s="56" t="str">
        <f>IFERROR(DIR_ATUAL22[[#This Row],[Coluna1]]/T_LINHA_MONO,"")</f>
        <v/>
      </c>
      <c r="Q24" s="55" t="str">
        <f>IFERROR(T_LINHA_MONO*(1-DIR_ATUAL22[[#This Row],[QT %]]),"")</f>
        <v/>
      </c>
      <c r="R24" s="55" t="str">
        <f>IFERROR(T_LINHA_TRF*(1-DIR_ATUAL22[[#This Row],[QT %]]),"")</f>
        <v/>
      </c>
      <c r="S24" s="67" t="str">
        <f>IFERROR(IF(DIR_ATUAL22[[#This Row],[PROTECAO]]="OK","Protecao OK","Ajustar Disj/Condutor"),"")</f>
        <v>Ajustar Disj/Condutor</v>
      </c>
      <c r="T24" s="72" t="str">
        <f>IF(DIR_ATUAL22[[#This Row],[ETA]]=1,"MONO",IF(DIR_ATUAL22[[#This Row],[ETA]]=2,"BIF","TRI"))</f>
        <v>TRI</v>
      </c>
      <c r="U24" s="72">
        <v>3</v>
      </c>
      <c r="V24" s="72" t="str">
        <f t="shared" si="0"/>
        <v>AEREO</v>
      </c>
      <c r="W24" s="72">
        <v>47</v>
      </c>
      <c r="X24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24" s="72" t="str">
        <f>IFERROR(VLOOKUP(DIR_ATUAL22[[#This Row],[Ib]],TabelaDisjuntores[],2,TRUE),"")</f>
        <v/>
      </c>
      <c r="Z24" s="72">
        <f>IFERROR(VLOOKUP(DIR_ATUAL22[[#This Row],[CONDUTOR]],CABOS[],2,0),"")</f>
        <v>63</v>
      </c>
      <c r="AA24" s="72" t="str">
        <f>IF(AND(DIR_ATUAL22[[#This Row],[Ib]]&lt;=DIR_ATUAL22[[#This Row],[In]],DIR_ATUAL22[[#This Row],[In]]&lt;=DIR_ATUAL22[[#This Row],[Iz]]),"OK","VERIFICAR")</f>
        <v>VERIFICAR</v>
      </c>
      <c r="AB24" s="97">
        <f>IFERROR(SQRT((DIR_ATUAL22[[#This Row],[X]]-$AF$4)^2+(DIR_ATUAL22[[#This Row],[Y]]-$AF$5)^2),0)</f>
        <v>0</v>
      </c>
      <c r="AC24" s="9">
        <f>IFERROR(VLOOKUP(DIR_ATUAL22[[#This Row],[CONDUTOR]],CONDUTORES,2,0),"")</f>
        <v>63</v>
      </c>
    </row>
    <row r="25" spans="1:33" x14ac:dyDescent="0.3">
      <c r="A25" s="172" t="s">
        <v>323</v>
      </c>
      <c r="B25" s="70"/>
      <c r="C25" s="130"/>
      <c r="D25" s="54">
        <v>30</v>
      </c>
      <c r="E25" s="154" t="str">
        <f>IFERROR(IF(DIR_ATUAL22[[#This Row],[PONTO]]="RAMAL","",VLOOKUP(DIR_ATUAL22[[#This Row],[PONTO]],GERAL[],7,0)),"")</f>
        <v/>
      </c>
      <c r="F25" s="154" t="str">
        <f>IFERROR(IF(DIR_ATUAL22[[#This Row],[PONTO]]="RAMAL","",VLOOKUP(DIR_ATUAL22[[#This Row],[PONTO]],GERAL[],4,0)),"")</f>
        <v/>
      </c>
      <c r="G25" s="154" t="str">
        <f>IFERROR(IF(DIR_ATUAL22[[#This Row],[PONTO]]="RAMAL","",VLOOKUP(DIR_ATUAL22[[#This Row],[PONTO]],GERAL[],5,0)),"")</f>
        <v/>
      </c>
      <c r="H25" s="55" t="str">
        <f>IFERROR(IF(DIR_ATUAL22[[#This Row],[PONTO]]="RAMAL",DMDI,VLOOKUP(DIR_ATUAL22[[#This Row],[PONTO]],GERAL[],8,0)),"")</f>
        <v/>
      </c>
      <c r="I25" s="55" t="str">
        <f>IFERROR(IF(DIR_ATUAL22[[#This Row],[PONTO]]="RAMAL",DIR_ATUAL22[[#This Row],[KVA PONTO]],VLOOKUP(DIR_ATUAL22[[#This Row],[PONTO]],GERAL[],9,0)),"")</f>
        <v/>
      </c>
      <c r="J25" s="135"/>
      <c r="K25" s="61" t="str">
        <f>IFERROR(DIR_ATUAL22[[#This Row],[Ib]],"")</f>
        <v/>
      </c>
      <c r="L25" s="117" t="str">
        <f>IFERROR(IFERROR(DIR_ATUAL22[[#This Row],[ACUMULADA]]/((IF(DIR_ATUAL22[[#This Row],[FASE]]="MONO",T_LINHA_MONO,IF(DIR_ATUAL22[[#This Row],[FASE]]="BIF",T_LINHA_TRF,T_LINHA_TRF*SQRT(3)))/1000)*VLOOKUP(DIR_ATUAL22[[#This Row],[CONDUTOR]],CABOS[],9,0))+30,W25+60*(X25/Z25)),"")</f>
        <v/>
      </c>
      <c r="M25" s="68" t="str">
        <f>IFERROR((VLOOKUP(DIR_ATUAL22[[#This Row],[CONDUTOR]],CABOS[],3,0)/VLOOKUP(DIR_ATUAL22[[#This Row],[CONDUTOR]],CABOS[],6,0))*(1+VLOOKUP(DIR_ATUAL22[[#This Row],[CONDUTOR]],CABOS[],5,0)*(DIR_ATUAL22[[#This Row],[T]]-20)),"")</f>
        <v/>
      </c>
      <c r="N25" s="62" t="str">
        <f>IFERROR(IF(DIR_ATUAL22[[#This Row],[FASE]]="MONO",6,IF(DIR_ATUAL22[[#This Row],[FASE]]="BIF",2,1))*DIR_ATUAL22[[#This Row],[ACUMULADA]]*(SQRT(DIR_ATUAL22[[#This Row],[R CORR]]^2+VLOOKUP(DIR_ATUAL22[[#This Row],[CONDUTOR]],CABOS[],4,0)^2)/(($R$7^2)/100))*DIR_ATUAL22[[#This Row],[M]]*T_LINHA_MONO/100+IF(DIR_ATUAL22[[#This Row],[TRECHO]]=0,T_LINHA_MONO*QT_MTTR,0),"")</f>
        <v/>
      </c>
      <c r="O25" s="116" t="str">
        <f>IF(DIR_ATUAL22[[#This Row],[PONTO]]="","",IFERROR(SUMIF(DIR_ATUAL22[PONTO],DIR_ATUAL22[[#This Row],[TRECHO]],DIR_ATUAL22[Coluna1])+DIR_ATUAL22[[#This Row],[QT-PONTO]],""))</f>
        <v/>
      </c>
      <c r="P25" s="56" t="str">
        <f>IFERROR(DIR_ATUAL22[[#This Row],[Coluna1]]/T_LINHA_MONO,"")</f>
        <v/>
      </c>
      <c r="Q25" s="55" t="str">
        <f>IFERROR(T_LINHA_MONO*(1-DIR_ATUAL22[[#This Row],[QT %]]),"")</f>
        <v/>
      </c>
      <c r="R25" s="55" t="str">
        <f>IFERROR(T_LINHA_TRF*(1-DIR_ATUAL22[[#This Row],[QT %]]),"")</f>
        <v/>
      </c>
      <c r="S25" s="67" t="str">
        <f>IFERROR(IF(DIR_ATUAL22[[#This Row],[PROTECAO]]="OK","Protecao OK","Ajustar Disj/Condutor"),"")</f>
        <v>Protecao OK</v>
      </c>
      <c r="T25" s="72" t="str">
        <f>IF(DIR_ATUAL22[[#This Row],[ETA]]=1,"MONO",IF(DIR_ATUAL22[[#This Row],[ETA]]=2,"BIF","TRI"))</f>
        <v>TRI</v>
      </c>
      <c r="U25" s="72">
        <v>3</v>
      </c>
      <c r="V25" s="72" t="str">
        <f t="shared" si="0"/>
        <v>AEREO</v>
      </c>
      <c r="W25" s="72">
        <v>47</v>
      </c>
      <c r="X25" s="72" t="str">
        <f>IFERROR(IF(DIR_ATUAL22[[#This Row],[FASE]]="MONO",DIR_ATUAL22[[#This Row],[ACUMULADA]]*1000/(T_LINHA_TRF*DIR_ATUAL22[[#This Row],[ETA]]),DIR_ATUAL22[[#This Row],[ACUMULADA]]*1000/(SQRT(3)*$R$7*DIR_ATUAL22[[#This Row],[ETA]])),"")</f>
        <v/>
      </c>
      <c r="Y25" s="72" t="str">
        <f>IFERROR(VLOOKUP(DIR_ATUAL22[[#This Row],[Ib]],TabelaDisjuntores[],2,TRUE),"")</f>
        <v/>
      </c>
      <c r="Z25" s="72" t="str">
        <f>IFERROR(VLOOKUP(DIR_ATUAL22[[#This Row],[CONDUTOR]],CABOS[],2,0),"")</f>
        <v/>
      </c>
      <c r="AA25" s="72" t="str">
        <f>IF(AND(DIR_ATUAL22[[#This Row],[Ib]]&lt;=DIR_ATUAL22[[#This Row],[In]],DIR_ATUAL22[[#This Row],[In]]&lt;=DIR_ATUAL22[[#This Row],[Iz]]),"OK","VERIFICAR")</f>
        <v>OK</v>
      </c>
      <c r="AB25" s="97">
        <f>IFERROR(SQRT((DIR_ATUAL22[[#This Row],[X]]-$AF$4)^2+(DIR_ATUAL22[[#This Row],[Y]]-$AF$5)^2),0)</f>
        <v>0</v>
      </c>
      <c r="AC25" s="9" t="str">
        <f>IFERROR(VLOOKUP(DIR_ATUAL22[[#This Row],[CONDUTOR]],CONDUTORES,2,0),"")</f>
        <v/>
      </c>
    </row>
    <row r="36" spans="32:32" x14ac:dyDescent="0.3">
      <c r="AF36" s="102"/>
    </row>
  </sheetData>
  <mergeCells count="25">
    <mergeCell ref="AE2:AF3"/>
    <mergeCell ref="B2:B3"/>
    <mergeCell ref="C2:C3"/>
    <mergeCell ref="D2:D3"/>
    <mergeCell ref="F2:F3"/>
    <mergeCell ref="G2:G3"/>
    <mergeCell ref="O5:O6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AE16:AG19"/>
    <mergeCell ref="P5:P6"/>
    <mergeCell ref="Q5:Q6"/>
    <mergeCell ref="S5:S6"/>
    <mergeCell ref="U5:U6"/>
    <mergeCell ref="AB5:AB6"/>
    <mergeCell ref="AC5:AC6"/>
  </mergeCells>
  <conditionalFormatting sqref="S23:T25 V23:AA25">
    <cfRule type="cellIs" dxfId="21" priority="2" operator="equal">
      <formula>"Condutor Suporta Amperagem"</formula>
    </cfRule>
    <cfRule type="cellIs" dxfId="20" priority="3" operator="equal">
      <formula>"Condutor Sobrecarregado"</formula>
    </cfRule>
  </conditionalFormatting>
  <conditionalFormatting sqref="S8:AA22 U23:U25">
    <cfRule type="cellIs" dxfId="19" priority="6" operator="equal">
      <formula>"Condutor Suporta Amperagem"</formula>
    </cfRule>
    <cfRule type="cellIs" dxfId="18" priority="7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E1FD3348-1A7A-40F4-A4CE-97E7884E9FA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Q23:R23</xm:sqref>
        </x14:conditionalFormatting>
        <x14:conditionalFormatting xmlns:xm="http://schemas.microsoft.com/office/excel/2006/main">
          <x14:cfRule type="iconSet" priority="4" id="{3DBC5B7F-2F67-4E52-9802-FD1CC719FCA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Q24:R24</xm:sqref>
        </x14:conditionalFormatting>
        <x14:conditionalFormatting xmlns:xm="http://schemas.microsoft.com/office/excel/2006/main">
          <x14:cfRule type="iconSet" priority="1" id="{17EF3625-BFBD-4622-9934-7DE1FD29100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Q25:R25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64AB-C26F-4B8D-936A-0EE001BF615B}">
  <dimension ref="A1:AG36"/>
  <sheetViews>
    <sheetView zoomScaleNormal="100" workbookViewId="0">
      <pane ySplit="7" topLeftCell="A8" activePane="bottomLeft" state="frozen"/>
      <selection activeCell="A35" sqref="A35:Y35"/>
      <selection pane="bottomLeft" activeCell="AC23" activeCellId="3" sqref="J8:J16 J23 AC8:AC16 AC23"/>
    </sheetView>
  </sheetViews>
  <sheetFormatPr defaultRowHeight="14.4" x14ac:dyDescent="0.3"/>
  <cols>
    <col min="2" max="2" width="11.6640625" bestFit="1" customWidth="1"/>
    <col min="3" max="3" width="12.6640625" customWidth="1"/>
    <col min="4" max="4" width="9.5546875" customWidth="1"/>
    <col min="5" max="5" width="8.6640625" customWidth="1"/>
    <col min="6" max="6" width="10.44140625" bestFit="1" customWidth="1"/>
    <col min="7" max="7" width="13.33203125" customWidth="1"/>
    <col min="8" max="8" width="10.33203125" customWidth="1"/>
    <col min="9" max="9" width="8.88671875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7.5546875" hidden="1" customWidth="1"/>
    <col min="19" max="19" width="20.6640625" hidden="1" customWidth="1"/>
    <col min="20" max="20" width="9" hidden="1" customWidth="1"/>
    <col min="21" max="21" width="8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bestFit="1" customWidth="1"/>
    <col min="30" max="30" width="4.6640625" customWidth="1"/>
    <col min="31" max="31" width="13.21875" customWidth="1"/>
    <col min="32" max="32" width="11.33203125" customWidth="1"/>
  </cols>
  <sheetData>
    <row r="1" spans="1:33" x14ac:dyDescent="0.3">
      <c r="J1" s="118" t="s">
        <v>94</v>
      </c>
    </row>
    <row r="2" spans="1:33" x14ac:dyDescent="0.3">
      <c r="B2" s="259" t="s">
        <v>237</v>
      </c>
      <c r="C2" s="263">
        <f>Q23</f>
        <v>126.68672593256142</v>
      </c>
      <c r="D2" s="260">
        <f>P23</f>
        <v>2.6007001829543882E-3</v>
      </c>
      <c r="E2" s="170"/>
      <c r="F2" s="215"/>
      <c r="G2" s="215"/>
      <c r="H2" s="63"/>
      <c r="J2" s="118" t="s">
        <v>97</v>
      </c>
      <c r="AE2" s="204" t="s">
        <v>36</v>
      </c>
      <c r="AF2" s="205"/>
    </row>
    <row r="3" spans="1:33" x14ac:dyDescent="0.3">
      <c r="B3" s="266"/>
      <c r="C3" s="261"/>
      <c r="D3" s="261"/>
      <c r="E3" s="170"/>
      <c r="F3" s="209"/>
      <c r="G3" s="209"/>
      <c r="H3" s="63"/>
      <c r="AE3" s="206"/>
      <c r="AF3" s="206"/>
    </row>
    <row r="4" spans="1:33" x14ac:dyDescent="0.3">
      <c r="AE4" s="11" t="s">
        <v>26</v>
      </c>
      <c r="AF4" s="13">
        <f>IFERROR(SUMPRODUCT(I8:I22,F8:F22)/SUM(I8:I22),"INSERIR DADOS")</f>
        <v>0</v>
      </c>
    </row>
    <row r="5" spans="1:33" ht="13.8" customHeight="1" x14ac:dyDescent="0.3">
      <c r="A5" s="220" t="s">
        <v>322</v>
      </c>
      <c r="B5" s="259" t="s">
        <v>13</v>
      </c>
      <c r="C5" s="220" t="s">
        <v>238</v>
      </c>
      <c r="D5" s="220" t="s">
        <v>330</v>
      </c>
      <c r="E5" s="220" t="s">
        <v>321</v>
      </c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>
        <f>IFERROR(SUMPRODUCT(I8:I11,G8:G11)/SUM(I8:I11),"INSERIR DADOS")</f>
        <v>0</v>
      </c>
    </row>
    <row r="6" spans="1:33" ht="34.200000000000003" customHeight="1" x14ac:dyDescent="0.3">
      <c r="A6" s="218"/>
      <c r="B6" s="266"/>
      <c r="C6" s="209"/>
      <c r="D6" s="265"/>
      <c r="E6" s="265"/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3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  <c r="AE7" t="s">
        <v>265</v>
      </c>
    </row>
    <row r="8" spans="1:33" x14ac:dyDescent="0.3">
      <c r="A8" s="172" t="s">
        <v>311</v>
      </c>
      <c r="B8" s="54">
        <f>PROJ1!B9</f>
        <v>1</v>
      </c>
      <c r="C8" s="54">
        <f>IFERROR(IF(DIR_ATUAL2224[[#This Row],[PONTO]]="RAMAL",B7,VLOOKUP(DIR_ATUAL2224[[#This Row],[PONTO]],GERAL[],2,0)),"")</f>
        <v>0</v>
      </c>
      <c r="D8" s="154">
        <f>IFERROR(IF(DIR_ATUAL2224[[#This Row],[PONTO]]="RAMAL",15,VLOOKUP(DIR_ATUAL2224[[#This Row],[PONTO]],GERAL[],3,0)),"")</f>
        <v>4</v>
      </c>
      <c r="E8" s="154">
        <f>IFERROR(IF(DIR_ATUAL2224[[#This Row],[PONTO]]="RAMAL","",VLOOKUP(DIR_ATUAL2224[[#This Row],[PONTO]],GERAL[],7,0)),"")</f>
        <v>90</v>
      </c>
      <c r="F8" s="154">
        <f>IFERROR(IF(DIR_ATUAL2224[[#This Row],[PONTO]]="RAMAL","",VLOOKUP(DIR_ATUAL2224[[#This Row],[PONTO]],GERAL[],4,0)),"")</f>
        <v>0</v>
      </c>
      <c r="G8" s="154">
        <f>IFERROR(IF(DIR_ATUAL2224[[#This Row],[PONTO]]="RAMAL","",VLOOKUP(DIR_ATUAL2224[[#This Row],[PONTO]],GERAL[],5,0)),"")</f>
        <v>0</v>
      </c>
      <c r="H8" s="55">
        <f>IFERROR(IF(DIR_ATUAL2224[[#This Row],[PONTO]]="RAMAL",DMDI,VLOOKUP(DIR_ATUAL2224[[#This Row],[PONTO]],GERAL[],8,0)),"")</f>
        <v>7.2943999999999996</v>
      </c>
      <c r="I8" s="55">
        <f>IFERROR(IF(DIR_ATUAL2224[[#This Row],[PONTO]]="RAMAL",DIR_ATUAL2224[[#This Row],[KVA PONTO]],VLOOKUP(DIR_ATUAL2224[[#This Row],[PONTO]],GERAL[],9,0)),"")</f>
        <v>127.70729411764684</v>
      </c>
      <c r="J8" s="55" t="str">
        <f>IFERROR(VLOOKUP(DIR_ATUAL2224[[#This Row],[PONTO]],GERAL[],12,0),"")</f>
        <v>240 Cu</v>
      </c>
      <c r="K8" s="61">
        <f>IFERROR(DIR_ATUAL2224[[#This Row],[Ib]],"")</f>
        <v>111.7149100550032</v>
      </c>
      <c r="L8" s="117">
        <f>IFERROR(IFERROR(DIR_ATUAL2224[[#This Row],[ACUMULADA]]/((IF(DIR_ATUAL2224[[#This Row],[FASE]]="MONO",T_LINHA_MONO,IF(DIR_ATUAL2224[[#This Row],[FASE]]="BIF",T_LINHA_TRF,T_LINHA_TRF*SQRT(3)))/1000)*VLOOKUP(DIR_ATUAL2224[[#This Row],[CONDUTOR]],CABOS[],9,0))+30,W8+60*(X8/Z8)),"")</f>
        <v>76.764380953257159</v>
      </c>
      <c r="M8" s="68">
        <f>IFERROR((VLOOKUP(DIR_ATUAL2224[[#This Row],[CONDUTOR]],CABOS[],3,0)/VLOOKUP(DIR_ATUAL2224[[#This Row],[CONDUTOR]],CABOS[],6,0))*(1+VLOOKUP(DIR_ATUAL2224[[#This Row],[CONDUTOR]],CABOS[],5,0)*(DIR_ATUAL2224[[#This Row],[T]]-20)),"")</f>
        <v>9.9277857246209786E-2</v>
      </c>
      <c r="N8" s="62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>6.2886815082202769</v>
      </c>
      <c r="O8" s="116">
        <f>IF(DIR_ATUAL2224[[#This Row],[PONTO]]="","",IFERROR(SUMIF(DIR_ATUAL2224[PONTO],DIR_ATUAL2224[[#This Row],[TRECHO]],DIR_ATUAL2224[Coluna1])+DIR_ATUAL2224[[#This Row],[QT-PONTO]],""))</f>
        <v>6.2886815082202769</v>
      </c>
      <c r="P8" s="56">
        <f>IFERROR(DIR_ATUAL2224[[#This Row],[Coluna1]]/T_LINHA_MONO,"")</f>
        <v>4.951052674934725E-2</v>
      </c>
      <c r="Q8" s="55">
        <f>IFERROR(T_LINHA_MONO*(1-DIR_ATUAL2224[[#This Row],[QT %]]),"")</f>
        <v>120.72837771349741</v>
      </c>
      <c r="R8" s="55">
        <f>IFERROR(T_LINHA_TRF*(1-DIR_ATUAL2224[[#This Row],[QT %]]),"")</f>
        <v>209.10768411514363</v>
      </c>
      <c r="S8" s="67" t="str">
        <f>IFERROR(IF(DIR_ATUAL2224[[#This Row],[PROTECAO]]="OK","Protecao OK","Ajustar Disj/Condutor"),"")</f>
        <v>Ajustar Disj/Condutor</v>
      </c>
      <c r="T8" s="72" t="str">
        <f>IF(DIR_ATUAL2224[[#This Row],[ETA]]=1,"MONO",IF(DIR_ATUAL2224[[#This Row],[ETA]]=2,"BIF","TRI"))</f>
        <v>TRI</v>
      </c>
      <c r="U8" s="72">
        <v>3</v>
      </c>
      <c r="V8" s="72" t="str">
        <f t="shared" ref="V8:V25" si="0">"AEREO"</f>
        <v>AEREO</v>
      </c>
      <c r="W8" s="72">
        <v>20</v>
      </c>
      <c r="X8" s="72">
        <f>IFERROR(IF(DIR_ATUAL2224[[#This Row],[FASE]]="MONO",DIR_ATUAL2224[[#This Row],[ACUMULADA]]*1000/(T_LINHA_TRF*DIR_ATUAL2224[[#This Row],[ETA]]),DIR_ATUAL2224[[#This Row],[ACUMULADA]]*1000/(SQRT(3)*$R$7*DIR_ATUAL2224[[#This Row],[ETA]])),"")</f>
        <v>111.7149100550032</v>
      </c>
      <c r="Y8" s="72">
        <f>IFERROR(VLOOKUP(DIR_ATUAL2224[[#This Row],[Ib]],TabelaDisjuntores[],2,TRUE),"")</f>
        <v>100</v>
      </c>
      <c r="Z8" s="72">
        <f>IFERROR(VLOOKUP(DIR_ATUAL2224[[#This Row],[CONDUTOR]],CABOS[],2,0),"")</f>
        <v>430</v>
      </c>
      <c r="AA8" s="72" t="str">
        <f>IF(AND(DIR_ATUAL2224[[#This Row],[Ib]]&lt;=DIR_ATUAL2224[[#This Row],[In]],DIR_ATUAL2224[[#This Row],[In]]&lt;=DIR_ATUAL2224[[#This Row],[Iz]]),"OK","VERIFICAR")</f>
        <v>VERIFICAR</v>
      </c>
      <c r="AB8" s="97">
        <f>IFERROR(SQRT((DIR_ATUAL2224[[#This Row],[X]]-$AF$4)^2+(DIR_ATUAL2224[[#This Row],[Y]]-$AF$5)^2),0)</f>
        <v>0</v>
      </c>
      <c r="AC8" s="9">
        <f>IFERROR(VLOOKUP(DIR_ATUAL2224[[#This Row],[CONDUTOR]],CONDUTORES,2,0),"")</f>
        <v>430</v>
      </c>
    </row>
    <row r="9" spans="1:33" x14ac:dyDescent="0.3">
      <c r="A9" s="54" t="s">
        <v>355</v>
      </c>
      <c r="B9" s="130">
        <v>31</v>
      </c>
      <c r="C9" s="54" t="str">
        <f>IFERROR(IF(DIR_ATUAL2224[[#This Row],[PONTO]]="RAMAL",B8,VLOOKUP(DIR_ATUAL2224[[#This Row],[PONTO]],GERAL[],2,0)),"")</f>
        <v/>
      </c>
      <c r="D9" s="154" t="str">
        <f>IFERROR(IF(DIR_ATUAL2224[[#This Row],[PONTO]]="RAMAL",15,VLOOKUP(DIR_ATUAL2224[[#This Row],[PONTO]],GERAL[],3,0)),"")</f>
        <v/>
      </c>
      <c r="E9" s="154" t="str">
        <f>IFERROR(IF(DIR_ATUAL2224[[#This Row],[PONTO]]="RAMAL","",VLOOKUP(DIR_ATUAL2224[[#This Row],[PONTO]],GERAL[],7,0)),"")</f>
        <v/>
      </c>
      <c r="F9" s="154" t="str">
        <f>IFERROR(IF(DIR_ATUAL2224[[#This Row],[PONTO]]="RAMAL","",VLOOKUP(DIR_ATUAL2224[[#This Row],[PONTO]],GERAL[],4,0)),"")</f>
        <v/>
      </c>
      <c r="G9" s="154" t="str">
        <f>IFERROR(IF(DIR_ATUAL2224[[#This Row],[PONTO]]="RAMAL","",VLOOKUP(DIR_ATUAL2224[[#This Row],[PONTO]],GERAL[],5,0)),"")</f>
        <v/>
      </c>
      <c r="H9" s="55" t="str">
        <f>IFERROR(IF(DIR_ATUAL2224[[#This Row],[PONTO]]="RAMAL",DMDI,VLOOKUP(DIR_ATUAL2224[[#This Row],[PONTO]],GERAL[],8,0)),"")</f>
        <v/>
      </c>
      <c r="I9" s="55" t="str">
        <f>IFERROR(IF(DIR_ATUAL2224[[#This Row],[PONTO]]="RAMAL",DIR_ATUAL2224[[#This Row],[KVA PONTO]],VLOOKUP(DIR_ATUAL2224[[#This Row],[PONTO]],GERAL[],9,0)),"")</f>
        <v/>
      </c>
      <c r="J9" s="55" t="str">
        <f>IFERROR(VLOOKUP(DIR_ATUAL2224[[#This Row],[PONTO]],GERAL[],12,0),"")</f>
        <v/>
      </c>
      <c r="K9" s="61" t="str">
        <f>IFERROR(DIR_ATUAL2224[[#This Row],[Ib]],"")</f>
        <v/>
      </c>
      <c r="L9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Row],[CONDUTOR]],CABOS[],9,0))+30,W9+60*(X9/Z9)),"")</f>
        <v/>
      </c>
      <c r="M9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9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9" s="116" t="str">
        <f>IF(DIR_ATUAL2224[[#This Row],[PONTO]]="","",IFERROR(SUMIF(DIR_ATUAL2224[PONTO],DIR_ATUAL2224[[#This Row],[TRECHO]],DIR_ATUAL2224[Coluna1])+DIR_ATUAL2224[[#This Row],[QT-PONTO]],""))</f>
        <v/>
      </c>
      <c r="P9" s="56" t="str">
        <f>IFERROR(DIR_ATUAL2224[[#This Row],[Coluna1]]/T_LINHA_MONO,"")</f>
        <v/>
      </c>
      <c r="Q9" s="55" t="str">
        <f>IFERROR(T_LINHA_MONO*(1-DIR_ATUAL2224[[#This Row],[QT %]]),"")</f>
        <v/>
      </c>
      <c r="R9" s="55" t="str">
        <f>IFERROR(T_LINHA_TRF*(1-DIR_ATUAL2224[[#This Row],[QT %]]),"")</f>
        <v/>
      </c>
      <c r="S9" s="67" t="str">
        <f>IFERROR(IF(DIR_ATUAL2224[[#This Row],[PROTECAO]]="OK","Protecao OK","Ajustar Disj/Condutor"),"")</f>
        <v>Protecao OK</v>
      </c>
      <c r="T9" s="72" t="str">
        <f>IF(DIR_ATUAL2224[[#This Row],[ETA]]=1,"MONO",IF(DIR_ATUAL2224[[#This Row],[ETA]]=2,"BIF","TRI"))</f>
        <v>TRI</v>
      </c>
      <c r="U9" s="72">
        <v>3</v>
      </c>
      <c r="V9" s="72" t="str">
        <f t="shared" si="0"/>
        <v>AEREO</v>
      </c>
      <c r="W9" s="72">
        <v>21</v>
      </c>
      <c r="X9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9" s="72" t="str">
        <f>IFERROR(VLOOKUP(DIR_ATUAL2224[[#This Row],[Ib]],TabelaDisjuntores[],2,TRUE),"")</f>
        <v/>
      </c>
      <c r="Z9" s="72" t="str">
        <f>IFERROR(VLOOKUP(DIR_ATUAL2224[[#This Row],[CONDUTOR]],CABOS[],2,0),"")</f>
        <v/>
      </c>
      <c r="AA9" s="72" t="str">
        <f>IF(AND(DIR_ATUAL2224[[#This Row],[Ib]]&lt;=DIR_ATUAL2224[[#This Row],[In]],DIR_ATUAL2224[[#This Row],[In]]&lt;=DIR_ATUAL2224[[#This Row],[Iz]]),"OK","VERIFICAR")</f>
        <v>OK</v>
      </c>
      <c r="AB9" s="97">
        <f>IFERROR(SQRT((DIR_ATUAL2224[[#This Row],[X]]-$AF$4)^2+(DIR_ATUAL2224[[#This Row],[Y]]-$AF$5)^2),0)</f>
        <v>0</v>
      </c>
      <c r="AC9" s="9" t="str">
        <f>IFERROR(VLOOKUP(DIR_ATUAL2224[[#This Row],[CONDUTOR]],CONDUTORES,2,0),"")</f>
        <v/>
      </c>
      <c r="AE9" t="s">
        <v>15</v>
      </c>
      <c r="AF9" t="s">
        <v>266</v>
      </c>
    </row>
    <row r="10" spans="1:33" x14ac:dyDescent="0.3">
      <c r="A10" s="172" t="s">
        <v>356</v>
      </c>
      <c r="B10" s="130">
        <v>32</v>
      </c>
      <c r="C10" s="54" t="str">
        <f>IFERROR(IF(DIR_ATUAL2224[[#This Row],[PONTO]]="RAMAL",B9,VLOOKUP(DIR_ATUAL2224[[#This Row],[PONTO]],GERAL[],2,0)),"")</f>
        <v/>
      </c>
      <c r="D10" s="154" t="str">
        <f>IFERROR(IF(DIR_ATUAL2224[[#This Row],[PONTO]]="RAMAL",15,VLOOKUP(DIR_ATUAL2224[[#This Row],[PONTO]],GERAL[],3,0)),"")</f>
        <v/>
      </c>
      <c r="E10" s="154" t="str">
        <f>IFERROR(IF(DIR_ATUAL2224[[#This Row],[PONTO]]="RAMAL","",VLOOKUP(DIR_ATUAL2224[[#This Row],[PONTO]],GERAL[],7,0)),"")</f>
        <v/>
      </c>
      <c r="F10" s="154" t="str">
        <f>IFERROR(IF(DIR_ATUAL2224[[#This Row],[PONTO]]="RAMAL","",VLOOKUP(DIR_ATUAL2224[[#This Row],[PONTO]],GERAL[],4,0)),"")</f>
        <v/>
      </c>
      <c r="G10" s="154" t="str">
        <f>IFERROR(IF(DIR_ATUAL2224[[#This Row],[PONTO]]="RAMAL","",VLOOKUP(DIR_ATUAL2224[[#This Row],[PONTO]],GERAL[],5,0)),"")</f>
        <v/>
      </c>
      <c r="H10" s="55" t="str">
        <f>IFERROR(IF(DIR_ATUAL2224[[#This Row],[PONTO]]="RAMAL",DMDI,VLOOKUP(DIR_ATUAL2224[[#This Row],[PONTO]],GERAL[],8,0)),"")</f>
        <v/>
      </c>
      <c r="I10" s="55" t="str">
        <f>IFERROR(IF(DIR_ATUAL2224[[#This Row],[PONTO]]="RAMAL",DIR_ATUAL2224[[#This Row],[KVA PONTO]],VLOOKUP(DIR_ATUAL2224[[#This Row],[PONTO]],GERAL[],9,0)),"")</f>
        <v/>
      </c>
      <c r="J10" s="55" t="str">
        <f>IFERROR(VLOOKUP(DIR_ATUAL2224[[#This Row],[PONTO]],GERAL[],12,0),"")</f>
        <v/>
      </c>
      <c r="K10" s="61" t="str">
        <f>IFERROR(DIR_ATUAL2224[[#This Row],[Ib]],"")</f>
        <v/>
      </c>
      <c r="L10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Row],[CONDUTOR]],CABOS[],9,0))+30,W10+60*(X10/Z10)),"")</f>
        <v/>
      </c>
      <c r="M10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0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0" s="116" t="str">
        <f>IF(DIR_ATUAL2224[[#This Row],[PONTO]]="","",IFERROR(SUMIF(DIR_ATUAL2224[PONTO],DIR_ATUAL2224[[#This Row],[TRECHO]],DIR_ATUAL2224[Coluna1])+DIR_ATUAL2224[[#This Row],[QT-PONTO]],""))</f>
        <v/>
      </c>
      <c r="P10" s="56" t="str">
        <f>IFERROR(DIR_ATUAL2224[[#This Row],[Coluna1]]/T_LINHA_MONO,"")</f>
        <v/>
      </c>
      <c r="Q10" s="55" t="str">
        <f>IFERROR(T_LINHA_MONO*(1-DIR_ATUAL2224[[#This Row],[QT %]]),"")</f>
        <v/>
      </c>
      <c r="R10" s="55" t="str">
        <f>IFERROR(T_LINHA_TRF*(1-DIR_ATUAL2224[[#This Row],[QT %]]),"")</f>
        <v/>
      </c>
      <c r="S10" s="67" t="str">
        <f>IFERROR(IF(DIR_ATUAL2224[[#This Row],[PROTECAO]]="OK","Protecao OK","Ajustar Disj/Condutor"),"")</f>
        <v>Protecao OK</v>
      </c>
      <c r="T10" s="72" t="str">
        <f>IF(DIR_ATUAL2224[[#This Row],[ETA]]=1,"MONO",IF(DIR_ATUAL2224[[#This Row],[ETA]]=2,"BIF","TRI"))</f>
        <v>TRI</v>
      </c>
      <c r="U10" s="72">
        <v>3</v>
      </c>
      <c r="V10" s="72" t="str">
        <f t="shared" si="0"/>
        <v>AEREO</v>
      </c>
      <c r="W10" s="72">
        <v>22</v>
      </c>
      <c r="X10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0" s="72" t="str">
        <f>IFERROR(VLOOKUP(DIR_ATUAL2224[[#This Row],[Ib]],TabelaDisjuntores[],2,TRUE),"")</f>
        <v/>
      </c>
      <c r="Z10" s="72" t="str">
        <f>IFERROR(VLOOKUP(DIR_ATUAL2224[[#This Row],[CONDUTOR]],CABOS[],2,0),"")</f>
        <v/>
      </c>
      <c r="AA10" s="72" t="str">
        <f>IF(AND(DIR_ATUAL2224[[#This Row],[Ib]]&lt;=DIR_ATUAL2224[[#This Row],[In]],DIR_ATUAL2224[[#This Row],[In]]&lt;=DIR_ATUAL2224[[#This Row],[Iz]]),"OK","VERIFICAR")</f>
        <v>OK</v>
      </c>
      <c r="AB10" s="97">
        <f>IFERROR(SQRT((DIR_ATUAL2224[[#This Row],[X]]-$AF$4)^2+(DIR_ATUAL2224[[#This Row],[Y]]-$AF$5)^2),0)</f>
        <v>0</v>
      </c>
      <c r="AC10" s="9" t="str">
        <f>IFERROR(VLOOKUP(DIR_ATUAL2224[[#This Row],[CONDUTOR]],CONDUTORES,2,0),"")</f>
        <v/>
      </c>
      <c r="AE10" t="s">
        <v>267</v>
      </c>
      <c r="AF10" t="s">
        <v>268</v>
      </c>
    </row>
    <row r="11" spans="1:33" x14ac:dyDescent="0.3">
      <c r="A11" s="54" t="s">
        <v>357</v>
      </c>
      <c r="B11" s="130">
        <v>33</v>
      </c>
      <c r="C11" s="54" t="str">
        <f>IFERROR(IF(DIR_ATUAL2224[[#This Row],[PONTO]]="RAMAL",B10,VLOOKUP(DIR_ATUAL2224[[#This Row],[PONTO]],GERAL[],2,0)),"")</f>
        <v/>
      </c>
      <c r="D11" s="154" t="str">
        <f>IFERROR(IF(DIR_ATUAL2224[[#This Row],[PONTO]]="RAMAL",15,VLOOKUP(DIR_ATUAL2224[[#This Row],[PONTO]],GERAL[],3,0)),"")</f>
        <v/>
      </c>
      <c r="E11" s="154" t="str">
        <f>IFERROR(IF(DIR_ATUAL2224[[#This Row],[PONTO]]="RAMAL","",VLOOKUP(DIR_ATUAL2224[[#This Row],[PONTO]],GERAL[],7,0)),"")</f>
        <v/>
      </c>
      <c r="F11" s="154" t="str">
        <f>IFERROR(IF(DIR_ATUAL2224[[#This Row],[PONTO]]="RAMAL","",VLOOKUP(DIR_ATUAL2224[[#This Row],[PONTO]],GERAL[],4,0)),"")</f>
        <v/>
      </c>
      <c r="G11" s="154" t="str">
        <f>IFERROR(IF(DIR_ATUAL2224[[#This Row],[PONTO]]="RAMAL","",VLOOKUP(DIR_ATUAL2224[[#This Row],[PONTO]],GERAL[],5,0)),"")</f>
        <v/>
      </c>
      <c r="H11" s="55" t="str">
        <f>IFERROR(IF(DIR_ATUAL2224[[#This Row],[PONTO]]="RAMAL",DMDI,VLOOKUP(DIR_ATUAL2224[[#This Row],[PONTO]],GERAL[],8,0)),"")</f>
        <v/>
      </c>
      <c r="I11" s="55" t="str">
        <f>IFERROR(IF(DIR_ATUAL2224[[#This Row],[PONTO]]="RAMAL",DIR_ATUAL2224[[#This Row],[KVA PONTO]],VLOOKUP(DIR_ATUAL2224[[#This Row],[PONTO]],GERAL[],9,0)),"")</f>
        <v/>
      </c>
      <c r="J11" s="55" t="str">
        <f>IFERROR(VLOOKUP(DIR_ATUAL2224[[#This Row],[PONTO]],GERAL[],12,0),"")</f>
        <v/>
      </c>
      <c r="K11" s="61" t="str">
        <f>IFERROR(DIR_ATUAL2224[[#This Row],[Ib]],"")</f>
        <v/>
      </c>
      <c r="L11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Row],[CONDUTOR]],CABOS[],9,0))+30,W11+60*(X11/Z11)),"")</f>
        <v/>
      </c>
      <c r="M11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1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1" s="116" t="str">
        <f>IF(DIR_ATUAL2224[[#This Row],[PONTO]]="","",IFERROR(SUMIF(DIR_ATUAL2224[PONTO],DIR_ATUAL2224[[#This Row],[TRECHO]],DIR_ATUAL2224[Coluna1])+DIR_ATUAL2224[[#This Row],[QT-PONTO]],""))</f>
        <v/>
      </c>
      <c r="P11" s="56" t="str">
        <f>IFERROR(DIR_ATUAL2224[[#This Row],[Coluna1]]/T_LINHA_MONO,"")</f>
        <v/>
      </c>
      <c r="Q11" s="55" t="str">
        <f>IFERROR(T_LINHA_MONO*(1-DIR_ATUAL2224[[#This Row],[QT %]]),"")</f>
        <v/>
      </c>
      <c r="R11" s="55" t="str">
        <f>IFERROR(T_LINHA_TRF*(1-DIR_ATUAL2224[[#This Row],[QT %]]),"")</f>
        <v/>
      </c>
      <c r="S11" s="67" t="str">
        <f>IFERROR(IF(DIR_ATUAL2224[[#This Row],[PROTECAO]]="OK","Protecao OK","Ajustar Disj/Condutor"),"")</f>
        <v>Protecao OK</v>
      </c>
      <c r="T11" s="72" t="str">
        <f>IF(DIR_ATUAL2224[[#This Row],[ETA]]=1,"MONO",IF(DIR_ATUAL2224[[#This Row],[ETA]]=2,"BIF","TRI"))</f>
        <v>TRI</v>
      </c>
      <c r="U11" s="72">
        <v>3</v>
      </c>
      <c r="V11" s="72" t="str">
        <f t="shared" si="0"/>
        <v>AEREO</v>
      </c>
      <c r="W11" s="72">
        <v>23</v>
      </c>
      <c r="X11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1" s="72" t="str">
        <f>IFERROR(VLOOKUP(DIR_ATUAL2224[[#This Row],[Ib]],TabelaDisjuntores[],2,TRUE),"")</f>
        <v/>
      </c>
      <c r="Z11" s="72" t="str">
        <f>IFERROR(VLOOKUP(DIR_ATUAL2224[[#This Row],[CONDUTOR]],CABOS[],2,0),"")</f>
        <v/>
      </c>
      <c r="AA11" s="72" t="str">
        <f>IF(AND(DIR_ATUAL2224[[#This Row],[Ib]]&lt;=DIR_ATUAL2224[[#This Row],[In]],DIR_ATUAL2224[[#This Row],[In]]&lt;=DIR_ATUAL2224[[#This Row],[Iz]]),"OK","VERIFICAR")</f>
        <v>OK</v>
      </c>
      <c r="AB11" s="97">
        <f>IFERROR(SQRT((DIR_ATUAL2224[[#This Row],[X]]-$AF$4)^2+(DIR_ATUAL2224[[#This Row],[Y]]-$AF$5)^2),0)</f>
        <v>0</v>
      </c>
      <c r="AC11" s="9" t="str">
        <f>IFERROR(VLOOKUP(DIR_ATUAL2224[[#This Row],[CONDUTOR]],CONDUTORES,2,0),"")</f>
        <v/>
      </c>
      <c r="AE11" t="s">
        <v>33</v>
      </c>
      <c r="AF11" t="s">
        <v>269</v>
      </c>
    </row>
    <row r="12" spans="1:33" x14ac:dyDescent="0.3">
      <c r="A12" s="172" t="s">
        <v>358</v>
      </c>
      <c r="B12" s="130">
        <v>34</v>
      </c>
      <c r="C12" s="54" t="str">
        <f>IFERROR(IF(DIR_ATUAL2224[[#This Row],[PONTO]]="RAMAL",B11,VLOOKUP(DIR_ATUAL2224[[#This Row],[PONTO]],GERAL[],2,0)),"")</f>
        <v/>
      </c>
      <c r="D12" s="154" t="str">
        <f>IFERROR(IF(DIR_ATUAL2224[[#This Row],[PONTO]]="RAMAL",15,VLOOKUP(DIR_ATUAL2224[[#This Row],[PONTO]],GERAL[],3,0)),"")</f>
        <v/>
      </c>
      <c r="E12" s="154" t="str">
        <f>IFERROR(IF(DIR_ATUAL2224[[#This Row],[PONTO]]="RAMAL","",VLOOKUP(DIR_ATUAL2224[[#This Row],[PONTO]],GERAL[],7,0)),"")</f>
        <v/>
      </c>
      <c r="F12" s="154" t="str">
        <f>IFERROR(IF(DIR_ATUAL2224[[#This Row],[PONTO]]="RAMAL","",VLOOKUP(DIR_ATUAL2224[[#This Row],[PONTO]],GERAL[],4,0)),"")</f>
        <v/>
      </c>
      <c r="G12" s="154" t="str">
        <f>IFERROR(IF(DIR_ATUAL2224[[#This Row],[PONTO]]="RAMAL","",VLOOKUP(DIR_ATUAL2224[[#This Row],[PONTO]],GERAL[],5,0)),"")</f>
        <v/>
      </c>
      <c r="H12" s="55" t="str">
        <f>IFERROR(IF(DIR_ATUAL2224[[#This Row],[PONTO]]="RAMAL",DMDI,VLOOKUP(DIR_ATUAL2224[[#This Row],[PONTO]],GERAL[],8,0)),"")</f>
        <v/>
      </c>
      <c r="I12" s="55" t="str">
        <f>IFERROR(IF(DIR_ATUAL2224[[#This Row],[PONTO]]="RAMAL",DIR_ATUAL2224[[#This Row],[KVA PONTO]],VLOOKUP(DIR_ATUAL2224[[#This Row],[PONTO]],GERAL[],9,0)),"")</f>
        <v/>
      </c>
      <c r="J12" s="55" t="str">
        <f>IFERROR(VLOOKUP(DIR_ATUAL2224[[#This Row],[PONTO]],GERAL[],12,0),"")</f>
        <v/>
      </c>
      <c r="K12" s="61" t="str">
        <f>IFERROR(DIR_ATUAL2224[[#This Row],[Ib]],"")</f>
        <v/>
      </c>
      <c r="L12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Row],[CONDUTOR]],CABOS[],9,0))+30,W12+60*(X12/Z12)),"")</f>
        <v/>
      </c>
      <c r="M12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2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2" s="116" t="str">
        <f>IF(DIR_ATUAL2224[[#This Row],[PONTO]]="","",IFERROR(SUMIF(DIR_ATUAL2224[PONTO],DIR_ATUAL2224[[#This Row],[TRECHO]],DIR_ATUAL2224[Coluna1])+DIR_ATUAL2224[[#This Row],[QT-PONTO]],""))</f>
        <v/>
      </c>
      <c r="P12" s="56" t="str">
        <f>IFERROR(DIR_ATUAL2224[[#This Row],[Coluna1]]/T_LINHA_MONO,"")</f>
        <v/>
      </c>
      <c r="Q12" s="55" t="str">
        <f>IFERROR(T_LINHA_MONO*(1-DIR_ATUAL2224[[#This Row],[QT %]]),"")</f>
        <v/>
      </c>
      <c r="R12" s="55" t="str">
        <f>IFERROR(T_LINHA_TRF*(1-DIR_ATUAL2224[[#This Row],[QT %]]),"")</f>
        <v/>
      </c>
      <c r="S12" s="67" t="str">
        <f>IFERROR(IF(DIR_ATUAL2224[[#This Row],[PROTECAO]]="OK","Protecao OK","Ajustar Disj/Condutor"),"")</f>
        <v>Protecao OK</v>
      </c>
      <c r="T12" s="72" t="str">
        <f>IF(DIR_ATUAL2224[[#This Row],[ETA]]=1,"MONO",IF(DIR_ATUAL2224[[#This Row],[ETA]]=2,"BIF","TRI"))</f>
        <v>TRI</v>
      </c>
      <c r="U12" s="72">
        <v>3</v>
      </c>
      <c r="V12" s="72" t="str">
        <f t="shared" si="0"/>
        <v>AEREO</v>
      </c>
      <c r="W12" s="72">
        <v>24</v>
      </c>
      <c r="X12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2" s="72" t="str">
        <f>IFERROR(VLOOKUP(DIR_ATUAL2224[[#This Row],[Ib]],TabelaDisjuntores[],2,TRUE),"")</f>
        <v/>
      </c>
      <c r="Z12" s="72" t="str">
        <f>IFERROR(VLOOKUP(DIR_ATUAL2224[[#This Row],[CONDUTOR]],CABOS[],2,0),"")</f>
        <v/>
      </c>
      <c r="AA12" s="72" t="str">
        <f>IF(AND(DIR_ATUAL2224[[#This Row],[Ib]]&lt;=DIR_ATUAL2224[[#This Row],[In]],DIR_ATUAL2224[[#This Row],[In]]&lt;=DIR_ATUAL2224[[#This Row],[Iz]]),"OK","VERIFICAR")</f>
        <v>OK</v>
      </c>
      <c r="AB12" s="97">
        <f>IFERROR(SQRT((DIR_ATUAL2224[[#This Row],[X]]-$AF$4)^2+(DIR_ATUAL2224[[#This Row],[Y]]-$AF$5)^2),0)</f>
        <v>0</v>
      </c>
      <c r="AC12" s="9" t="str">
        <f>IFERROR(VLOOKUP(DIR_ATUAL2224[[#This Row],[CONDUTOR]],CONDUTORES,2,0),"")</f>
        <v/>
      </c>
      <c r="AE12" t="s">
        <v>270</v>
      </c>
      <c r="AF12" t="s">
        <v>271</v>
      </c>
    </row>
    <row r="13" spans="1:33" x14ac:dyDescent="0.3">
      <c r="A13" s="54" t="s">
        <v>359</v>
      </c>
      <c r="B13" s="130">
        <v>35</v>
      </c>
      <c r="C13" s="54" t="str">
        <f>IFERROR(IF(DIR_ATUAL2224[[#This Row],[PONTO]]="RAMAL",B12,VLOOKUP(DIR_ATUAL2224[[#This Row],[PONTO]],GERAL[],2,0)),"")</f>
        <v/>
      </c>
      <c r="D13" s="154" t="str">
        <f>IFERROR(IF(DIR_ATUAL2224[[#This Row],[PONTO]]="RAMAL",15,VLOOKUP(DIR_ATUAL2224[[#This Row],[PONTO]],GERAL[],3,0)),"")</f>
        <v/>
      </c>
      <c r="E13" s="154" t="str">
        <f>IFERROR(IF(DIR_ATUAL2224[[#This Row],[PONTO]]="RAMAL","",VLOOKUP(DIR_ATUAL2224[[#This Row],[PONTO]],GERAL[],7,0)),"")</f>
        <v/>
      </c>
      <c r="F13" s="154" t="str">
        <f>IFERROR(IF(DIR_ATUAL2224[[#This Row],[PONTO]]="RAMAL","",VLOOKUP(DIR_ATUAL2224[[#This Row],[PONTO]],GERAL[],4,0)),"")</f>
        <v/>
      </c>
      <c r="G13" s="154" t="str">
        <f>IFERROR(IF(DIR_ATUAL2224[[#This Row],[PONTO]]="RAMAL","",VLOOKUP(DIR_ATUAL2224[[#This Row],[PONTO]],GERAL[],5,0)),"")</f>
        <v/>
      </c>
      <c r="H13" s="55" t="str">
        <f>IFERROR(IF(DIR_ATUAL2224[[#This Row],[PONTO]]="RAMAL",DMDI,VLOOKUP(DIR_ATUAL2224[[#This Row],[PONTO]],GERAL[],8,0)),"")</f>
        <v/>
      </c>
      <c r="I13" s="55" t="str">
        <f>IFERROR(IF(DIR_ATUAL2224[[#This Row],[PONTO]]="RAMAL",DIR_ATUAL2224[[#This Row],[KVA PONTO]],VLOOKUP(DIR_ATUAL2224[[#This Row],[PONTO]],GERAL[],9,0)),"")</f>
        <v/>
      </c>
      <c r="J13" s="55" t="str">
        <f>IFERROR(VLOOKUP(DIR_ATUAL2224[[#This Row],[PONTO]],GERAL[],12,0),"")</f>
        <v/>
      </c>
      <c r="K13" s="61" t="str">
        <f>IFERROR(DIR_ATUAL2224[[#This Row],[Ib]],"")</f>
        <v/>
      </c>
      <c r="L13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Row],[CONDUTOR]],CABOS[],9,0))+30,W13+60*(X13/Z13)),"")</f>
        <v/>
      </c>
      <c r="M13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3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3" s="116" t="str">
        <f>IF(DIR_ATUAL2224[[#This Row],[PONTO]]="","",IFERROR(SUMIF(DIR_ATUAL2224[PONTO],DIR_ATUAL2224[[#This Row],[TRECHO]],DIR_ATUAL2224[Coluna1])+DIR_ATUAL2224[[#This Row],[QT-PONTO]],""))</f>
        <v/>
      </c>
      <c r="P13" s="56" t="str">
        <f>IFERROR(DIR_ATUAL2224[[#This Row],[Coluna1]]/T_LINHA_MONO,"")</f>
        <v/>
      </c>
      <c r="Q13" s="55" t="str">
        <f>IFERROR(T_LINHA_MONO*(1-DIR_ATUAL2224[[#This Row],[QT %]]),"")</f>
        <v/>
      </c>
      <c r="R13" s="55" t="str">
        <f>IFERROR(T_LINHA_TRF*(1-DIR_ATUAL2224[[#This Row],[QT %]]),"")</f>
        <v/>
      </c>
      <c r="S13" s="67" t="str">
        <f>IFERROR(IF(DIR_ATUAL2224[[#This Row],[PROTECAO]]="OK","Protecao OK","Ajustar Disj/Condutor"),"")</f>
        <v>Protecao OK</v>
      </c>
      <c r="T13" s="72" t="str">
        <f>IF(DIR_ATUAL2224[[#This Row],[ETA]]=1,"MONO",IF(DIR_ATUAL2224[[#This Row],[ETA]]=2,"BIF","TRI"))</f>
        <v>TRI</v>
      </c>
      <c r="U13" s="72">
        <v>3</v>
      </c>
      <c r="V13" s="72" t="str">
        <f t="shared" si="0"/>
        <v>AEREO</v>
      </c>
      <c r="W13" s="72">
        <v>25</v>
      </c>
      <c r="X13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3" s="72" t="str">
        <f>IFERROR(VLOOKUP(DIR_ATUAL2224[[#This Row],[Ib]],TabelaDisjuntores[],2,TRUE),"")</f>
        <v/>
      </c>
      <c r="Z13" s="72" t="str">
        <f>IFERROR(VLOOKUP(DIR_ATUAL2224[[#This Row],[CONDUTOR]],CABOS[],2,0),"")</f>
        <v/>
      </c>
      <c r="AA13" s="72" t="str">
        <f>IF(AND(DIR_ATUAL2224[[#This Row],[Ib]]&lt;=DIR_ATUAL2224[[#This Row],[In]],DIR_ATUAL2224[[#This Row],[In]]&lt;=DIR_ATUAL2224[[#This Row],[Iz]]),"OK","VERIFICAR")</f>
        <v>OK</v>
      </c>
      <c r="AB13" s="97">
        <f>IFERROR(SQRT((DIR_ATUAL2224[[#This Row],[X]]-$AF$4)^2+(DIR_ATUAL2224[[#This Row],[Y]]-$AF$5)^2),0)</f>
        <v>0</v>
      </c>
      <c r="AC13" s="9" t="str">
        <f>IFERROR(VLOOKUP(DIR_ATUAL2224[[#This Row],[CONDUTOR]],CONDUTORES,2,0),"")</f>
        <v/>
      </c>
    </row>
    <row r="14" spans="1:33" x14ac:dyDescent="0.3">
      <c r="A14" s="172" t="s">
        <v>360</v>
      </c>
      <c r="B14" s="130">
        <v>36</v>
      </c>
      <c r="C14" s="54" t="str">
        <f>IFERROR(IF(DIR_ATUAL2224[[#This Row],[PONTO]]="RAMAL",B13,VLOOKUP(DIR_ATUAL2224[[#This Row],[PONTO]],GERAL[],2,0)),"")</f>
        <v/>
      </c>
      <c r="D14" s="154" t="str">
        <f>IFERROR(IF(DIR_ATUAL2224[[#This Row],[PONTO]]="RAMAL",15,VLOOKUP(DIR_ATUAL2224[[#This Row],[PONTO]],GERAL[],3,0)),"")</f>
        <v/>
      </c>
      <c r="E14" s="154" t="str">
        <f>IFERROR(IF(DIR_ATUAL2224[[#This Row],[PONTO]]="RAMAL","",VLOOKUP(DIR_ATUAL2224[[#This Row],[PONTO]],GERAL[],7,0)),"")</f>
        <v/>
      </c>
      <c r="F14" s="154" t="str">
        <f>IFERROR(IF(DIR_ATUAL2224[[#This Row],[PONTO]]="RAMAL","",VLOOKUP(DIR_ATUAL2224[[#This Row],[PONTO]],GERAL[],4,0)),"")</f>
        <v/>
      </c>
      <c r="G14" s="154" t="str">
        <f>IFERROR(IF(DIR_ATUAL2224[[#This Row],[PONTO]]="RAMAL","",VLOOKUP(DIR_ATUAL2224[[#This Row],[PONTO]],GERAL[],5,0)),"")</f>
        <v/>
      </c>
      <c r="H14" s="55" t="str">
        <f>IFERROR(IF(DIR_ATUAL2224[[#This Row],[PONTO]]="RAMAL",DMDI,VLOOKUP(DIR_ATUAL2224[[#This Row],[PONTO]],GERAL[],8,0)),"")</f>
        <v/>
      </c>
      <c r="I14" s="55" t="str">
        <f>IFERROR(IF(DIR_ATUAL2224[[#This Row],[PONTO]]="RAMAL",DIR_ATUAL2224[[#This Row],[KVA PONTO]],VLOOKUP(DIR_ATUAL2224[[#This Row],[PONTO]],GERAL[],9,0)),"")</f>
        <v/>
      </c>
      <c r="J14" s="55" t="str">
        <f>IFERROR(VLOOKUP(DIR_ATUAL2224[[#This Row],[PONTO]],GERAL[],12,0),"")</f>
        <v/>
      </c>
      <c r="K14" s="61" t="str">
        <f>IFERROR(DIR_ATUAL2224[[#This Row],[Ib]],"")</f>
        <v/>
      </c>
      <c r="L14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Row],[CONDUTOR]],CABOS[],9,0))+30,W14+60*(X14/Z14)),"")</f>
        <v/>
      </c>
      <c r="M14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4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4" s="116" t="str">
        <f>IF(DIR_ATUAL2224[[#This Row],[PONTO]]="","",IFERROR(SUMIF(DIR_ATUAL2224[PONTO],DIR_ATUAL2224[[#This Row],[TRECHO]],DIR_ATUAL2224[Coluna1])+DIR_ATUAL2224[[#This Row],[QT-PONTO]],""))</f>
        <v/>
      </c>
      <c r="P14" s="56" t="str">
        <f>IFERROR(DIR_ATUAL2224[[#This Row],[Coluna1]]/T_LINHA_MONO,"")</f>
        <v/>
      </c>
      <c r="Q14" s="55" t="str">
        <f>IFERROR(T_LINHA_MONO*(1-DIR_ATUAL2224[[#This Row],[QT %]]),"")</f>
        <v/>
      </c>
      <c r="R14" s="55" t="str">
        <f>IFERROR(T_LINHA_TRF*(1-DIR_ATUAL2224[[#This Row],[QT %]]),"")</f>
        <v/>
      </c>
      <c r="S14" s="67" t="str">
        <f>IFERROR(IF(DIR_ATUAL2224[[#This Row],[PROTECAO]]="OK","Protecao OK","Ajustar Disj/Condutor"),"")</f>
        <v>Protecao OK</v>
      </c>
      <c r="T14" s="72" t="str">
        <f>IF(DIR_ATUAL2224[[#This Row],[ETA]]=1,"MONO",IF(DIR_ATUAL2224[[#This Row],[ETA]]=2,"BIF","TRI"))</f>
        <v>TRI</v>
      </c>
      <c r="U14" s="72">
        <v>3</v>
      </c>
      <c r="V14" s="72" t="str">
        <f t="shared" si="0"/>
        <v>AEREO</v>
      </c>
      <c r="W14" s="72">
        <v>26</v>
      </c>
      <c r="X14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4" s="72" t="str">
        <f>IFERROR(VLOOKUP(DIR_ATUAL2224[[#This Row],[Ib]],TabelaDisjuntores[],2,TRUE),"")</f>
        <v/>
      </c>
      <c r="Z14" s="72" t="str">
        <f>IFERROR(VLOOKUP(DIR_ATUAL2224[[#This Row],[CONDUTOR]],CABOS[],2,0),"")</f>
        <v/>
      </c>
      <c r="AA14" s="72" t="str">
        <f>IF(AND(DIR_ATUAL2224[[#This Row],[Ib]]&lt;=DIR_ATUAL2224[[#This Row],[In]],DIR_ATUAL2224[[#This Row],[In]]&lt;=DIR_ATUAL2224[[#This Row],[Iz]]),"OK","VERIFICAR")</f>
        <v>OK</v>
      </c>
      <c r="AB14" s="97">
        <f>IFERROR(SQRT((DIR_ATUAL2224[[#This Row],[X]]-$AF$4)^2+(DIR_ATUAL2224[[#This Row],[Y]]-$AF$5)^2),0)</f>
        <v>0</v>
      </c>
      <c r="AC14" s="9" t="str">
        <f>IFERROR(VLOOKUP(DIR_ATUAL2224[[#This Row],[CONDUTOR]],CONDUTORES,2,0),"")</f>
        <v/>
      </c>
      <c r="AE14" t="s">
        <v>272</v>
      </c>
    </row>
    <row r="15" spans="1:33" x14ac:dyDescent="0.3">
      <c r="A15" s="54" t="s">
        <v>361</v>
      </c>
      <c r="B15" s="130">
        <v>37</v>
      </c>
      <c r="C15" s="54" t="str">
        <f>IFERROR(IF(DIR_ATUAL2224[[#This Row],[PONTO]]="RAMAL",B14,VLOOKUP(DIR_ATUAL2224[[#This Row],[PONTO]],GERAL[],2,0)),"")</f>
        <v/>
      </c>
      <c r="D15" s="154" t="str">
        <f>IFERROR(IF(DIR_ATUAL2224[[#This Row],[PONTO]]="RAMAL",15,VLOOKUP(DIR_ATUAL2224[[#This Row],[PONTO]],GERAL[],3,0)),"")</f>
        <v/>
      </c>
      <c r="E15" s="154" t="str">
        <f>IFERROR(IF(DIR_ATUAL2224[[#This Row],[PONTO]]="RAMAL","",VLOOKUP(DIR_ATUAL2224[[#This Row],[PONTO]],GERAL[],7,0)),"")</f>
        <v/>
      </c>
      <c r="F15" s="154" t="str">
        <f>IFERROR(IF(DIR_ATUAL2224[[#This Row],[PONTO]]="RAMAL","",VLOOKUP(DIR_ATUAL2224[[#This Row],[PONTO]],GERAL[],4,0)),"")</f>
        <v/>
      </c>
      <c r="G15" s="154" t="str">
        <f>IFERROR(IF(DIR_ATUAL2224[[#This Row],[PONTO]]="RAMAL","",VLOOKUP(DIR_ATUAL2224[[#This Row],[PONTO]],GERAL[],5,0)),"")</f>
        <v/>
      </c>
      <c r="H15" s="55" t="str">
        <f>IFERROR(IF(DIR_ATUAL2224[[#This Row],[PONTO]]="RAMAL",DMDI,VLOOKUP(DIR_ATUAL2224[[#This Row],[PONTO]],GERAL[],8,0)),"")</f>
        <v/>
      </c>
      <c r="I15" s="55" t="str">
        <f>IFERROR(IF(DIR_ATUAL2224[[#This Row],[PONTO]]="RAMAL",DIR_ATUAL2224[[#This Row],[KVA PONTO]],VLOOKUP(DIR_ATUAL2224[[#This Row],[PONTO]],GERAL[],9,0)),"")</f>
        <v/>
      </c>
      <c r="J15" s="55" t="str">
        <f>IFERROR(VLOOKUP(DIR_ATUAL2224[[#This Row],[PONTO]],GERAL[],12,0),"")</f>
        <v/>
      </c>
      <c r="K15" s="61" t="str">
        <f>IFERROR(DIR_ATUAL2224[[#This Row],[Ib]],"")</f>
        <v/>
      </c>
      <c r="L15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Row],[CONDUTOR]],CABOS[],9,0))+30,W15+60*(X15/Z15)),"")</f>
        <v/>
      </c>
      <c r="M15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5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5" s="116" t="str">
        <f>IF(DIR_ATUAL2224[[#This Row],[PONTO]]="","",IFERROR(SUMIF(DIR_ATUAL2224[PONTO],DIR_ATUAL2224[[#This Row],[TRECHO]],DIR_ATUAL2224[Coluna1])+DIR_ATUAL2224[[#This Row],[QT-PONTO]],""))</f>
        <v/>
      </c>
      <c r="P15" s="56" t="str">
        <f>IFERROR(DIR_ATUAL2224[[#This Row],[Coluna1]]/T_LINHA_MONO,"")</f>
        <v/>
      </c>
      <c r="Q15" s="55" t="str">
        <f>IFERROR(T_LINHA_MONO*(1-DIR_ATUAL2224[[#This Row],[QT %]]),"")</f>
        <v/>
      </c>
      <c r="R15" s="55" t="str">
        <f>IFERROR(T_LINHA_TRF*(1-DIR_ATUAL2224[[#This Row],[QT %]]),"")</f>
        <v/>
      </c>
      <c r="S15" s="67" t="str">
        <f>IFERROR(IF(DIR_ATUAL2224[[#This Row],[PROTECAO]]="OK","Protecao OK","Ajustar Disj/Condutor"),"")</f>
        <v>Protecao OK</v>
      </c>
      <c r="T15" s="72" t="str">
        <f>IF(DIR_ATUAL2224[[#This Row],[ETA]]=1,"MONO",IF(DIR_ATUAL2224[[#This Row],[ETA]]=2,"BIF","TRI"))</f>
        <v>TRI</v>
      </c>
      <c r="U15" s="72">
        <v>3</v>
      </c>
      <c r="V15" s="72" t="str">
        <f t="shared" si="0"/>
        <v>AEREO</v>
      </c>
      <c r="W15" s="72">
        <v>27</v>
      </c>
      <c r="X15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5" s="72" t="str">
        <f>IFERROR(VLOOKUP(DIR_ATUAL2224[[#This Row],[Ib]],TabelaDisjuntores[],2,TRUE),"")</f>
        <v/>
      </c>
      <c r="Z15" s="72" t="str">
        <f>IFERROR(VLOOKUP(DIR_ATUAL2224[[#This Row],[CONDUTOR]],CABOS[],2,0),"")</f>
        <v/>
      </c>
      <c r="AA15" s="72" t="str">
        <f>IF(AND(DIR_ATUAL2224[[#This Row],[Ib]]&lt;=DIR_ATUAL2224[[#This Row],[In]],DIR_ATUAL2224[[#This Row],[In]]&lt;=DIR_ATUAL2224[[#This Row],[Iz]]),"OK","VERIFICAR")</f>
        <v>OK</v>
      </c>
      <c r="AB15" s="97">
        <f>IFERROR(SQRT((DIR_ATUAL2224[[#This Row],[X]]-$AF$4)^2+(DIR_ATUAL2224[[#This Row],[Y]]-$AF$5)^2),0)</f>
        <v>0</v>
      </c>
      <c r="AC15" s="9" t="str">
        <f>IFERROR(VLOOKUP(DIR_ATUAL2224[[#This Row],[CONDUTOR]],CONDUTORES,2,0),"")</f>
        <v/>
      </c>
      <c r="AE15" t="s">
        <v>273</v>
      </c>
    </row>
    <row r="16" spans="1:33" ht="14.4" customHeight="1" x14ac:dyDescent="0.3">
      <c r="A16" s="172" t="s">
        <v>362</v>
      </c>
      <c r="B16" s="130">
        <v>38</v>
      </c>
      <c r="C16" s="54" t="str">
        <f>IFERROR(IF(DIR_ATUAL2224[[#This Row],[PONTO]]="RAMAL",B15,VLOOKUP(DIR_ATUAL2224[[#This Row],[PONTO]],GERAL[],2,0)),"")</f>
        <v/>
      </c>
      <c r="D16" s="154" t="str">
        <f>IFERROR(IF(DIR_ATUAL2224[[#This Row],[PONTO]]="RAMAL",15,VLOOKUP(DIR_ATUAL2224[[#This Row],[PONTO]],GERAL[],3,0)),"")</f>
        <v/>
      </c>
      <c r="E16" s="154" t="str">
        <f>IFERROR(IF(DIR_ATUAL2224[[#This Row],[PONTO]]="RAMAL","",VLOOKUP(DIR_ATUAL2224[[#This Row],[PONTO]],GERAL[],7,0)),"")</f>
        <v/>
      </c>
      <c r="F16" s="154" t="str">
        <f>IFERROR(IF(DIR_ATUAL2224[[#This Row],[PONTO]]="RAMAL","",VLOOKUP(DIR_ATUAL2224[[#This Row],[PONTO]],GERAL[],4,0)),"")</f>
        <v/>
      </c>
      <c r="G16" s="154" t="str">
        <f>IFERROR(IF(DIR_ATUAL2224[[#This Row],[PONTO]]="RAMAL","",VLOOKUP(DIR_ATUAL2224[[#This Row],[PONTO]],GERAL[],5,0)),"")</f>
        <v/>
      </c>
      <c r="H16" s="55" t="str">
        <f>IFERROR(IF(DIR_ATUAL2224[[#This Row],[PONTO]]="RAMAL",DMDI,VLOOKUP(DIR_ATUAL2224[[#This Row],[PONTO]],GERAL[],8,0)),"")</f>
        <v/>
      </c>
      <c r="I16" s="55" t="str">
        <f>IFERROR(IF(DIR_ATUAL2224[[#This Row],[PONTO]]="RAMAL",DIR_ATUAL2224[[#This Row],[KVA PONTO]],VLOOKUP(DIR_ATUAL2224[[#This Row],[PONTO]],GERAL[],9,0)),"")</f>
        <v/>
      </c>
      <c r="J16" s="55" t="str">
        <f>IFERROR(VLOOKUP(DIR_ATUAL2224[[#This Row],[PONTO]],GERAL[],12,0),"")</f>
        <v/>
      </c>
      <c r="K16" s="61" t="str">
        <f>IFERROR(DIR_ATUAL2224[[#This Row],[Ib]],"")</f>
        <v/>
      </c>
      <c r="L16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Row],[CONDUTOR]],CABOS[],9,0))+30,W16+60*(X16/Z16)),"")</f>
        <v/>
      </c>
      <c r="M16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6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6" s="116" t="str">
        <f>IF(DIR_ATUAL2224[[#This Row],[PONTO]]="","",IFERROR(SUMIF(DIR_ATUAL2224[PONTO],DIR_ATUAL2224[[#This Row],[TRECHO]],DIR_ATUAL2224[Coluna1])+DIR_ATUAL2224[[#This Row],[QT-PONTO]],""))</f>
        <v/>
      </c>
      <c r="P16" s="56" t="str">
        <f>IFERROR(DIR_ATUAL2224[[#This Row],[Coluna1]]/T_LINHA_MONO,"")</f>
        <v/>
      </c>
      <c r="Q16" s="55" t="str">
        <f>IFERROR(T_LINHA_MONO*(1-DIR_ATUAL2224[[#This Row],[QT %]]),"")</f>
        <v/>
      </c>
      <c r="R16" s="55" t="str">
        <f>IFERROR(T_LINHA_TRF*(1-DIR_ATUAL2224[[#This Row],[QT %]]),"")</f>
        <v/>
      </c>
      <c r="S16" s="67" t="str">
        <f>IFERROR(IF(DIR_ATUAL2224[[#This Row],[PROTECAO]]="OK","Protecao OK","Ajustar Disj/Condutor"),"")</f>
        <v>Protecao OK</v>
      </c>
      <c r="T16" s="72" t="str">
        <f>IF(DIR_ATUAL2224[[#This Row],[ETA]]=1,"MONO",IF(DIR_ATUAL2224[[#This Row],[ETA]]=2,"BIF","TRI"))</f>
        <v>TRI</v>
      </c>
      <c r="U16" s="72">
        <v>3</v>
      </c>
      <c r="V16" s="72" t="str">
        <f t="shared" si="0"/>
        <v>AEREO</v>
      </c>
      <c r="W16" s="72">
        <v>28</v>
      </c>
      <c r="X16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6" s="72" t="str">
        <f>IFERROR(VLOOKUP(DIR_ATUAL2224[[#This Row],[Ib]],TabelaDisjuntores[],2,TRUE),"")</f>
        <v/>
      </c>
      <c r="Z16" s="72" t="str">
        <f>IFERROR(VLOOKUP(DIR_ATUAL2224[[#This Row],[CONDUTOR]],CABOS[],2,0),"")</f>
        <v/>
      </c>
      <c r="AA16" s="72" t="str">
        <f>IF(AND(DIR_ATUAL2224[[#This Row],[Ib]]&lt;=DIR_ATUAL2224[[#This Row],[In]],DIR_ATUAL2224[[#This Row],[In]]&lt;=DIR_ATUAL2224[[#This Row],[Iz]]),"OK","VERIFICAR")</f>
        <v>OK</v>
      </c>
      <c r="AB16" s="97">
        <f>IFERROR(SQRT((DIR_ATUAL2224[[#This Row],[X]]-$AF$4)^2+(DIR_ATUAL2224[[#This Row],[Y]]-$AF$5)^2),0)</f>
        <v>0</v>
      </c>
      <c r="AC16" s="9" t="str">
        <f>IFERROR(VLOOKUP(DIR_ATUAL2224[[#This Row],[CONDUTOR]],CONDUTORES,2,0),"")</f>
        <v/>
      </c>
      <c r="AE16" s="262" t="s">
        <v>279</v>
      </c>
      <c r="AF16" s="262"/>
      <c r="AG16" s="262"/>
    </row>
    <row r="17" spans="1:33" x14ac:dyDescent="0.3">
      <c r="A17" s="54"/>
      <c r="B17" s="130"/>
      <c r="C17" s="54" t="str">
        <f>IFERROR(IF(DIR_ATUAL2224[[#This Row],[PONTO]]="RAMAL",B16,VLOOKUP(DIR_ATUAL2224[[#This Row],[PONTO]],GERAL[],2,0)),"")</f>
        <v/>
      </c>
      <c r="D17" s="154" t="str">
        <f>IFERROR(IF(DIR_ATUAL2224[[#This Row],[PONTO]]="RAMAL",15,VLOOKUP(DIR_ATUAL2224[[#This Row],[PONTO]],GERAL[],3,0)),"")</f>
        <v/>
      </c>
      <c r="E17" s="154" t="str">
        <f>IFERROR(IF(DIR_ATUAL2224[[#This Row],[PONTO]]="RAMAL","",VLOOKUP(DIR_ATUAL2224[[#This Row],[PONTO]],GERAL[],7,0)),"")</f>
        <v/>
      </c>
      <c r="F17" s="154" t="str">
        <f>IFERROR(IF(DIR_ATUAL2224[[#This Row],[PONTO]]="RAMAL","",VLOOKUP(DIR_ATUAL2224[[#This Row],[PONTO]],GERAL[],4,0)),"")</f>
        <v/>
      </c>
      <c r="G17" s="154" t="str">
        <f>IFERROR(IF(DIR_ATUAL2224[[#This Row],[PONTO]]="RAMAL","",VLOOKUP(DIR_ATUAL2224[[#This Row],[PONTO]],GERAL[],5,0)),"")</f>
        <v/>
      </c>
      <c r="H17" s="55" t="str">
        <f>IFERROR(IF(DIR_ATUAL2224[[#This Row],[PONTO]]="RAMAL",DMDI,VLOOKUP(DIR_ATUAL2224[[#This Row],[PONTO]],GERAL[],8,0)),"")</f>
        <v/>
      </c>
      <c r="I17" s="55" t="str">
        <f>IFERROR(IF(DIR_ATUAL2224[[#This Row],[PONTO]]="RAMAL",DIR_ATUAL2224[[#This Row],[KVA PONTO]],VLOOKUP(DIR_ATUAL2224[[#This Row],[PONTO]],GERAL[],9,0)),"")</f>
        <v/>
      </c>
      <c r="J17" s="55" t="str">
        <f>IFERROR(VLOOKUP(DIR_ATUAL2224[[#This Row],[PONTO]],GERAL[],12,0),"")</f>
        <v/>
      </c>
      <c r="K17" s="61" t="str">
        <f>IFERROR(DIR_ATUAL2224[[#This Row],[Ib]],"")</f>
        <v/>
      </c>
      <c r="L17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Row],[CONDUTOR]],CABOS[],9,0))+30,W17+60*(X17/Z17)),"")</f>
        <v/>
      </c>
      <c r="M17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7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7" s="116" t="str">
        <f>IF(DIR_ATUAL2224[[#This Row],[PONTO]]="","",IFERROR(SUMIF(DIR_ATUAL2224[PONTO],DIR_ATUAL2224[[#This Row],[TRECHO]],DIR_ATUAL2224[Coluna1])+DIR_ATUAL2224[[#This Row],[QT-PONTO]],""))</f>
        <v/>
      </c>
      <c r="P17" s="56" t="str">
        <f>IFERROR(DIR_ATUAL2224[[#This Row],[Coluna1]]/T_LINHA_MONO,"")</f>
        <v/>
      </c>
      <c r="Q17" s="55" t="str">
        <f>IFERROR(T_LINHA_MONO*(1-DIR_ATUAL2224[[#This Row],[QT %]]),"")</f>
        <v/>
      </c>
      <c r="R17" s="55" t="str">
        <f>IFERROR(T_LINHA_TRF*(1-DIR_ATUAL2224[[#This Row],[QT %]]),"")</f>
        <v/>
      </c>
      <c r="S17" s="67" t="str">
        <f>IFERROR(IF(DIR_ATUAL2224[[#This Row],[PROTECAO]]="OK","Protecao OK","Ajustar Disj/Condutor"),"")</f>
        <v>Protecao OK</v>
      </c>
      <c r="T17" s="72" t="str">
        <f>IF(DIR_ATUAL2224[[#This Row],[ETA]]=1,"MONO",IF(DIR_ATUAL2224[[#This Row],[ETA]]=2,"BIF","TRI"))</f>
        <v>TRI</v>
      </c>
      <c r="U17" s="72">
        <v>3</v>
      </c>
      <c r="V17" s="72" t="str">
        <f t="shared" si="0"/>
        <v>AEREO</v>
      </c>
      <c r="W17" s="72">
        <v>29</v>
      </c>
      <c r="X17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7" s="72" t="str">
        <f>IFERROR(VLOOKUP(DIR_ATUAL2224[[#This Row],[Ib]],TabelaDisjuntores[],2,TRUE),"")</f>
        <v/>
      </c>
      <c r="Z17" s="72" t="str">
        <f>IFERROR(VLOOKUP(DIR_ATUAL2224[[#This Row],[CONDUTOR]],CABOS[],2,0),"")</f>
        <v/>
      </c>
      <c r="AA17" s="72" t="str">
        <f>IF(AND(DIR_ATUAL2224[[#This Row],[Ib]]&lt;=DIR_ATUAL2224[[#This Row],[In]],DIR_ATUAL2224[[#This Row],[In]]&lt;=DIR_ATUAL2224[[#This Row],[Iz]]),"OK","VERIFICAR")</f>
        <v>OK</v>
      </c>
      <c r="AB17" s="97">
        <f>IFERROR(SQRT((DIR_ATUAL2224[[#This Row],[X]]-$AF$4)^2+(DIR_ATUAL2224[[#This Row],[Y]]-$AF$5)^2),0)</f>
        <v>0</v>
      </c>
      <c r="AC17" s="9" t="str">
        <f>IFERROR(VLOOKUP(DIR_ATUAL2224[[#This Row],[CONDUTOR]],CONDUTORES,2,0),"")</f>
        <v/>
      </c>
      <c r="AE17" s="262"/>
      <c r="AF17" s="262"/>
      <c r="AG17" s="262"/>
    </row>
    <row r="18" spans="1:33" x14ac:dyDescent="0.3">
      <c r="A18" s="172"/>
      <c r="B18" s="130"/>
      <c r="C18" s="54" t="str">
        <f>IFERROR(IF(DIR_ATUAL2224[[#This Row],[PONTO]]="RAMAL",B17,VLOOKUP(DIR_ATUAL2224[[#This Row],[PONTO]],GERAL[],2,0)),"")</f>
        <v/>
      </c>
      <c r="D18" s="154" t="str">
        <f>IFERROR(IF(DIR_ATUAL2224[[#This Row],[PONTO]]="RAMAL",15,VLOOKUP(DIR_ATUAL2224[[#This Row],[PONTO]],GERAL[],3,0)),"")</f>
        <v/>
      </c>
      <c r="E18" s="154" t="str">
        <f>IFERROR(IF(DIR_ATUAL2224[[#This Row],[PONTO]]="RAMAL","",VLOOKUP(DIR_ATUAL2224[[#This Row],[PONTO]],GERAL[],7,0)),"")</f>
        <v/>
      </c>
      <c r="F18" s="154" t="str">
        <f>IFERROR(IF(DIR_ATUAL2224[[#This Row],[PONTO]]="RAMAL","",VLOOKUP(DIR_ATUAL2224[[#This Row],[PONTO]],GERAL[],4,0)),"")</f>
        <v/>
      </c>
      <c r="G18" s="154" t="str">
        <f>IFERROR(IF(DIR_ATUAL2224[[#This Row],[PONTO]]="RAMAL","",VLOOKUP(DIR_ATUAL2224[[#This Row],[PONTO]],GERAL[],5,0)),"")</f>
        <v/>
      </c>
      <c r="H18" s="55" t="str">
        <f>IFERROR(IF(DIR_ATUAL2224[[#This Row],[PONTO]]="RAMAL",DMDI,VLOOKUP(DIR_ATUAL2224[[#This Row],[PONTO]],GERAL[],8,0)),"")</f>
        <v/>
      </c>
      <c r="I18" s="55" t="str">
        <f>IFERROR(IF(DIR_ATUAL2224[[#This Row],[PONTO]]="RAMAL",DIR_ATUAL2224[[#This Row],[KVA PONTO]],VLOOKUP(DIR_ATUAL2224[[#This Row],[PONTO]],GERAL[],9,0)),"")</f>
        <v/>
      </c>
      <c r="J18" s="55" t="str">
        <f>IFERROR(VLOOKUP(DIR_ATUAL2224[[#This Row],[PONTO]],GERAL[],12,0),"")</f>
        <v/>
      </c>
      <c r="K18" s="61" t="str">
        <f>IFERROR(DIR_ATUAL2224[[#This Row],[Ib]],"")</f>
        <v/>
      </c>
      <c r="L18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Row],[CONDUTOR]],CABOS[],9,0))+30,W18+60*(X18/Z18)),"")</f>
        <v/>
      </c>
      <c r="M18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8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8" s="116" t="str">
        <f>IF(DIR_ATUAL2224[[#This Row],[PONTO]]="","",IFERROR(SUMIF(DIR_ATUAL2224[PONTO],DIR_ATUAL2224[[#This Row],[TRECHO]],DIR_ATUAL2224[Coluna1])+DIR_ATUAL2224[[#This Row],[QT-PONTO]],""))</f>
        <v/>
      </c>
      <c r="P18" s="56" t="str">
        <f>IFERROR(DIR_ATUAL2224[[#This Row],[Coluna1]]/T_LINHA_MONO,"")</f>
        <v/>
      </c>
      <c r="Q18" s="55" t="str">
        <f>IFERROR(T_LINHA_MONO*(1-DIR_ATUAL2224[[#This Row],[QT %]]),"")</f>
        <v/>
      </c>
      <c r="R18" s="55" t="str">
        <f>IFERROR(T_LINHA_TRF*(1-DIR_ATUAL2224[[#This Row],[QT %]]),"")</f>
        <v/>
      </c>
      <c r="S18" s="67" t="str">
        <f>IFERROR(IF(DIR_ATUAL2224[[#This Row],[PROTECAO]]="OK","Protecao OK","Ajustar Disj/Condutor"),"")</f>
        <v>Protecao OK</v>
      </c>
      <c r="T18" s="72" t="str">
        <f>IF(DIR_ATUAL2224[[#This Row],[ETA]]=1,"MONO",IF(DIR_ATUAL2224[[#This Row],[ETA]]=2,"BIF","TRI"))</f>
        <v>TRI</v>
      </c>
      <c r="U18" s="72">
        <v>3</v>
      </c>
      <c r="V18" s="72" t="str">
        <f t="shared" si="0"/>
        <v>AEREO</v>
      </c>
      <c r="W18" s="72">
        <v>30</v>
      </c>
      <c r="X18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8" s="72" t="str">
        <f>IFERROR(VLOOKUP(DIR_ATUAL2224[[#This Row],[Ib]],TabelaDisjuntores[],2,TRUE),"")</f>
        <v/>
      </c>
      <c r="Z18" s="72" t="str">
        <f>IFERROR(VLOOKUP(DIR_ATUAL2224[[#This Row],[CONDUTOR]],CABOS[],2,0),"")</f>
        <v/>
      </c>
      <c r="AA18" s="72" t="str">
        <f>IF(AND(DIR_ATUAL2224[[#This Row],[Ib]]&lt;=DIR_ATUAL2224[[#This Row],[In]],DIR_ATUAL2224[[#This Row],[In]]&lt;=DIR_ATUAL2224[[#This Row],[Iz]]),"OK","VERIFICAR")</f>
        <v>OK</v>
      </c>
      <c r="AB18" s="97">
        <f>IFERROR(SQRT((DIR_ATUAL2224[[#This Row],[X]]-$AF$4)^2+(DIR_ATUAL2224[[#This Row],[Y]]-$AF$5)^2),0)</f>
        <v>0</v>
      </c>
      <c r="AC18" s="9" t="str">
        <f>IFERROR(VLOOKUP(DIR_ATUAL2224[[#This Row],[CONDUTOR]],CONDUTORES,2,0),"")</f>
        <v/>
      </c>
      <c r="AE18" s="262"/>
      <c r="AF18" s="262"/>
      <c r="AG18" s="262"/>
    </row>
    <row r="19" spans="1:33" x14ac:dyDescent="0.3">
      <c r="A19" s="54"/>
      <c r="B19" s="130"/>
      <c r="C19" s="54" t="str">
        <f>IFERROR(IF(DIR_ATUAL2224[[#This Row],[PONTO]]="RAMAL",B18,VLOOKUP(DIR_ATUAL2224[[#This Row],[PONTO]],GERAL[],2,0)),"")</f>
        <v/>
      </c>
      <c r="D19" s="154" t="str">
        <f>IFERROR(IF(DIR_ATUAL2224[[#This Row],[PONTO]]="RAMAL",15,VLOOKUP(DIR_ATUAL2224[[#This Row],[PONTO]],GERAL[],3,0)),"")</f>
        <v/>
      </c>
      <c r="E19" s="154" t="str">
        <f>IFERROR(IF(DIR_ATUAL2224[[#This Row],[PONTO]]="RAMAL","",VLOOKUP(DIR_ATUAL2224[[#This Row],[PONTO]],GERAL[],7,0)),"")</f>
        <v/>
      </c>
      <c r="F19" s="154" t="str">
        <f>IFERROR(IF(DIR_ATUAL2224[[#This Row],[PONTO]]="RAMAL","",VLOOKUP(DIR_ATUAL2224[[#This Row],[PONTO]],GERAL[],4,0)),"")</f>
        <v/>
      </c>
      <c r="G19" s="154" t="str">
        <f>IFERROR(IF(DIR_ATUAL2224[[#This Row],[PONTO]]="RAMAL","",VLOOKUP(DIR_ATUAL2224[[#This Row],[PONTO]],GERAL[],5,0)),"")</f>
        <v/>
      </c>
      <c r="H19" s="55" t="str">
        <f>IFERROR(IF(DIR_ATUAL2224[[#This Row],[PONTO]]="RAMAL",DMDI,VLOOKUP(DIR_ATUAL2224[[#This Row],[PONTO]],GERAL[],8,0)),"")</f>
        <v/>
      </c>
      <c r="I19" s="55" t="str">
        <f>IFERROR(IF(DIR_ATUAL2224[[#This Row],[PONTO]]="RAMAL",DIR_ATUAL2224[[#This Row],[KVA PONTO]],VLOOKUP(DIR_ATUAL2224[[#This Row],[PONTO]],GERAL[],9,0)),"")</f>
        <v/>
      </c>
      <c r="J19" s="55" t="str">
        <f>IFERROR(VLOOKUP(DIR_ATUAL2224[[#This Row],[PONTO]],GERAL[],12,0),"")</f>
        <v/>
      </c>
      <c r="K19" s="61" t="str">
        <f>IFERROR(DIR_ATUAL2224[[#This Row],[Ib]],"")</f>
        <v/>
      </c>
      <c r="L19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Row],[CONDUTOR]],CABOS[],9,0))+30,W19+60*(X19/Z19)),"")</f>
        <v/>
      </c>
      <c r="M19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19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19" s="116" t="str">
        <f>IF(DIR_ATUAL2224[[#This Row],[PONTO]]="","",IFERROR(SUMIF(DIR_ATUAL2224[PONTO],DIR_ATUAL2224[[#This Row],[TRECHO]],DIR_ATUAL2224[Coluna1])+DIR_ATUAL2224[[#This Row],[QT-PONTO]],""))</f>
        <v/>
      </c>
      <c r="P19" s="56" t="str">
        <f>IFERROR(DIR_ATUAL2224[[#This Row],[Coluna1]]/T_LINHA_MONO,"")</f>
        <v/>
      </c>
      <c r="Q19" s="55" t="str">
        <f>IFERROR(T_LINHA_MONO*(1-DIR_ATUAL2224[[#This Row],[QT %]]),"")</f>
        <v/>
      </c>
      <c r="R19" s="55" t="str">
        <f>IFERROR(T_LINHA_TRF*(1-DIR_ATUAL2224[[#This Row],[QT %]]),"")</f>
        <v/>
      </c>
      <c r="S19" s="67" t="str">
        <f>IFERROR(IF(DIR_ATUAL2224[[#This Row],[PROTECAO]]="OK","Protecao OK","Ajustar Disj/Condutor"),"")</f>
        <v>Protecao OK</v>
      </c>
      <c r="T19" s="72" t="str">
        <f>IF(DIR_ATUAL2224[[#This Row],[ETA]]=1,"MONO",IF(DIR_ATUAL2224[[#This Row],[ETA]]=2,"BIF","TRI"))</f>
        <v>TRI</v>
      </c>
      <c r="U19" s="72">
        <v>3</v>
      </c>
      <c r="V19" s="72" t="str">
        <f t="shared" si="0"/>
        <v>AEREO</v>
      </c>
      <c r="W19" s="72">
        <v>31</v>
      </c>
      <c r="X19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19" s="72" t="str">
        <f>IFERROR(VLOOKUP(DIR_ATUAL2224[[#This Row],[Ib]],TabelaDisjuntores[],2,TRUE),"")</f>
        <v/>
      </c>
      <c r="Z19" s="72" t="str">
        <f>IFERROR(VLOOKUP(DIR_ATUAL2224[[#This Row],[CONDUTOR]],CABOS[],2,0),"")</f>
        <v/>
      </c>
      <c r="AA19" s="72" t="str">
        <f>IF(AND(DIR_ATUAL2224[[#This Row],[Ib]]&lt;=DIR_ATUAL2224[[#This Row],[In]],DIR_ATUAL2224[[#This Row],[In]]&lt;=DIR_ATUAL2224[[#This Row],[Iz]]),"OK","VERIFICAR")</f>
        <v>OK</v>
      </c>
      <c r="AB19" s="97">
        <f>IFERROR(SQRT((DIR_ATUAL2224[[#This Row],[X]]-$AF$4)^2+(DIR_ATUAL2224[[#This Row],[Y]]-$AF$5)^2),0)</f>
        <v>0</v>
      </c>
      <c r="AC19" s="9" t="str">
        <f>IFERROR(VLOOKUP(DIR_ATUAL2224[[#This Row],[CONDUTOR]],CONDUTORES,2,0),"")</f>
        <v/>
      </c>
      <c r="AE19" s="262"/>
      <c r="AF19" s="262"/>
      <c r="AG19" s="262"/>
    </row>
    <row r="20" spans="1:33" x14ac:dyDescent="0.3">
      <c r="A20" s="172"/>
      <c r="B20" s="130"/>
      <c r="C20" s="54" t="str">
        <f>IFERROR(IF(DIR_ATUAL2224[[#This Row],[PONTO]]="RAMAL",B19,VLOOKUP(DIR_ATUAL2224[[#This Row],[PONTO]],GERAL[],2,0)),"")</f>
        <v/>
      </c>
      <c r="D20" s="154" t="str">
        <f>IFERROR(IF(DIR_ATUAL2224[[#This Row],[PONTO]]="RAMAL",15,VLOOKUP(DIR_ATUAL2224[[#This Row],[PONTO]],GERAL[],3,0)),"")</f>
        <v/>
      </c>
      <c r="E20" s="154" t="str">
        <f>IFERROR(IF(DIR_ATUAL2224[[#This Row],[PONTO]]="RAMAL","",VLOOKUP(DIR_ATUAL2224[[#This Row],[PONTO]],GERAL[],7,0)),"")</f>
        <v/>
      </c>
      <c r="F20" s="154" t="str">
        <f>IFERROR(IF(DIR_ATUAL2224[[#This Row],[PONTO]]="RAMAL","",VLOOKUP(DIR_ATUAL2224[[#This Row],[PONTO]],GERAL[],4,0)),"")</f>
        <v/>
      </c>
      <c r="G20" s="154" t="str">
        <f>IFERROR(IF(DIR_ATUAL2224[[#This Row],[PONTO]]="RAMAL","",VLOOKUP(DIR_ATUAL2224[[#This Row],[PONTO]],GERAL[],5,0)),"")</f>
        <v/>
      </c>
      <c r="H20" s="55" t="str">
        <f>IFERROR(IF(DIR_ATUAL2224[[#This Row],[PONTO]]="RAMAL",DMDI,VLOOKUP(DIR_ATUAL2224[[#This Row],[PONTO]],GERAL[],8,0)),"")</f>
        <v/>
      </c>
      <c r="I20" s="55" t="str">
        <f>IFERROR(IF(DIR_ATUAL2224[[#This Row],[PONTO]]="RAMAL",DIR_ATUAL2224[[#This Row],[KVA PONTO]],VLOOKUP(DIR_ATUAL2224[[#This Row],[PONTO]],GERAL[],9,0)),"")</f>
        <v/>
      </c>
      <c r="J20" s="55" t="str">
        <f>IFERROR(VLOOKUP(DIR_ATUAL2224[[#This Row],[PONTO]],GERAL[],12,0),"")</f>
        <v/>
      </c>
      <c r="K20" s="61" t="str">
        <f>IFERROR(DIR_ATUAL2224[[#This Row],[Ib]],"")</f>
        <v/>
      </c>
      <c r="L20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Row],[CONDUTOR]],CABOS[],9,0))+30,W20+60*(X20/Z20)),"")</f>
        <v/>
      </c>
      <c r="M20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20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20" s="116" t="str">
        <f>IF(DIR_ATUAL2224[[#This Row],[PONTO]]="","",IFERROR(SUMIF(DIR_ATUAL2224[PONTO],DIR_ATUAL2224[[#This Row],[TRECHO]],DIR_ATUAL2224[Coluna1])+DIR_ATUAL2224[[#This Row],[QT-PONTO]],""))</f>
        <v/>
      </c>
      <c r="P20" s="56" t="str">
        <f>IFERROR(DIR_ATUAL2224[[#This Row],[Coluna1]]/T_LINHA_MONO,"")</f>
        <v/>
      </c>
      <c r="Q20" s="55" t="str">
        <f>IFERROR(T_LINHA_MONO*(1-DIR_ATUAL2224[[#This Row],[QT %]]),"")</f>
        <v/>
      </c>
      <c r="R20" s="55" t="str">
        <f>IFERROR(T_LINHA_TRF*(1-DIR_ATUAL2224[[#This Row],[QT %]]),"")</f>
        <v/>
      </c>
      <c r="S20" s="67" t="str">
        <f>IFERROR(IF(DIR_ATUAL2224[[#This Row],[PROTECAO]]="OK","Protecao OK","Ajustar Disj/Condutor"),"")</f>
        <v>Protecao OK</v>
      </c>
      <c r="T20" s="72" t="str">
        <f>IF(DIR_ATUAL2224[[#This Row],[ETA]]=1,"MONO",IF(DIR_ATUAL2224[[#This Row],[ETA]]=2,"BIF","TRI"))</f>
        <v>TRI</v>
      </c>
      <c r="U20" s="72">
        <v>3</v>
      </c>
      <c r="V20" s="72" t="str">
        <f t="shared" si="0"/>
        <v>AEREO</v>
      </c>
      <c r="W20" s="72">
        <v>32</v>
      </c>
      <c r="X20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20" s="72" t="str">
        <f>IFERROR(VLOOKUP(DIR_ATUAL2224[[#This Row],[Ib]],TabelaDisjuntores[],2,TRUE),"")</f>
        <v/>
      </c>
      <c r="Z20" s="72" t="str">
        <f>IFERROR(VLOOKUP(DIR_ATUAL2224[[#This Row],[CONDUTOR]],CABOS[],2,0),"")</f>
        <v/>
      </c>
      <c r="AA20" s="72" t="str">
        <f>IF(AND(DIR_ATUAL2224[[#This Row],[Ib]]&lt;=DIR_ATUAL2224[[#This Row],[In]],DIR_ATUAL2224[[#This Row],[In]]&lt;=DIR_ATUAL2224[[#This Row],[Iz]]),"OK","VERIFICAR")</f>
        <v>OK</v>
      </c>
      <c r="AB20" s="97">
        <f>IFERROR(SQRT((DIR_ATUAL2224[[#This Row],[X]]-$AF$4)^2+(DIR_ATUAL2224[[#This Row],[Y]]-$AF$5)^2),0)</f>
        <v>0</v>
      </c>
      <c r="AC20" s="9" t="str">
        <f>IFERROR(VLOOKUP(DIR_ATUAL2224[[#This Row],[CONDUTOR]],CONDUTORES,2,0),"")</f>
        <v/>
      </c>
    </row>
    <row r="21" spans="1:33" x14ac:dyDescent="0.3">
      <c r="A21" s="54"/>
      <c r="B21" s="130"/>
      <c r="C21" s="54" t="str">
        <f>IFERROR(IF(DIR_ATUAL2224[[#This Row],[PONTO]]="RAMAL",B20,VLOOKUP(DIR_ATUAL2224[[#This Row],[PONTO]],GERAL[],2,0)),"")</f>
        <v/>
      </c>
      <c r="D21" s="154" t="str">
        <f>IFERROR(IF(DIR_ATUAL2224[[#This Row],[PONTO]]="RAMAL",15,VLOOKUP(DIR_ATUAL2224[[#This Row],[PONTO]],GERAL[],3,0)),"")</f>
        <v/>
      </c>
      <c r="E21" s="154" t="str">
        <f>IFERROR(IF(DIR_ATUAL2224[[#This Row],[PONTO]]="RAMAL","",VLOOKUP(DIR_ATUAL2224[[#This Row],[PONTO]],GERAL[],7,0)),"")</f>
        <v/>
      </c>
      <c r="F21" s="154" t="str">
        <f>IFERROR(IF(DIR_ATUAL2224[[#This Row],[PONTO]]="RAMAL","",VLOOKUP(DIR_ATUAL2224[[#This Row],[PONTO]],GERAL[],4,0)),"")</f>
        <v/>
      </c>
      <c r="G21" s="154" t="str">
        <f>IFERROR(IF(DIR_ATUAL2224[[#This Row],[PONTO]]="RAMAL","",VLOOKUP(DIR_ATUAL2224[[#This Row],[PONTO]],GERAL[],5,0)),"")</f>
        <v/>
      </c>
      <c r="H21" s="55" t="str">
        <f>IFERROR(IF(DIR_ATUAL2224[[#This Row],[PONTO]]="RAMAL",DMDI,VLOOKUP(DIR_ATUAL2224[[#This Row],[PONTO]],GERAL[],8,0)),"")</f>
        <v/>
      </c>
      <c r="I21" s="55" t="str">
        <f>IFERROR(IF(DIR_ATUAL2224[[#This Row],[PONTO]]="RAMAL",DIR_ATUAL2224[[#This Row],[KVA PONTO]],VLOOKUP(DIR_ATUAL2224[[#This Row],[PONTO]],GERAL[],9,0)),"")</f>
        <v/>
      </c>
      <c r="J21" s="55" t="str">
        <f>IFERROR(VLOOKUP(DIR_ATUAL2224[[#This Row],[PONTO]],GERAL[],12,0),"")</f>
        <v/>
      </c>
      <c r="K21" s="61" t="str">
        <f>IFERROR(DIR_ATUAL2224[[#This Row],[Ib]],"")</f>
        <v/>
      </c>
      <c r="L21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Row],[CONDUTOR]],CABOS[],9,0))+30,W21+60*(X21/Z21)),"")</f>
        <v/>
      </c>
      <c r="M21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21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21" s="116" t="str">
        <f>IF(DIR_ATUAL2224[[#This Row],[PONTO]]="","",IFERROR(SUMIF(DIR_ATUAL2224[PONTO],DIR_ATUAL2224[[#This Row],[TRECHO]],DIR_ATUAL2224[Coluna1])+DIR_ATUAL2224[[#This Row],[QT-PONTO]],""))</f>
        <v/>
      </c>
      <c r="P21" s="56" t="str">
        <f>IFERROR(DIR_ATUAL2224[[#This Row],[Coluna1]]/T_LINHA_MONO,"")</f>
        <v/>
      </c>
      <c r="Q21" s="55" t="str">
        <f>IFERROR(T_LINHA_MONO*(1-DIR_ATUAL2224[[#This Row],[QT %]]),"")</f>
        <v/>
      </c>
      <c r="R21" s="55" t="str">
        <f>IFERROR(T_LINHA_TRF*(1-DIR_ATUAL2224[[#This Row],[QT %]]),"")</f>
        <v/>
      </c>
      <c r="S21" s="67" t="str">
        <f>IFERROR(IF(DIR_ATUAL2224[[#This Row],[PROTECAO]]="OK","Protecao OK","Ajustar Disj/Condutor"),"")</f>
        <v>Protecao OK</v>
      </c>
      <c r="T21" s="72" t="str">
        <f>IF(DIR_ATUAL2224[[#This Row],[ETA]]=1,"MONO",IF(DIR_ATUAL2224[[#This Row],[ETA]]=2,"BIF","TRI"))</f>
        <v>TRI</v>
      </c>
      <c r="U21" s="72">
        <v>3</v>
      </c>
      <c r="V21" s="72" t="str">
        <f t="shared" si="0"/>
        <v>AEREO</v>
      </c>
      <c r="W21" s="72">
        <v>33</v>
      </c>
      <c r="X21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21" s="72" t="str">
        <f>IFERROR(VLOOKUP(DIR_ATUAL2224[[#This Row],[Ib]],TabelaDisjuntores[],2,TRUE),"")</f>
        <v/>
      </c>
      <c r="Z21" s="72" t="str">
        <f>IFERROR(VLOOKUP(DIR_ATUAL2224[[#This Row],[CONDUTOR]],CABOS[],2,0),"")</f>
        <v/>
      </c>
      <c r="AA21" s="72" t="str">
        <f>IF(AND(DIR_ATUAL2224[[#This Row],[Ib]]&lt;=DIR_ATUAL2224[[#This Row],[In]],DIR_ATUAL2224[[#This Row],[In]]&lt;=DIR_ATUAL2224[[#This Row],[Iz]]),"OK","VERIFICAR")</f>
        <v>OK</v>
      </c>
      <c r="AB21" s="97">
        <f>IFERROR(SQRT((DIR_ATUAL2224[[#This Row],[X]]-$AF$4)^2+(DIR_ATUAL2224[[#This Row],[Y]]-$AF$5)^2),0)</f>
        <v>0</v>
      </c>
      <c r="AC21" s="9" t="str">
        <f>IFERROR(VLOOKUP(DIR_ATUAL2224[[#This Row],[CONDUTOR]],CONDUTORES,2,0),"")</f>
        <v/>
      </c>
      <c r="AE21" s="146"/>
      <c r="AF21" s="146" t="str">
        <f>IF(J23="","FALTA CONDUTOR NO RAMAL","")</f>
        <v/>
      </c>
      <c r="AG21" s="146"/>
    </row>
    <row r="22" spans="1:33" x14ac:dyDescent="0.3">
      <c r="A22" s="172"/>
      <c r="B22" s="130" t="str">
        <f>IFERROR(VLOOKUP(A22,PROJ1!A22:C64,2,0),"")</f>
        <v/>
      </c>
      <c r="C22" s="54" t="str">
        <f>IFERROR(IF(DIR_ATUAL2224[[#This Row],[PONTO]]="RAMAL",B21,VLOOKUP(DIR_ATUAL2224[[#This Row],[PONTO]],GERAL[],2,0)),"")</f>
        <v/>
      </c>
      <c r="D22" s="154" t="str">
        <f>IFERROR(IF(DIR_ATUAL2224[[#This Row],[PONTO]]="RAMAL",15,VLOOKUP(DIR_ATUAL2224[[#This Row],[PONTO]],GERAL[],3,0)),"")</f>
        <v/>
      </c>
      <c r="E22" s="154" t="str">
        <f>IFERROR(IF(DIR_ATUAL2224[[#This Row],[PONTO]]="RAMAL","",VLOOKUP(DIR_ATUAL2224[[#This Row],[PONTO]],GERAL[],7,0)),"")</f>
        <v/>
      </c>
      <c r="F22" s="154" t="str">
        <f>IFERROR(IF(DIR_ATUAL2224[[#This Row],[PONTO]]="RAMAL","",VLOOKUP(DIR_ATUAL2224[[#This Row],[PONTO]],GERAL[],4,0)),"")</f>
        <v/>
      </c>
      <c r="G22" s="154" t="str">
        <f>IFERROR(IF(DIR_ATUAL2224[[#This Row],[PONTO]]="RAMAL","",VLOOKUP(DIR_ATUAL2224[[#This Row],[PONTO]],GERAL[],5,0)),"")</f>
        <v/>
      </c>
      <c r="H22" s="55" t="str">
        <f>IFERROR(IF(DIR_ATUAL2224[[#This Row],[PONTO]]="RAMAL",DMDI,VLOOKUP(DIR_ATUAL2224[[#This Row],[PONTO]],GERAL[],8,0)),"")</f>
        <v/>
      </c>
      <c r="I22" s="55" t="str">
        <f>IFERROR(IF(DIR_ATUAL2224[[#This Row],[PONTO]]="RAMAL",DIR_ATUAL2224[[#This Row],[KVA PONTO]],VLOOKUP(DIR_ATUAL2224[[#This Row],[PONTO]],GERAL[],9,0)),"")</f>
        <v/>
      </c>
      <c r="J22" s="55" t="str">
        <f>IFERROR(VLOOKUP(DIR_ATUAL2224[[#This Row],[PONTO]],GERAL[],12,0),"")</f>
        <v/>
      </c>
      <c r="K22" s="61" t="str">
        <f>IFERROR(DIR_ATUAL2224[[#This Row],[Ib]],"")</f>
        <v/>
      </c>
      <c r="L22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Row],[CONDUTOR]],CABOS[],9,0))+30,W22+60*(X22/Z22)),"")</f>
        <v/>
      </c>
      <c r="M22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22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22" s="116" t="str">
        <f>IF(DIR_ATUAL2224[[#This Row],[PONTO]]="","",IFERROR(SUMIF(DIR_ATUAL2224[PONTO],DIR_ATUAL2224[[#This Row],[TRECHO]],DIR_ATUAL2224[Coluna1])+DIR_ATUAL2224[[#This Row],[QT-PONTO]],""))</f>
        <v/>
      </c>
      <c r="P22" s="56" t="str">
        <f>IFERROR(DIR_ATUAL2224[[#This Row],[Coluna1]]/T_LINHA_MONO,"")</f>
        <v/>
      </c>
      <c r="Q22" s="55" t="str">
        <f>IFERROR(T_LINHA_MONO*(1-DIR_ATUAL2224[[#This Row],[QT %]]),"")</f>
        <v/>
      </c>
      <c r="R22" s="55" t="str">
        <f>IFERROR(T_LINHA_TRF*(1-DIR_ATUAL2224[[#This Row],[QT %]]),"")</f>
        <v/>
      </c>
      <c r="S22" s="67" t="str">
        <f>IFERROR(IF(DIR_ATUAL2224[[#This Row],[PROTECAO]]="OK","Protecao OK","Ajustar Disj/Condutor"),"")</f>
        <v>Protecao OK</v>
      </c>
      <c r="T22" s="72" t="str">
        <f>IF(DIR_ATUAL2224[[#This Row],[ETA]]=1,"MONO",IF(DIR_ATUAL2224[[#This Row],[ETA]]=2,"BIF","TRI"))</f>
        <v>TRI</v>
      </c>
      <c r="U22" s="72">
        <v>3</v>
      </c>
      <c r="V22" s="72" t="str">
        <f t="shared" si="0"/>
        <v>AEREO</v>
      </c>
      <c r="W22" s="72">
        <v>34</v>
      </c>
      <c r="X22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22" s="72" t="str">
        <f>IFERROR(VLOOKUP(DIR_ATUAL2224[[#This Row],[Ib]],TabelaDisjuntores[],2,TRUE),"")</f>
        <v/>
      </c>
      <c r="Z22" s="72" t="str">
        <f>IFERROR(VLOOKUP(DIR_ATUAL2224[[#This Row],[CONDUTOR]],CABOS[],2,0),"")</f>
        <v/>
      </c>
      <c r="AA22" s="72" t="str">
        <f>IF(AND(DIR_ATUAL2224[[#This Row],[Ib]]&lt;=DIR_ATUAL2224[[#This Row],[In]],DIR_ATUAL2224[[#This Row],[In]]&lt;=DIR_ATUAL2224[[#This Row],[Iz]]),"OK","VERIFICAR")</f>
        <v>OK</v>
      </c>
      <c r="AB22" s="97">
        <f>IFERROR(SQRT((DIR_ATUAL2224[[#This Row],[X]]-$AF$4)^2+(DIR_ATUAL2224[[#This Row],[Y]]-$AF$5)^2),0)</f>
        <v>0</v>
      </c>
      <c r="AC22" s="9" t="str">
        <f>IFERROR(VLOOKUP(DIR_ATUAL2224[[#This Row],[CONDUTOR]],CONDUTORES,2,0),"")</f>
        <v/>
      </c>
    </row>
    <row r="23" spans="1:33" x14ac:dyDescent="0.3">
      <c r="A23" s="172" t="s">
        <v>323</v>
      </c>
      <c r="B23" s="70" t="s">
        <v>275</v>
      </c>
      <c r="C23" s="130">
        <v>38</v>
      </c>
      <c r="D23" s="54">
        <v>30</v>
      </c>
      <c r="E23" s="154" t="str">
        <f>IFERROR(IF(DIR_ATUAL2224[[#This Row],[PONTO]]="RAMAL","",VLOOKUP(DIR_ATUAL2224[[#This Row],[PONTO]],GERAL[],7,0)),"")</f>
        <v/>
      </c>
      <c r="F23" s="154" t="str">
        <f>IFERROR(IF(DIR_ATUAL2224[[#This Row],[PONTO]]="RAMAL","",VLOOKUP(DIR_ATUAL2224[[#This Row],[PONTO]],GERAL[],4,0)),"")</f>
        <v/>
      </c>
      <c r="G23" s="154" t="str">
        <f>IFERROR(IF(DIR_ATUAL2224[[#This Row],[PONTO]]="RAMAL","",VLOOKUP(DIR_ATUAL2224[[#This Row],[PONTO]],GERAL[],5,0)),"")</f>
        <v/>
      </c>
      <c r="H23" s="55">
        <f>IFERROR(IF(DIR_ATUAL2224[[#This Row],[PONTO]]="RAMAL",DMDI,VLOOKUP(DIR_ATUAL2224[[#This Row],[PONTO]],GERAL[],8,0)),"")</f>
        <v>1.88</v>
      </c>
      <c r="I23" s="55">
        <f>IFERROR(IF(DIR_ATUAL2224[[#This Row],[PONTO]]="RAMAL",DIR_ATUAL2224[[#This Row],[KVA PONTO]],VLOOKUP(DIR_ATUAL2224[[#This Row],[PONTO]],GERAL[],9,0)),"")</f>
        <v>1.88</v>
      </c>
      <c r="J23" s="135" t="s">
        <v>97</v>
      </c>
      <c r="K23" s="61">
        <f>IFERROR(DIR_ATUAL2224[[#This Row],[Ib]],"")</f>
        <v>1.6445734940552976</v>
      </c>
      <c r="L23" s="117">
        <f>IFERROR(IFERROR(DIR_ATUAL2224[[#This Row],[ACUMULADA]]/((IF(DIR_ATUAL2224[[#This Row],[FASE]]="MONO",T_LINHA_MONO,IF(DIR_ATUAL2224[[#This Row],[FASE]]="BIF",T_LINHA_TRF,T_LINHA_TRF*SQRT(3)))/1000)*VLOOKUP(DIR_ATUAL2224[[#This Row],[CONDUTOR]],CABOS[],9,0))+30,W23+60*(X23/Z23)),"")</f>
        <v>34.698781411586566</v>
      </c>
      <c r="M23" s="68">
        <f>IFERROR((VLOOKUP(DIR_ATUAL2224[[#This Row],[CONDUTOR]],CABOS[],3,0)/VLOOKUP(DIR_ATUAL2224[[#This Row],[CONDUTOR]],CABOS[],6,0))*(1+VLOOKUP(DIR_ATUAL2224[[#This Row],[CONDUTOR]],CABOS[],5,0)*(DIR_ATUAL2224[[#This Row],[T]]-20)),"")</f>
        <v>2.0636037487625933</v>
      </c>
      <c r="N23" s="62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>0.33033328915624954</v>
      </c>
      <c r="O23" s="116">
        <f>IF(DIR_ATUAL2224[[#This Row],[PONTO]]="","",IFERROR(SUMIF(DIR_ATUAL2224[PONTO],DIR_ATUAL2224[[#This Row],[TRECHO]],DIR_ATUAL2224[Coluna1])+DIR_ATUAL2224[[#This Row],[QT-PONTO]],""))</f>
        <v>0.33033328915624954</v>
      </c>
      <c r="P23" s="56">
        <f>IFERROR(DIR_ATUAL2224[[#This Row],[Coluna1]]/T_LINHA_MONO,"")</f>
        <v>2.6007001829543882E-3</v>
      </c>
      <c r="Q23" s="55">
        <f>IFERROR(T_LINHA_MONO*(1-DIR_ATUAL2224[[#This Row],[QT %]]),"")</f>
        <v>126.68672593256142</v>
      </c>
      <c r="R23" s="55">
        <f>IFERROR(T_LINHA_TRF*(1-DIR_ATUAL2224[[#This Row],[QT %]]),"")</f>
        <v>219.42784595975002</v>
      </c>
      <c r="S23" s="67" t="str">
        <f>IFERROR(IF(DIR_ATUAL2224[[#This Row],[PROTECAO]]="OK","Protecao OK","Ajustar Disj/Condutor"),"")</f>
        <v>Ajustar Disj/Condutor</v>
      </c>
      <c r="T23" s="72" t="str">
        <f>IF(DIR_ATUAL2224[[#This Row],[ETA]]=1,"MONO",IF(DIR_ATUAL2224[[#This Row],[ETA]]=2,"BIF","TRI"))</f>
        <v>TRI</v>
      </c>
      <c r="U23" s="72">
        <v>3</v>
      </c>
      <c r="V23" s="72" t="str">
        <f t="shared" si="0"/>
        <v>AEREO</v>
      </c>
      <c r="W23" s="72">
        <v>47</v>
      </c>
      <c r="X23" s="72">
        <f>IFERROR(IF(DIR_ATUAL2224[[#This Row],[FASE]]="MONO",DIR_ATUAL2224[[#This Row],[ACUMULADA]]*1000/(T_LINHA_TRF*DIR_ATUAL2224[[#This Row],[ETA]]),DIR_ATUAL2224[[#This Row],[ACUMULADA]]*1000/(SQRT(3)*$R$7*DIR_ATUAL2224[[#This Row],[ETA]])),"")</f>
        <v>1.6445734940552976</v>
      </c>
      <c r="Y23" s="72">
        <f>IFERROR(VLOOKUP(DIR_ATUAL2224[[#This Row],[Ib]],TabelaDisjuntores[],2,TRUE),"")</f>
        <v>0</v>
      </c>
      <c r="Z23" s="72">
        <f>IFERROR(VLOOKUP(DIR_ATUAL2224[[#This Row],[CONDUTOR]],CABOS[],2,0),"")</f>
        <v>63</v>
      </c>
      <c r="AA23" s="72" t="str">
        <f>IF(AND(DIR_ATUAL2224[[#This Row],[Ib]]&lt;=DIR_ATUAL2224[[#This Row],[In]],DIR_ATUAL2224[[#This Row],[In]]&lt;=DIR_ATUAL2224[[#This Row],[Iz]]),"OK","VERIFICAR")</f>
        <v>VERIFICAR</v>
      </c>
      <c r="AB23" s="97">
        <f>IFERROR(SQRT((DIR_ATUAL2224[[#This Row],[X]]-$AF$4)^2+(DIR_ATUAL2224[[#This Row],[Y]]-$AF$5)^2),0)</f>
        <v>0</v>
      </c>
      <c r="AC23" s="9">
        <f>IFERROR(VLOOKUP(DIR_ATUAL2224[[#This Row],[CONDUTOR]],CONDUTORES,2,0),"")</f>
        <v>63</v>
      </c>
      <c r="AF23" t="s">
        <v>276</v>
      </c>
    </row>
    <row r="24" spans="1:33" x14ac:dyDescent="0.3">
      <c r="A24" s="172" t="s">
        <v>323</v>
      </c>
      <c r="B24" s="70"/>
      <c r="C24" s="130"/>
      <c r="D24" s="54">
        <v>30</v>
      </c>
      <c r="E24" s="154" t="str">
        <f>IFERROR(IF(DIR_ATUAL2224[[#This Row],[PONTO]]="RAMAL","",VLOOKUP(DIR_ATUAL2224[[#This Row],[PONTO]],GERAL[],7,0)),"")</f>
        <v/>
      </c>
      <c r="F24" s="154" t="str">
        <f>IFERROR(IF(DIR_ATUAL2224[[#This Row],[PONTO]]="RAMAL","",VLOOKUP(DIR_ATUAL2224[[#This Row],[PONTO]],GERAL[],4,0)),"")</f>
        <v/>
      </c>
      <c r="G24" s="154" t="str">
        <f>IFERROR(IF(DIR_ATUAL2224[[#This Row],[PONTO]]="RAMAL","",VLOOKUP(DIR_ATUAL2224[[#This Row],[PONTO]],GERAL[],5,0)),"")</f>
        <v/>
      </c>
      <c r="H24" s="55" t="str">
        <f>IFERROR(IF(DIR_ATUAL2224[[#This Row],[PONTO]]="RAMAL",DMDI,VLOOKUP(DIR_ATUAL2224[[#This Row],[PONTO]],GERAL[],8,0)),"")</f>
        <v/>
      </c>
      <c r="I24" s="55" t="str">
        <f>IFERROR(IF(DIR_ATUAL2224[[#This Row],[PONTO]]="RAMAL",DIR_ATUAL2224[[#This Row],[KVA PONTO]],VLOOKUP(DIR_ATUAL2224[[#This Row],[PONTO]],GERAL[],9,0)),"")</f>
        <v/>
      </c>
      <c r="J24" s="135" t="s">
        <v>97</v>
      </c>
      <c r="K24" s="61" t="str">
        <f>IFERROR(DIR_ATUAL2224[[#This Row],[Ib]],"")</f>
        <v/>
      </c>
      <c r="L24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Row],[CONDUTOR]],CABOS[],9,0))+30,W24+60*(X24/Z24)),"")</f>
        <v/>
      </c>
      <c r="M24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24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24" s="116" t="str">
        <f>IF(DIR_ATUAL2224[[#This Row],[PONTO]]="","",IFERROR(SUMIF(DIR_ATUAL2224[PONTO],DIR_ATUAL2224[[#This Row],[TRECHO]],DIR_ATUAL2224[Coluna1])+DIR_ATUAL2224[[#This Row],[QT-PONTO]],""))</f>
        <v/>
      </c>
      <c r="P24" s="56" t="str">
        <f>IFERROR(DIR_ATUAL2224[[#This Row],[Coluna1]]/T_LINHA_MONO,"")</f>
        <v/>
      </c>
      <c r="Q24" s="55" t="str">
        <f>IFERROR(T_LINHA_MONO*(1-DIR_ATUAL2224[[#This Row],[QT %]]),"")</f>
        <v/>
      </c>
      <c r="R24" s="55" t="str">
        <f>IFERROR(T_LINHA_TRF*(1-DIR_ATUAL2224[[#This Row],[QT %]]),"")</f>
        <v/>
      </c>
      <c r="S24" s="67" t="str">
        <f>IFERROR(IF(DIR_ATUAL2224[[#This Row],[PROTECAO]]="OK","Protecao OK","Ajustar Disj/Condutor"),"")</f>
        <v>Ajustar Disj/Condutor</v>
      </c>
      <c r="T24" s="72" t="str">
        <f>IF(DIR_ATUAL2224[[#This Row],[ETA]]=1,"MONO",IF(DIR_ATUAL2224[[#This Row],[ETA]]=2,"BIF","TRI"))</f>
        <v>TRI</v>
      </c>
      <c r="U24" s="72">
        <v>3</v>
      </c>
      <c r="V24" s="72" t="str">
        <f t="shared" si="0"/>
        <v>AEREO</v>
      </c>
      <c r="W24" s="72">
        <v>47</v>
      </c>
      <c r="X24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24" s="72" t="str">
        <f>IFERROR(VLOOKUP(DIR_ATUAL2224[[#This Row],[Ib]],TabelaDisjuntores[],2,TRUE),"")</f>
        <v/>
      </c>
      <c r="Z24" s="72">
        <f>IFERROR(VLOOKUP(DIR_ATUAL2224[[#This Row],[CONDUTOR]],CABOS[],2,0),"")</f>
        <v>63</v>
      </c>
      <c r="AA24" s="72" t="str">
        <f>IF(AND(DIR_ATUAL2224[[#This Row],[Ib]]&lt;=DIR_ATUAL2224[[#This Row],[In]],DIR_ATUAL2224[[#This Row],[In]]&lt;=DIR_ATUAL2224[[#This Row],[Iz]]),"OK","VERIFICAR")</f>
        <v>VERIFICAR</v>
      </c>
      <c r="AB24" s="97">
        <f>IFERROR(SQRT((DIR_ATUAL2224[[#This Row],[X]]-$AF$4)^2+(DIR_ATUAL2224[[#This Row],[Y]]-$AF$5)^2),0)</f>
        <v>0</v>
      </c>
      <c r="AC24" s="9">
        <f>IFERROR(VLOOKUP(DIR_ATUAL2224[[#This Row],[CONDUTOR]],CONDUTORES,2,0),"")</f>
        <v>63</v>
      </c>
    </row>
    <row r="25" spans="1:33" x14ac:dyDescent="0.3">
      <c r="A25" s="172" t="s">
        <v>323</v>
      </c>
      <c r="B25" s="70"/>
      <c r="C25" s="130"/>
      <c r="D25" s="54">
        <v>30</v>
      </c>
      <c r="E25" s="154" t="str">
        <f>IFERROR(IF(DIR_ATUAL2224[[#This Row],[PONTO]]="RAMAL","",VLOOKUP(DIR_ATUAL2224[[#This Row],[PONTO]],GERAL[],7,0)),"")</f>
        <v/>
      </c>
      <c r="F25" s="154" t="str">
        <f>IFERROR(IF(DIR_ATUAL2224[[#This Row],[PONTO]]="RAMAL","",VLOOKUP(DIR_ATUAL2224[[#This Row],[PONTO]],GERAL[],4,0)),"")</f>
        <v/>
      </c>
      <c r="G25" s="154" t="str">
        <f>IFERROR(IF(DIR_ATUAL2224[[#This Row],[PONTO]]="RAMAL","",VLOOKUP(DIR_ATUAL2224[[#This Row],[PONTO]],GERAL[],5,0)),"")</f>
        <v/>
      </c>
      <c r="H25" s="55" t="str">
        <f>IFERROR(IF(DIR_ATUAL2224[[#This Row],[PONTO]]="RAMAL",DMDI,VLOOKUP(DIR_ATUAL2224[[#This Row],[PONTO]],GERAL[],8,0)),"")</f>
        <v/>
      </c>
      <c r="I25" s="55" t="str">
        <f>IFERROR(IF(DIR_ATUAL2224[[#This Row],[PONTO]]="RAMAL",DIR_ATUAL2224[[#This Row],[KVA PONTO]],VLOOKUP(DIR_ATUAL2224[[#This Row],[PONTO]],GERAL[],9,0)),"")</f>
        <v/>
      </c>
      <c r="J25" s="135"/>
      <c r="K25" s="61" t="str">
        <f>IFERROR(DIR_ATUAL2224[[#This Row],[Ib]],"")</f>
        <v/>
      </c>
      <c r="L25" s="117" t="str">
        <f>IFERROR(IFERROR(DIR_ATUAL2224[[#This Row],[ACUMULADA]]/((IF(DIR_ATUAL2224[[#This Row],[FASE]]="MONO",T_LINHA_MONO,IF(DIR_ATUAL2224[[#This Row],[FASE]]="BIF",T_LINHA_TRF,T_LINHA_TRF*SQRT(3)))/1000)*VLOOKUP(DIR_ATUAL2224[[#This Row],[CONDUTOR]],CABOS[],9,0))+30,W25+60*(X25/Z25)),"")</f>
        <v/>
      </c>
      <c r="M25" s="68" t="str">
        <f>IFERROR((VLOOKUP(DIR_ATUAL2224[[#This Row],[CONDUTOR]],CABOS[],3,0)/VLOOKUP(DIR_ATUAL2224[[#This Row],[CONDUTOR]],CABOS[],6,0))*(1+VLOOKUP(DIR_ATUAL2224[[#This Row],[CONDUTOR]],CABOS[],5,0)*(DIR_ATUAL2224[[#This Row],[T]]-20)),"")</f>
        <v/>
      </c>
      <c r="N25" s="62" t="str">
        <f>IFERROR(IF(DIR_ATUAL2224[[#This Row],[FASE]]="MONO",6,IF(DIR_ATUAL2224[[#This Row],[FASE]]="BIF",2,1))*DIR_ATUAL2224[[#This Row],[ACUMULADA]]*(SQRT(DIR_ATUAL2224[[#This Row],[R CORR]]^2+VLOOKUP(DIR_ATUAL2224[[#This Row],[CONDUTOR]],CABOS[],4,0)^2)/(($R$7^2)/100))*DIR_ATUAL2224[[#This Row],[M]]*T_LINHA_MONO/100+IF(DIR_ATUAL2224[[#This Row],[TRECHO]]=0,T_LINHA_MONO*QT_MTTR,0),"")</f>
        <v/>
      </c>
      <c r="O25" s="116" t="str">
        <f>IF(DIR_ATUAL2224[[#This Row],[PONTO]]="","",IFERROR(SUMIF(DIR_ATUAL2224[PONTO],DIR_ATUAL2224[[#This Row],[TRECHO]],DIR_ATUAL2224[Coluna1])+DIR_ATUAL2224[[#This Row],[QT-PONTO]],""))</f>
        <v/>
      </c>
      <c r="P25" s="56" t="str">
        <f>IFERROR(DIR_ATUAL2224[[#This Row],[Coluna1]]/T_LINHA_MONO,"")</f>
        <v/>
      </c>
      <c r="Q25" s="55" t="str">
        <f>IFERROR(T_LINHA_MONO*(1-DIR_ATUAL2224[[#This Row],[QT %]]),"")</f>
        <v/>
      </c>
      <c r="R25" s="55" t="str">
        <f>IFERROR(T_LINHA_TRF*(1-DIR_ATUAL2224[[#This Row],[QT %]]),"")</f>
        <v/>
      </c>
      <c r="S25" s="67" t="str">
        <f>IFERROR(IF(DIR_ATUAL2224[[#This Row],[PROTECAO]]="OK","Protecao OK","Ajustar Disj/Condutor"),"")</f>
        <v>Protecao OK</v>
      </c>
      <c r="T25" s="72" t="str">
        <f>IF(DIR_ATUAL2224[[#This Row],[ETA]]=1,"MONO",IF(DIR_ATUAL2224[[#This Row],[ETA]]=2,"BIF","TRI"))</f>
        <v>TRI</v>
      </c>
      <c r="U25" s="72">
        <v>3</v>
      </c>
      <c r="V25" s="72" t="str">
        <f t="shared" si="0"/>
        <v>AEREO</v>
      </c>
      <c r="W25" s="72">
        <v>47</v>
      </c>
      <c r="X25" s="72" t="str">
        <f>IFERROR(IF(DIR_ATUAL2224[[#This Row],[FASE]]="MONO",DIR_ATUAL2224[[#This Row],[ACUMULADA]]*1000/(T_LINHA_TRF*DIR_ATUAL2224[[#This Row],[ETA]]),DIR_ATUAL2224[[#This Row],[ACUMULADA]]*1000/(SQRT(3)*$R$7*DIR_ATUAL2224[[#This Row],[ETA]])),"")</f>
        <v/>
      </c>
      <c r="Y25" s="72" t="str">
        <f>IFERROR(VLOOKUP(DIR_ATUAL2224[[#This Row],[Ib]],TabelaDisjuntores[],2,TRUE),"")</f>
        <v/>
      </c>
      <c r="Z25" s="72" t="str">
        <f>IFERROR(VLOOKUP(DIR_ATUAL2224[[#This Row],[CONDUTOR]],CABOS[],2,0),"")</f>
        <v/>
      </c>
      <c r="AA25" s="72" t="str">
        <f>IF(AND(DIR_ATUAL2224[[#This Row],[Ib]]&lt;=DIR_ATUAL2224[[#This Row],[In]],DIR_ATUAL2224[[#This Row],[In]]&lt;=DIR_ATUAL2224[[#This Row],[Iz]]),"OK","VERIFICAR")</f>
        <v>OK</v>
      </c>
      <c r="AB25" s="97">
        <f>IFERROR(SQRT((DIR_ATUAL2224[[#This Row],[X]]-$AF$4)^2+(DIR_ATUAL2224[[#This Row],[Y]]-$AF$5)^2),0)</f>
        <v>0</v>
      </c>
      <c r="AC25" s="9" t="str">
        <f>IFERROR(VLOOKUP(DIR_ATUAL2224[[#This Row],[CONDUTOR]],CONDUTORES,2,0),"")</f>
        <v/>
      </c>
    </row>
    <row r="36" spans="32:32" x14ac:dyDescent="0.3">
      <c r="AF36" s="102"/>
    </row>
  </sheetData>
  <mergeCells count="25">
    <mergeCell ref="AE2:AF3"/>
    <mergeCell ref="B2:B3"/>
    <mergeCell ref="C2:C3"/>
    <mergeCell ref="D2:D3"/>
    <mergeCell ref="F2:F3"/>
    <mergeCell ref="G2:G3"/>
    <mergeCell ref="O5:O6"/>
    <mergeCell ref="A5:A6"/>
    <mergeCell ref="B5:B6"/>
    <mergeCell ref="C5:C6"/>
    <mergeCell ref="D5:D6"/>
    <mergeCell ref="E5:E6"/>
    <mergeCell ref="F5:G5"/>
    <mergeCell ref="H5:H6"/>
    <mergeCell ref="I5:I6"/>
    <mergeCell ref="J5:J6"/>
    <mergeCell ref="K5:K6"/>
    <mergeCell ref="N5:N6"/>
    <mergeCell ref="AE16:AG19"/>
    <mergeCell ref="P5:P6"/>
    <mergeCell ref="Q5:Q6"/>
    <mergeCell ref="S5:S6"/>
    <mergeCell ref="U5:U6"/>
    <mergeCell ref="AB5:AB6"/>
    <mergeCell ref="AC5:AC6"/>
  </mergeCells>
  <conditionalFormatting sqref="S23:T25 V23:AA25">
    <cfRule type="cellIs" dxfId="17" priority="2" operator="equal">
      <formula>"Condutor Suporta Amperagem"</formula>
    </cfRule>
    <cfRule type="cellIs" dxfId="16" priority="3" operator="equal">
      <formula>"Condutor Sobrecarregado"</formula>
    </cfRule>
  </conditionalFormatting>
  <conditionalFormatting sqref="S8:AA22 U23:U25">
    <cfRule type="cellIs" dxfId="15" priority="6" operator="equal">
      <formula>"Condutor Suporta Amperagem"</formula>
    </cfRule>
    <cfRule type="cellIs" dxfId="14" priority="7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E5FB249E-460F-4AF3-9FA5-1C93632BD7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Q23:R23</xm:sqref>
        </x14:conditionalFormatting>
        <x14:conditionalFormatting xmlns:xm="http://schemas.microsoft.com/office/excel/2006/main">
          <x14:cfRule type="iconSet" priority="4" id="{A85CA335-370D-4036-826B-D47E65FA6B4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Q24:R24</xm:sqref>
        </x14:conditionalFormatting>
        <x14:conditionalFormatting xmlns:xm="http://schemas.microsoft.com/office/excel/2006/main">
          <x14:cfRule type="iconSet" priority="1" id="{1DD3E0D3-F7C8-4F52-9E35-33D89EBD3BF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Q25:R25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454"/>
  <sheetViews>
    <sheetView showGridLines="0" zoomScale="85" zoomScaleNormal="85" workbookViewId="0">
      <pane ySplit="8" topLeftCell="A9" activePane="bottomLeft" state="frozen"/>
      <selection activeCell="A35" sqref="A35:Y35"/>
      <selection pane="bottomLeft" activeCell="H23" sqref="H23"/>
    </sheetView>
  </sheetViews>
  <sheetFormatPr defaultColWidth="14.77734375" defaultRowHeight="14.4" x14ac:dyDescent="0.3"/>
  <cols>
    <col min="1" max="1" width="7.33203125" style="1" customWidth="1"/>
    <col min="2" max="2" width="11.88671875" style="1" customWidth="1"/>
    <col min="3" max="3" width="17.21875" style="1" bestFit="1" customWidth="1"/>
    <col min="4" max="5" width="12.21875" style="1" customWidth="1"/>
    <col min="6" max="6" width="14.21875" style="1" customWidth="1"/>
    <col min="7" max="7" width="12.21875" style="1" customWidth="1"/>
    <col min="8" max="8" width="19.109375" style="2" customWidth="1"/>
    <col min="9" max="9" width="18.33203125" style="2" customWidth="1"/>
    <col min="10" max="10" width="14.77734375" style="2" hidden="1" customWidth="1"/>
    <col min="11" max="11" width="14" customWidth="1"/>
    <col min="12" max="12" width="13.33203125" customWidth="1"/>
    <col min="13" max="13" width="15" bestFit="1" customWidth="1"/>
    <col min="14" max="14" width="2.6640625" customWidth="1"/>
    <col min="16" max="16" width="20.109375" customWidth="1"/>
    <col min="18" max="18" width="22.109375" customWidth="1"/>
  </cols>
  <sheetData>
    <row r="2" spans="1:19" x14ac:dyDescent="0.3">
      <c r="A2" s="267" t="s">
        <v>318</v>
      </c>
      <c r="B2" s="268"/>
      <c r="C2" s="268"/>
      <c r="D2" s="268"/>
      <c r="E2" s="268"/>
      <c r="F2" s="268"/>
      <c r="G2" s="268"/>
      <c r="H2" s="219" t="s">
        <v>0</v>
      </c>
      <c r="I2" s="225" t="str">
        <f>PROJ1!J2</f>
        <v>SIM</v>
      </c>
      <c r="K2" s="219" t="s">
        <v>1</v>
      </c>
      <c r="L2" s="208">
        <f>PROJ1!M2</f>
        <v>50</v>
      </c>
      <c r="M2" s="14" t="s">
        <v>292</v>
      </c>
      <c r="O2" s="14" t="s">
        <v>3</v>
      </c>
      <c r="P2" s="215" t="str">
        <f>IF(O5&gt;O3,"SOBRECARGA","")</f>
        <v>SOBRECARGA</v>
      </c>
      <c r="Q2" s="14" t="s">
        <v>4</v>
      </c>
      <c r="R2" s="14" t="s">
        <v>25</v>
      </c>
    </row>
    <row r="3" spans="1:19" x14ac:dyDescent="0.3">
      <c r="A3" s="268"/>
      <c r="B3" s="268"/>
      <c r="C3" s="268"/>
      <c r="D3" s="268"/>
      <c r="E3" s="268"/>
      <c r="F3" s="268"/>
      <c r="G3" s="268"/>
      <c r="H3" s="226"/>
      <c r="I3" s="226"/>
      <c r="K3" s="209"/>
      <c r="L3" s="209"/>
      <c r="M3" s="159" t="str">
        <f>P31</f>
        <v/>
      </c>
      <c r="O3" s="133">
        <v>112.5</v>
      </c>
      <c r="P3" s="209"/>
      <c r="Q3" s="111" t="s">
        <v>6</v>
      </c>
      <c r="R3" s="140">
        <f>SUMIF(GERAL_PROJ[CONDUTOR],$Q3,GERAL_PROJ[M])</f>
        <v>85</v>
      </c>
      <c r="S3" s="160">
        <f>R3-PROJ1!T4</f>
        <v>1</v>
      </c>
    </row>
    <row r="4" spans="1:19" x14ac:dyDescent="0.3">
      <c r="A4" s="3"/>
      <c r="B4" s="3"/>
      <c r="C4" s="3"/>
      <c r="D4" s="4"/>
      <c r="E4" s="3"/>
      <c r="F4" s="3"/>
      <c r="G4" s="3"/>
      <c r="H4" s="226"/>
      <c r="I4" s="226"/>
      <c r="J4" s="10"/>
      <c r="K4" s="209"/>
      <c r="L4" s="209"/>
      <c r="M4" s="14" t="s">
        <v>293</v>
      </c>
      <c r="O4" s="14" t="s">
        <v>8</v>
      </c>
      <c r="P4" s="209"/>
      <c r="Q4" s="111" t="s">
        <v>9</v>
      </c>
      <c r="R4" s="140">
        <f>SUMIF(GERAL_PROJ[CONDUTOR],$Q4,GERAL_PROJ[M])</f>
        <v>0</v>
      </c>
      <c r="S4" s="160">
        <f>R4-PROJ1!T5</f>
        <v>0</v>
      </c>
    </row>
    <row r="5" spans="1:19" x14ac:dyDescent="0.3">
      <c r="A5" s="92" t="s">
        <v>286</v>
      </c>
      <c r="B5" s="3"/>
      <c r="C5" s="3" t="s">
        <v>287</v>
      </c>
      <c r="D5" s="158">
        <v>46127</v>
      </c>
      <c r="E5" s="3"/>
      <c r="F5" s="3"/>
      <c r="G5" s="3"/>
      <c r="J5" s="10"/>
      <c r="M5" s="159" t="str">
        <f>P32</f>
        <v/>
      </c>
      <c r="O5" s="90" t="str">
        <f>I9</f>
        <v/>
      </c>
      <c r="P5" s="14" t="s">
        <v>8</v>
      </c>
      <c r="Q5" s="111" t="s">
        <v>12</v>
      </c>
      <c r="R5" s="140">
        <f>SUMIF(GERAL_PROJ[CONDUTOR],$Q5,GERAL_PROJ[M])</f>
        <v>0</v>
      </c>
      <c r="S5" s="160">
        <f>R5-PROJ1!T6</f>
        <v>0</v>
      </c>
    </row>
    <row r="6" spans="1:19" s="60" customFormat="1" ht="13.8" customHeight="1" x14ac:dyDescent="0.3">
      <c r="A6" s="220" t="s">
        <v>13</v>
      </c>
      <c r="B6" s="58" t="s">
        <v>14</v>
      </c>
      <c r="C6" s="58" t="s">
        <v>15</v>
      </c>
      <c r="D6" s="221" t="s">
        <v>16</v>
      </c>
      <c r="E6" s="222"/>
      <c r="F6" s="58"/>
      <c r="G6" s="58"/>
      <c r="H6" s="217" t="s">
        <v>17</v>
      </c>
      <c r="I6" s="217" t="s">
        <v>18</v>
      </c>
      <c r="J6" s="217" t="s">
        <v>19</v>
      </c>
      <c r="K6" s="227" t="s">
        <v>298</v>
      </c>
      <c r="L6" s="216" t="s">
        <v>299</v>
      </c>
      <c r="M6" s="14"/>
      <c r="O6" s="115" t="e">
        <f>O5/0.85</f>
        <v>#VALUE!</v>
      </c>
      <c r="P6" s="14" t="s">
        <v>280</v>
      </c>
      <c r="Q6" s="111" t="s">
        <v>282</v>
      </c>
      <c r="R6" s="140">
        <f>SUMIF(GERAL_PROJ[CONDUTOR],$Q6,GERAL_PROJ[M])</f>
        <v>0</v>
      </c>
      <c r="S6" s="160">
        <f>R6-PROJ1!T7</f>
        <v>-97</v>
      </c>
    </row>
    <row r="7" spans="1:19" s="60" customFormat="1" ht="13.8" customHeight="1" x14ac:dyDescent="0.3">
      <c r="A7" s="218"/>
      <c r="B7" s="14" t="s">
        <v>21</v>
      </c>
      <c r="C7" s="14" t="s">
        <v>22</v>
      </c>
      <c r="D7" s="58" t="s">
        <v>23</v>
      </c>
      <c r="E7" s="58" t="s">
        <v>24</v>
      </c>
      <c r="F7" s="75"/>
      <c r="G7" s="75"/>
      <c r="H7" s="218"/>
      <c r="I7" s="218"/>
      <c r="J7" s="218"/>
      <c r="K7" s="228"/>
      <c r="L7" s="216"/>
      <c r="M7" s="14"/>
      <c r="O7" s="104" t="e">
        <f>O5/O3</f>
        <v>#VALUE!</v>
      </c>
      <c r="P7" s="14" t="s">
        <v>281</v>
      </c>
    </row>
    <row r="8" spans="1:19" s="5" customFormat="1" ht="38.4" customHeight="1" x14ac:dyDescent="0.3">
      <c r="A8" s="142" t="s">
        <v>13</v>
      </c>
      <c r="B8" s="143" t="s">
        <v>14</v>
      </c>
      <c r="C8" s="143" t="s">
        <v>25</v>
      </c>
      <c r="D8" s="142" t="s">
        <v>26</v>
      </c>
      <c r="E8" s="142" t="s">
        <v>27</v>
      </c>
      <c r="F8" s="142" t="s">
        <v>28</v>
      </c>
      <c r="G8" s="142" t="s">
        <v>29</v>
      </c>
      <c r="H8" s="142" t="s">
        <v>30</v>
      </c>
      <c r="I8" s="142" t="s">
        <v>18</v>
      </c>
      <c r="J8" s="143" t="s">
        <v>31</v>
      </c>
      <c r="K8" s="142" t="s">
        <v>32</v>
      </c>
      <c r="L8" s="142" t="s">
        <v>33</v>
      </c>
      <c r="M8" s="142" t="s">
        <v>34</v>
      </c>
      <c r="O8" s="167">
        <v>0.85</v>
      </c>
      <c r="P8" s="14" t="s">
        <v>309</v>
      </c>
      <c r="R8" s="168"/>
    </row>
    <row r="9" spans="1:19" s="6" customFormat="1" x14ac:dyDescent="0.3">
      <c r="A9" s="129"/>
      <c r="B9" s="129"/>
      <c r="C9" s="129"/>
      <c r="D9" s="161" t="str">
        <f>IFERROR(VLOOKUP(GERAL_PROJ[[#This Row],[PONTO]],Tabela13[],2,0),"")</f>
        <v/>
      </c>
      <c r="E9" s="161" t="str">
        <f>IFERROR(VLOOKUP(GERAL_PROJ[[#This Row],[PONTO]],Tabela13[],3,0),"")</f>
        <v/>
      </c>
      <c r="F9" s="109" t="str">
        <f>IFERROR(VLOOKUP(GERAL_PROJ[[#This Row],[PONTO]],RAMAIS_ATUAL,24,0),"")</f>
        <v/>
      </c>
      <c r="G9" s="109" t="str">
        <f>IFERROR(SUMIF(GERAL_PROJ[TRECHO],GERAL_PROJ[[#This Row],[PONTO]],GERAL_PROJ[CLT ACUMULADO])+GERAL_PROJ[[#This Row],[CLIENTES]],"")</f>
        <v/>
      </c>
      <c r="H9" s="110" t="str">
        <f>IFERROR(VLOOKUP(GERAL_PROJ[[#This Row],[PONTO]],RAMAIS_ATUAL,IF($I$2="SIM",25,23),0),"")</f>
        <v/>
      </c>
      <c r="I9" s="110" t="str">
        <f>IFERROR(  ( IF(  TRIM(UPPER($I$2))="SIM",  VLOOKUP(GERAL_PROJ[[#This Row],[CLT ACUMULADO]],AUX_CLAN,4,FALSE),  SUMIF(GERAL_PROJ[TRECHO],GERAL_PROJ[[#This Row],[PONTO]],GERAL_PROJ[ACUMULADA])+GERAL_PROJ[[#This Row],[TOTAL DO TRECHO]]  ) )/ IF($L$6="SIM",O8,1),"")</f>
        <v/>
      </c>
      <c r="J9" s="110" t="str">
        <f>IFERROR(SQRT((GERAL_PROJ[[#This Row],[X]]-$P$11)^2+(GERAL_PROJ[[#This Row],[Y]]-$P$12)^2),"")</f>
        <v/>
      </c>
      <c r="K9" s="129" t="s">
        <v>3</v>
      </c>
      <c r="L9" s="131" t="s">
        <v>35</v>
      </c>
      <c r="M9" s="164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>IGNORADO</v>
      </c>
      <c r="O9" s="204" t="s">
        <v>36</v>
      </c>
      <c r="P9" s="205"/>
      <c r="Q9" s="141" t="s">
        <v>3</v>
      </c>
      <c r="R9" s="141" t="s">
        <v>38</v>
      </c>
    </row>
    <row r="10" spans="1:19" x14ac:dyDescent="0.3">
      <c r="A10" s="130"/>
      <c r="B10" s="130"/>
      <c r="C10" s="129"/>
      <c r="D10" s="162" t="str">
        <f>IFERROR(VLOOKUP(GERAL_PROJ[[#This Row],[PONTO]],Tabela13[],2,0),"")</f>
        <v/>
      </c>
      <c r="E10" s="162" t="str">
        <f>IFERROR(VLOOKUP(GERAL_PROJ[[#This Row],[PONTO]],Tabela13[],3,0),"")</f>
        <v/>
      </c>
      <c r="F10" s="112" t="str">
        <f>IFERROR(VLOOKUP(GERAL_PROJ[[#This Row],[PONTO]],RAMAIS_ATUAL,24,0),"")</f>
        <v/>
      </c>
      <c r="G10" s="112" t="str">
        <f>IFERROR(SUMIF(GERAL_PROJ[TRECHO],GERAL_PROJ[[#This Row],[PONTO]],GERAL_PROJ[CLT ACUMULADO])+GERAL_PROJ[[#This Row],[CLIENTES]],"")</f>
        <v/>
      </c>
      <c r="H10" s="55" t="str">
        <f>IFERROR(VLOOKUP(GERAL_PROJ[[#This Row],[PONTO]],RAMAIS_ATUAL,IF($I$2="SIM",25,23),0),"")</f>
        <v/>
      </c>
      <c r="I10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0" s="55" t="str">
        <f>IFERROR(SQRT((GERAL_PROJ[[#This Row],[X]]-$P$11)^2+(GERAL_PROJ[[#This Row],[Y]]-$P$12)^2),"")</f>
        <v/>
      </c>
      <c r="K10" s="130"/>
      <c r="L10" s="132"/>
      <c r="M10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10" s="206"/>
      <c r="P10" s="206"/>
      <c r="Q10" s="141" t="s">
        <v>40</v>
      </c>
      <c r="R10" s="141">
        <v>4</v>
      </c>
    </row>
    <row r="11" spans="1:19" s="6" customFormat="1" x14ac:dyDescent="0.3">
      <c r="A11" s="130"/>
      <c r="B11" s="130"/>
      <c r="C11" s="129"/>
      <c r="D11" s="162" t="str">
        <f>IFERROR(VLOOKUP(GERAL_PROJ[[#This Row],[PONTO]],Tabela13[],2,0),"")</f>
        <v/>
      </c>
      <c r="E11" s="162" t="str">
        <f>IFERROR(VLOOKUP(GERAL_PROJ[[#This Row],[PONTO]],Tabela13[],3,0),"")</f>
        <v/>
      </c>
      <c r="F11" s="112" t="str">
        <f>IFERROR(VLOOKUP(GERAL_PROJ[[#This Row],[PONTO]],RAMAIS_ATUAL,24,0),"")</f>
        <v/>
      </c>
      <c r="G11" s="112" t="str">
        <f>IFERROR(SUMIF(GERAL_PROJ[TRECHO],GERAL_PROJ[[#This Row],[PONTO]],GERAL_PROJ[CLT ACUMULADO])+GERAL_PROJ[[#This Row],[CLIENTES]],"")</f>
        <v/>
      </c>
      <c r="H11" s="55" t="str">
        <f>IFERROR(VLOOKUP(GERAL_PROJ[[#This Row],[PONTO]],RAMAIS_ATUAL,IF($I$2="SIM",25,23),0),"")</f>
        <v/>
      </c>
      <c r="I11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1" s="55" t="str">
        <f>IFERROR(SQRT((GERAL_PROJ[[#This Row],[X]]-$P$11)^2+(GERAL_PROJ[[#This Row],[Y]]-$P$12)^2),"")</f>
        <v/>
      </c>
      <c r="K11" s="130"/>
      <c r="L11" s="132"/>
      <c r="M11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11" s="11" t="s">
        <v>26</v>
      </c>
      <c r="P11" s="13">
        <f>IFERROR(SUMPRODUCT(GERAL[TOTAL DO TRECHO],GERAL[X])/SUM(GERAL[TOTAL DO TRECHO]),"INSERIR DADOS")</f>
        <v>0</v>
      </c>
      <c r="Q11" s="141" t="s">
        <v>42</v>
      </c>
      <c r="R11" s="141">
        <v>4</v>
      </c>
    </row>
    <row r="12" spans="1:19" x14ac:dyDescent="0.3">
      <c r="A12" s="130"/>
      <c r="B12" s="130"/>
      <c r="C12" s="129"/>
      <c r="D12" s="162" t="str">
        <f>IFERROR(VLOOKUP(GERAL_PROJ[[#This Row],[PONTO]],Tabela13[],2,0),"")</f>
        <v/>
      </c>
      <c r="E12" s="162" t="str">
        <f>IFERROR(VLOOKUP(GERAL_PROJ[[#This Row],[PONTO]],Tabela13[],3,0),"")</f>
        <v/>
      </c>
      <c r="F12" s="112" t="str">
        <f>IFERROR(VLOOKUP(GERAL_PROJ[[#This Row],[PONTO]],RAMAIS_ATUAL,24,0),"")</f>
        <v/>
      </c>
      <c r="G12" s="112" t="str">
        <f>IFERROR(SUMIF(GERAL_PROJ[TRECHO],GERAL_PROJ[[#This Row],[PONTO]],GERAL_PROJ[CLT ACUMULADO])+GERAL_PROJ[[#This Row],[CLIENTES]],"")</f>
        <v/>
      </c>
      <c r="H12" s="55" t="str">
        <f>IFERROR(VLOOKUP(GERAL_PROJ[[#This Row],[PONTO]],RAMAIS_ATUAL,IF($I$2="SIM",25,23),0),"")</f>
        <v/>
      </c>
      <c r="I12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2" s="55" t="str">
        <f>IFERROR(SQRT((GERAL_PROJ[[#This Row],[X]]-$P$11)^2+(GERAL_PROJ[[#This Row],[Y]]-$P$12)^2),"")</f>
        <v/>
      </c>
      <c r="K12" s="130"/>
      <c r="L12" s="132"/>
      <c r="M12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12" s="12" t="s">
        <v>27</v>
      </c>
      <c r="P12" s="13">
        <f>IFERROR(SUMPRODUCT(GERAL[ACUMULADA],GERAL[Y])/SUM(GERAL[ACUMULADA]),"INSERIR DADOS")</f>
        <v>0</v>
      </c>
      <c r="Q12" s="141" t="s">
        <v>45</v>
      </c>
      <c r="R12" s="141">
        <v>4</v>
      </c>
    </row>
    <row r="13" spans="1:19" s="6" customFormat="1" x14ac:dyDescent="0.3">
      <c r="A13" s="130"/>
      <c r="B13" s="130"/>
      <c r="C13" s="129"/>
      <c r="D13" s="162" t="str">
        <f>IFERROR(VLOOKUP(GERAL_PROJ[[#This Row],[PONTO]],Tabela13[],2,0),"")</f>
        <v/>
      </c>
      <c r="E13" s="162" t="str">
        <f>IFERROR(VLOOKUP(GERAL_PROJ[[#This Row],[PONTO]],Tabela13[],3,0),"")</f>
        <v/>
      </c>
      <c r="F13" s="112" t="str">
        <f>IFERROR(VLOOKUP(GERAL_PROJ[[#This Row],[PONTO]],RAMAIS_ATUAL,24,0),"")</f>
        <v/>
      </c>
      <c r="G13" s="112" t="str">
        <f>IFERROR(SUMIF(GERAL_PROJ[TRECHO],GERAL_PROJ[[#This Row],[PONTO]],GERAL_PROJ[CLT ACUMULADO])+GERAL_PROJ[[#This Row],[CLIENTES]],"")</f>
        <v/>
      </c>
      <c r="H13" s="55" t="str">
        <f>IFERROR(VLOOKUP(GERAL_PROJ[[#This Row],[PONTO]],RAMAIS_ATUAL,IF($I$2="SIM",25,23),0),"")</f>
        <v/>
      </c>
      <c r="I13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3" s="55" t="str">
        <f>IFERROR(SQRT((GERAL_PROJ[[#This Row],[X]]-$P$11)^2+(GERAL_PROJ[[#This Row],[Y]]-$P$12)^2),"")</f>
        <v/>
      </c>
      <c r="K13" s="130"/>
      <c r="L13" s="132"/>
      <c r="M13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Q13" s="141" t="s">
        <v>46</v>
      </c>
      <c r="R13" s="141">
        <v>4</v>
      </c>
    </row>
    <row r="14" spans="1:19" x14ac:dyDescent="0.3">
      <c r="A14" s="130"/>
      <c r="B14" s="130"/>
      <c r="C14" s="129"/>
      <c r="D14" s="162" t="str">
        <f>IFERROR(VLOOKUP(GERAL_PROJ[[#This Row],[PONTO]],Tabela13[],2,0),"")</f>
        <v/>
      </c>
      <c r="E14" s="162" t="str">
        <f>IFERROR(VLOOKUP(GERAL_PROJ[[#This Row],[PONTO]],Tabela13[],3,0),"")</f>
        <v/>
      </c>
      <c r="F14" s="112" t="str">
        <f>IFERROR(VLOOKUP(GERAL_PROJ[[#This Row],[PONTO]],RAMAIS_ATUAL,24,0),"")</f>
        <v/>
      </c>
      <c r="G14" s="112" t="str">
        <f>IFERROR(SUMIF(GERAL_PROJ[TRECHO],GERAL_PROJ[[#This Row],[PONTO]],GERAL_PROJ[CLT ACUMULADO])+GERAL_PROJ[[#This Row],[CLIENTES]],"")</f>
        <v/>
      </c>
      <c r="H14" s="55" t="str">
        <f>IFERROR(VLOOKUP(GERAL_PROJ[[#This Row],[PONTO]],RAMAIS_ATUAL,IF($I$2="SIM",25,23),0),"")</f>
        <v/>
      </c>
      <c r="I14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4" s="55" t="str">
        <f>IFERROR(SQRT((GERAL_PROJ[[#This Row],[X]]-$P$11)^2+(GERAL_PROJ[[#This Row],[Y]]-$P$12)^2),"")</f>
        <v/>
      </c>
      <c r="K14" s="130"/>
      <c r="L14" s="132"/>
      <c r="M14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14" s="204" t="s">
        <v>37</v>
      </c>
      <c r="P14" s="205"/>
      <c r="Q14" s="141" t="s">
        <v>47</v>
      </c>
      <c r="R14" s="141">
        <v>4</v>
      </c>
    </row>
    <row r="15" spans="1:19" s="6" customFormat="1" x14ac:dyDescent="0.3">
      <c r="A15" s="130"/>
      <c r="B15" s="130"/>
      <c r="C15" s="130"/>
      <c r="D15" s="162" t="str">
        <f>IFERROR(VLOOKUP(GERAL_PROJ[[#This Row],[PONTO]],Tabela13[],2,0),"")</f>
        <v/>
      </c>
      <c r="E15" s="162" t="str">
        <f>IFERROR(VLOOKUP(GERAL_PROJ[[#This Row],[PONTO]],Tabela13[],3,0),"")</f>
        <v/>
      </c>
      <c r="F15" s="112" t="str">
        <f>IFERROR(VLOOKUP(GERAL_PROJ[[#This Row],[PONTO]],RAMAIS_ATUAL,24,0),"")</f>
        <v/>
      </c>
      <c r="G15" s="112" t="str">
        <f>IFERROR(SUMIF(GERAL_PROJ[TRECHO],GERAL_PROJ[[#This Row],[PONTO]],GERAL_PROJ[CLT ACUMULADO])+GERAL_PROJ[[#This Row],[CLIENTES]],"")</f>
        <v/>
      </c>
      <c r="H15" s="55" t="str">
        <f>IFERROR(VLOOKUP(GERAL_PROJ[[#This Row],[PONTO]],RAMAIS_ATUAL,IF($I$2="SIM",25,23),0),"")</f>
        <v/>
      </c>
      <c r="I15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5" s="55" t="str">
        <f>IFERROR(SQRT((GERAL_PROJ[[#This Row],[X]]-$P$11)^2+(GERAL_PROJ[[#This Row],[Y]]-$P$12)^2),"")</f>
        <v/>
      </c>
      <c r="K15" s="130"/>
      <c r="L15" s="132"/>
      <c r="M15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15" s="206"/>
      <c r="P15" s="206"/>
      <c r="Q15" s="141" t="s">
        <v>50</v>
      </c>
      <c r="R15" s="141">
        <v>4</v>
      </c>
    </row>
    <row r="16" spans="1:19" x14ac:dyDescent="0.3">
      <c r="A16" s="130"/>
      <c r="B16" s="130"/>
      <c r="C16" s="130"/>
      <c r="D16" s="162" t="str">
        <f>IFERROR(VLOOKUP(GERAL_PROJ[[#This Row],[PONTO]],Tabela13[],2,0),"")</f>
        <v/>
      </c>
      <c r="E16" s="162" t="str">
        <f>IFERROR(VLOOKUP(GERAL_PROJ[[#This Row],[PONTO]],Tabela13[],3,0),"")</f>
        <v/>
      </c>
      <c r="F16" s="112" t="str">
        <f>IFERROR(VLOOKUP(GERAL_PROJ[[#This Row],[PONTO]],RAMAIS_ATUAL,24,0),"")</f>
        <v/>
      </c>
      <c r="G16" s="112" t="str">
        <f>IFERROR(SUMIF(GERAL_PROJ[TRECHO],GERAL_PROJ[[#This Row],[PONTO]],GERAL_PROJ[CLT ACUMULADO])+GERAL_PROJ[[#This Row],[CLIENTES]],"")</f>
        <v/>
      </c>
      <c r="H16" s="55" t="str">
        <f>IFERROR(VLOOKUP(GERAL_PROJ[[#This Row],[PONTO]],RAMAIS_ATUAL,IF($I$2="SIM",25,23),0),"")</f>
        <v/>
      </c>
      <c r="I16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6" s="55" t="str">
        <f>IFERROR(SQRT((GERAL_PROJ[[#This Row],[X]]-$P$11)^2+(GERAL_PROJ[[#This Row],[Y]]-$P$12)^2),"")</f>
        <v/>
      </c>
      <c r="K16" s="130"/>
      <c r="L16" s="132"/>
      <c r="M16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16" s="210">
        <f>INDEX(GERAL_PROJ[PONTO],MATCH(MIN(GERAL_PROJ[SNAP]),GERAL_PROJ[SNAP],0))</f>
        <v>2</v>
      </c>
      <c r="P16" s="203"/>
    </row>
    <row r="17" spans="1:18" s="6" customFormat="1" x14ac:dyDescent="0.3">
      <c r="A17" s="130"/>
      <c r="B17" s="130"/>
      <c r="C17" s="130"/>
      <c r="D17" s="162" t="str">
        <f>IFERROR(VLOOKUP(GERAL_PROJ[[#This Row],[PONTO]],Tabela13[],2,0),"")</f>
        <v/>
      </c>
      <c r="E17" s="162" t="str">
        <f>IFERROR(VLOOKUP(GERAL_PROJ[[#This Row],[PONTO]],Tabela13[],3,0),"")</f>
        <v/>
      </c>
      <c r="F17" s="112" t="str">
        <f>IFERROR(VLOOKUP(GERAL_PROJ[[#This Row],[PONTO]],RAMAIS_ATUAL,24,0),"")</f>
        <v/>
      </c>
      <c r="G17" s="112" t="str">
        <f>IFERROR(SUMIF(GERAL_PROJ[TRECHO],GERAL_PROJ[[#This Row],[PONTO]],GERAL_PROJ[CLT ACUMULADO])+GERAL_PROJ[[#This Row],[CLIENTES]],"")</f>
        <v/>
      </c>
      <c r="H17" s="55" t="str">
        <f>IFERROR(VLOOKUP(GERAL_PROJ[[#This Row],[PONTO]],RAMAIS_ATUAL,IF($I$2="SIM",25,23),0),"")</f>
        <v/>
      </c>
      <c r="I17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7" s="55" t="str">
        <f>IFERROR(SQRT((GERAL_PROJ[[#This Row],[X]]-$P$11)^2+(GERAL_PROJ[[#This Row],[Y]]-$P$12)^2),"")</f>
        <v/>
      </c>
      <c r="K17" s="130"/>
      <c r="L17" s="132"/>
      <c r="M17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Q17" s="141" t="s">
        <v>39</v>
      </c>
      <c r="R17" s="141" t="s">
        <v>33</v>
      </c>
    </row>
    <row r="18" spans="1:18" x14ac:dyDescent="0.3">
      <c r="A18" s="130"/>
      <c r="B18" s="130"/>
      <c r="C18" s="130"/>
      <c r="D18" s="149" t="str">
        <f>IFERROR(VLOOKUP(GERAL_PROJ[[#This Row],[PONTO]],Tabela13[],2,0),"")</f>
        <v/>
      </c>
      <c r="E18" s="149" t="str">
        <f>IFERROR(VLOOKUP(GERAL_PROJ[[#This Row],[PONTO]],Tabela13[],3,0),"")</f>
        <v/>
      </c>
      <c r="F18" s="112" t="str">
        <f>IFERROR(VLOOKUP(GERAL_PROJ[[#This Row],[PONTO]],RAMAIS_ATUAL,24,0),"")</f>
        <v/>
      </c>
      <c r="G18" s="112" t="str">
        <f>IFERROR(SUMIF(GERAL_PROJ[TRECHO],GERAL_PROJ[[#This Row],[PONTO]],GERAL_PROJ[CLT ACUMULADO])+GERAL_PROJ[[#This Row],[CLIENTES]],"")</f>
        <v/>
      </c>
      <c r="H18" s="55" t="str">
        <f>IFERROR(VLOOKUP(GERAL_PROJ[[#This Row],[PONTO]],RAMAIS_ATUAL,IF($I$2="SIM",25,23),0),"")</f>
        <v/>
      </c>
      <c r="I18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18" s="55" t="str">
        <f>IFERROR(SQRT((GERAL_PROJ[[#This Row],[X]]-$P$11)^2+(GERAL_PROJ[[#This Row],[Y]]-$P$12)^2),"")</f>
        <v/>
      </c>
      <c r="K18" s="130"/>
      <c r="L18" s="132"/>
      <c r="M18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18" s="214" t="s">
        <v>44</v>
      </c>
      <c r="P18" s="205"/>
      <c r="Q18" s="141" t="s">
        <v>41</v>
      </c>
      <c r="R18" s="141" t="s">
        <v>35</v>
      </c>
    </row>
    <row r="19" spans="1:18" s="6" customFormat="1" hidden="1" x14ac:dyDescent="0.3">
      <c r="A19" s="130">
        <v>2</v>
      </c>
      <c r="B19" s="130">
        <v>29</v>
      </c>
      <c r="C19" s="130">
        <v>45</v>
      </c>
      <c r="D19" s="149">
        <f>IFERROR(VLOOKUP(GERAL_PROJ[[#This Row],[PONTO]],Tabela13[],2,0),"")</f>
        <v>0</v>
      </c>
      <c r="E19" s="149">
        <f>IFERROR(VLOOKUP(GERAL_PROJ[[#This Row],[PONTO]],Tabela13[],3,0),"")</f>
        <v>0</v>
      </c>
      <c r="F19" s="112">
        <f>IFERROR(VLOOKUP(GERAL_PROJ[[#This Row],[PONTO]],RAMAIS_ATUAL,24,0),"")</f>
        <v>0</v>
      </c>
      <c r="G19" s="112">
        <f>IFERROR(SUMIF(GERAL_PROJ[TRECHO],GERAL_PROJ[[#This Row],[PONTO]],GERAL_PROJ[CLT ACUMULADO])+GERAL_PROJ[[#This Row],[CLIENTES]],"")</f>
        <v>4</v>
      </c>
      <c r="H19" s="55">
        <f>IFERROR(VLOOKUP(GERAL_PROJ[[#This Row],[PONTO]],RAMAIS_ATUAL,IF($I$2="SIM",25,23),0),"")</f>
        <v>0</v>
      </c>
      <c r="I19" s="55">
        <f>IFERROR(IF(TRIM(UPPER($I$2))="SIM",
      VLOOKUP(GERAL_PROJ[[#This Row],[CLT ACUMULADO]],AUX_CLAN,4,FALSE),
      SUMIF(GERAL_PROJ[TRECHO],GERAL_PROJ[[#This Row],[PONTO]],GERAL_PROJ[ACUMULADA])+GERAL_PROJ[[#This Row],[TOTAL DO TRECHO]]),
"")</f>
        <v>7.2943999999999996</v>
      </c>
      <c r="J19" s="55">
        <f>IFERROR(SQRT((GERAL_PROJ[[#This Row],[X]]-$P$11)^2+(GERAL_PROJ[[#This Row],[Y]]-$P$12)^2),"")</f>
        <v>0</v>
      </c>
      <c r="K19" s="130" t="s">
        <v>310</v>
      </c>
      <c r="L19" s="132" t="s">
        <v>6</v>
      </c>
      <c r="M19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>IGNORADO</v>
      </c>
      <c r="O19" s="206"/>
      <c r="P19" s="206"/>
      <c r="Q19" s="141" t="s">
        <v>43</v>
      </c>
      <c r="R19" s="141" t="s">
        <v>35</v>
      </c>
    </row>
    <row r="20" spans="1:18" hidden="1" x14ac:dyDescent="0.3">
      <c r="A20" s="130">
        <v>1</v>
      </c>
      <c r="B20" s="130">
        <v>2</v>
      </c>
      <c r="C20" s="130">
        <v>40</v>
      </c>
      <c r="D20" s="149">
        <f>IFERROR(VLOOKUP(GERAL_PROJ[[#This Row],[PONTO]],Tabela13[],2,0),"")</f>
        <v>0</v>
      </c>
      <c r="E20" s="149">
        <f>IFERROR(VLOOKUP(GERAL_PROJ[[#This Row],[PONTO]],Tabela13[],3,0),"")</f>
        <v>0</v>
      </c>
      <c r="F20" s="112">
        <f>IFERROR(VLOOKUP(GERAL_PROJ[[#This Row],[PONTO]],RAMAIS_ATUAL,24,0),"")</f>
        <v>4</v>
      </c>
      <c r="G20" s="112">
        <f>IFERROR(SUMIF(GERAL_PROJ[TRECHO],GERAL_PROJ[[#This Row],[PONTO]],GERAL_PROJ[CLT ACUMULADO])+GERAL_PROJ[[#This Row],[CLIENTES]],"")</f>
        <v>4</v>
      </c>
      <c r="H20" s="55">
        <f>IFERROR(VLOOKUP(GERAL_PROJ[[#This Row],[PONTO]],RAMAIS_ATUAL,IF($I$2="SIM",25,23),0),"")</f>
        <v>7.2943999999999996</v>
      </c>
      <c r="I20" s="55">
        <f>IFERROR(IF(TRIM(UPPER($I$2))="SIM",
      VLOOKUP(GERAL_PROJ[[#This Row],[CLT ACUMULADO]],AUX_CLAN,4,FALSE),
      SUMIF(GERAL_PROJ[TRECHO],GERAL_PROJ[[#This Row],[PONTO]],GERAL_PROJ[ACUMULADA])+GERAL_PROJ[[#This Row],[TOTAL DO TRECHO]]),
"")</f>
        <v>7.2943999999999996</v>
      </c>
      <c r="J20" s="55">
        <f>IFERROR(SQRT((GERAL_PROJ[[#This Row],[X]]-$P$11)^2+(GERAL_PROJ[[#This Row],[Y]]-$P$12)^2),"")</f>
        <v>0</v>
      </c>
      <c r="K20" s="130" t="s">
        <v>310</v>
      </c>
      <c r="L20" s="132" t="s">
        <v>6</v>
      </c>
      <c r="M20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>IGNORADO</v>
      </c>
      <c r="O20" s="207">
        <f>O25/400</f>
        <v>0.21249999999999999</v>
      </c>
      <c r="P20" s="203"/>
      <c r="Q20" s="141" t="s">
        <v>43</v>
      </c>
      <c r="R20" s="141" t="s">
        <v>35</v>
      </c>
    </row>
    <row r="21" spans="1:18" s="6" customFormat="1" x14ac:dyDescent="0.3">
      <c r="A21" s="130"/>
      <c r="B21" s="130"/>
      <c r="C21" s="130"/>
      <c r="D21" s="149" t="str">
        <f>IFERROR(VLOOKUP(GERAL_PROJ[[#This Row],[PONTO]],Tabela13[],2,0),"")</f>
        <v/>
      </c>
      <c r="E21" s="149" t="str">
        <f>IFERROR(VLOOKUP(GERAL_PROJ[[#This Row],[PONTO]],Tabela13[],3,0),"")</f>
        <v/>
      </c>
      <c r="F21" s="112" t="str">
        <f>IFERROR(VLOOKUP(GERAL_PROJ[[#This Row],[PONTO]],RAMAIS_ATUAL,24,0),"")</f>
        <v/>
      </c>
      <c r="G21" s="112" t="str">
        <f>IFERROR(SUMIF(GERAL_PROJ[TRECHO],GERAL_PROJ[[#This Row],[PONTO]],GERAL_PROJ[CLT ACUMULADO])+GERAL_PROJ[[#This Row],[CLIENTES]],"")</f>
        <v/>
      </c>
      <c r="H21" s="55" t="str">
        <f>IFERROR(VLOOKUP(GERAL_PROJ[[#This Row],[PONTO]],RAMAIS_ATUAL,IF($I$2="SIM",25,23),0),"")</f>
        <v/>
      </c>
      <c r="I21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1" s="55" t="str">
        <f>IFERROR(SQRT((GERAL_PROJ[[#This Row],[X]]-$P$11)^2+(GERAL_PROJ[[#This Row],[Y]]-$P$12)^2),"")</f>
        <v/>
      </c>
      <c r="K21" s="130"/>
      <c r="L21" s="132"/>
      <c r="M21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21" s="212" t="s">
        <v>49</v>
      </c>
      <c r="P21" s="213"/>
      <c r="Q21" s="141" t="s">
        <v>43</v>
      </c>
      <c r="R21" s="141" t="s">
        <v>35</v>
      </c>
    </row>
    <row r="22" spans="1:18" x14ac:dyDescent="0.3">
      <c r="A22" s="130"/>
      <c r="B22" s="130"/>
      <c r="C22" s="130"/>
      <c r="D22" s="149" t="str">
        <f>IFERROR(VLOOKUP(GERAL_PROJ[[#This Row],[PONTO]],Tabela13[],2,0),"")</f>
        <v/>
      </c>
      <c r="E22" s="149" t="str">
        <f>IFERROR(VLOOKUP(GERAL_PROJ[[#This Row],[PONTO]],Tabela13[],3,0),"")</f>
        <v/>
      </c>
      <c r="F22" s="112" t="str">
        <f>IFERROR(VLOOKUP(GERAL_PROJ[[#This Row],[PONTO]],RAMAIS_ATUAL,24,0),"")</f>
        <v/>
      </c>
      <c r="G22" s="112" t="str">
        <f>IFERROR(SUMIF(GERAL_PROJ[TRECHO],GERAL_PROJ[[#This Row],[PONTO]],GERAL_PROJ[CLT ACUMULADO])+GERAL_PROJ[[#This Row],[CLIENTES]],"")</f>
        <v/>
      </c>
      <c r="H22" s="55" t="str">
        <f>IFERROR(VLOOKUP(GERAL_PROJ[[#This Row],[PONTO]],RAMAIS_ATUAL,IF($I$2="SIM",25,23),0),"")</f>
        <v/>
      </c>
      <c r="I22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2" s="55" t="str">
        <f>IFERROR(SQRT((GERAL_PROJ[[#This Row],[X]]-$P$11)^2+(GERAL_PROJ[[#This Row],[Y]]-$P$12)^2),"")</f>
        <v/>
      </c>
      <c r="K22" s="130"/>
      <c r="L22" s="132"/>
      <c r="M22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Q22" s="141" t="s">
        <v>48</v>
      </c>
      <c r="R22" s="141" t="s">
        <v>35</v>
      </c>
    </row>
    <row r="23" spans="1:18" s="6" customFormat="1" x14ac:dyDescent="0.3">
      <c r="A23" s="130"/>
      <c r="B23" s="130"/>
      <c r="C23" s="130"/>
      <c r="D23" s="149" t="str">
        <f>IFERROR(VLOOKUP(GERAL_PROJ[[#This Row],[PONTO]],Tabela13[],2,0),"")</f>
        <v/>
      </c>
      <c r="E23" s="149" t="str">
        <f>IFERROR(VLOOKUP(GERAL_PROJ[[#This Row],[PONTO]],Tabela13[],3,0),"")</f>
        <v/>
      </c>
      <c r="F23" s="112" t="str">
        <f>IFERROR(VLOOKUP(GERAL_PROJ[[#This Row],[PONTO]],RAMAIS_ATUAL,24,0),"")</f>
        <v/>
      </c>
      <c r="G23" s="112" t="str">
        <f>IFERROR(SUMIF(GERAL_PROJ[TRECHO],GERAL_PROJ[[#This Row],[PONTO]],GERAL_PROJ[CLT ACUMULADO])+GERAL_PROJ[[#This Row],[CLIENTES]],"")</f>
        <v/>
      </c>
      <c r="H23" s="55" t="str">
        <f>IFERROR(VLOOKUP(GERAL_PROJ[[#This Row],[PONTO]],RAMAIS_ATUAL,IF($I$2="SIM",25,23),0),"")</f>
        <v/>
      </c>
      <c r="I23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3" s="55" t="str">
        <f>IFERROR(SQRT((GERAL_PROJ[[#This Row],[X]]-$P$11)^2+(GERAL_PROJ[[#This Row],[Y]]-$P$12)^2),"")</f>
        <v/>
      </c>
      <c r="K23" s="130"/>
      <c r="L23" s="132"/>
      <c r="M23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23" s="204" t="s">
        <v>52</v>
      </c>
      <c r="P23" s="205"/>
      <c r="Q23" s="141" t="s">
        <v>51</v>
      </c>
      <c r="R23" s="141" t="s">
        <v>35</v>
      </c>
    </row>
    <row r="24" spans="1:18" x14ac:dyDescent="0.3">
      <c r="A24" s="130"/>
      <c r="B24" s="130"/>
      <c r="C24" s="130"/>
      <c r="D24" s="149" t="str">
        <f>IFERROR(VLOOKUP(GERAL_PROJ[[#This Row],[PONTO]],Tabela13[],2,0),"")</f>
        <v/>
      </c>
      <c r="E24" s="149" t="str">
        <f>IFERROR(VLOOKUP(GERAL_PROJ[[#This Row],[PONTO]],Tabela13[],3,0),"")</f>
        <v/>
      </c>
      <c r="F24" s="112" t="str">
        <f>IFERROR(VLOOKUP(GERAL_PROJ[[#This Row],[PONTO]],RAMAIS_ATUAL,24,0),"")</f>
        <v/>
      </c>
      <c r="G24" s="112" t="str">
        <f>IFERROR(SUMIF(GERAL_PROJ[TRECHO],GERAL_PROJ[[#This Row],[PONTO]],GERAL_PROJ[CLT ACUMULADO])+GERAL_PROJ[[#This Row],[CLIENTES]],"")</f>
        <v/>
      </c>
      <c r="H24" s="55" t="str">
        <f>IFERROR(VLOOKUP(GERAL_PROJ[[#This Row],[PONTO]],RAMAIS_ATUAL,IF($I$2="SIM",25,23),0),"")</f>
        <v/>
      </c>
      <c r="I24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4" s="55" t="str">
        <f>IFERROR(SQRT((GERAL_PROJ[[#This Row],[X]]-$P$11)^2+(GERAL_PROJ[[#This Row],[Y]]-$P$12)^2),"")</f>
        <v/>
      </c>
      <c r="K24" s="130"/>
      <c r="L24" s="132"/>
      <c r="M24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24" s="206"/>
      <c r="P24" s="206"/>
    </row>
    <row r="25" spans="1:18" x14ac:dyDescent="0.3">
      <c r="A25" s="130"/>
      <c r="B25" s="130"/>
      <c r="C25" s="130"/>
      <c r="D25" s="150" t="str">
        <f>IFERROR(VLOOKUP(GERAL_PROJ[[#This Row],[PONTO]],Tabela13[],2,0),"")</f>
        <v/>
      </c>
      <c r="E25" s="150" t="str">
        <f>IFERROR(VLOOKUP(GERAL_PROJ[[#This Row],[PONTO]],Tabela13[],3,0),"")</f>
        <v/>
      </c>
      <c r="F25" s="112" t="str">
        <f>IFERROR(VLOOKUP(GERAL_PROJ[[#This Row],[PONTO]],RAMAIS_ATUAL,24,0),"")</f>
        <v/>
      </c>
      <c r="G25" s="112" t="str">
        <f>IFERROR(SUMIF(GERAL_PROJ[TRECHO],GERAL_PROJ[[#This Row],[PONTO]],GERAL_PROJ[CLT ACUMULADO])+GERAL_PROJ[[#This Row],[CLIENTES]],"")</f>
        <v/>
      </c>
      <c r="H25" s="55" t="str">
        <f>IFERROR(VLOOKUP(GERAL_PROJ[[#This Row],[PONTO]],RAMAIS_ATUAL,IF($I$2="SIM",25,23),0),"")</f>
        <v/>
      </c>
      <c r="I25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5" s="55" t="str">
        <f>IFERROR(SQRT((GERAL_PROJ[[#This Row],[X]]-$P$11)^2+(GERAL_PROJ[[#This Row],[Y]]-$P$12)^2),"")</f>
        <v/>
      </c>
      <c r="K25" s="130"/>
      <c r="L25" s="132"/>
      <c r="M25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25" s="211">
        <f>SUM(GERAL_PROJ[M])</f>
        <v>85</v>
      </c>
      <c r="P25" s="203"/>
    </row>
    <row r="26" spans="1:18" x14ac:dyDescent="0.3">
      <c r="A26" s="130"/>
      <c r="B26" s="130"/>
      <c r="C26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26" s="150" t="str">
        <f>IFERROR(VLOOKUP(GERAL_PROJ[[#This Row],[PONTO]],Tabela13[],2,0),"")</f>
        <v/>
      </c>
      <c r="E26" s="150" t="str">
        <f>IFERROR(VLOOKUP(GERAL_PROJ[[#This Row],[PONTO]],Tabela13[],3,0),"")</f>
        <v/>
      </c>
      <c r="F26" s="112" t="str">
        <f>IFERROR(VLOOKUP(GERAL_PROJ[[#This Row],[PONTO]],RAMAIS_ATUAL,24,0),"")</f>
        <v/>
      </c>
      <c r="G26" s="112" t="str">
        <f>IFERROR(SUMIF(GERAL_PROJ[TRECHO],GERAL_PROJ[[#This Row],[PONTO]],GERAL_PROJ[CLT ACUMULADO])+GERAL_PROJ[[#This Row],[CLIENTES]],"")</f>
        <v/>
      </c>
      <c r="H26" s="55" t="str">
        <f>IFERROR(VLOOKUP(GERAL_PROJ[[#This Row],[PONTO]],RAMAIS_ATUAL,IF($I$2="SIM",25,23),0),"")</f>
        <v/>
      </c>
      <c r="I26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6" s="55" t="str">
        <f>IFERROR(SQRT((GERAL_PROJ[[#This Row],[X]]-$P$11)^2+(GERAL_PROJ[[#This Row],[Y]]-$P$12)^2),"")</f>
        <v/>
      </c>
      <c r="K26" s="130"/>
      <c r="L26" s="132"/>
      <c r="M26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27" spans="1:18" x14ac:dyDescent="0.3">
      <c r="A27" s="130"/>
      <c r="B27" s="130"/>
      <c r="C27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27" s="150" t="str">
        <f>IFERROR(VLOOKUP(GERAL_PROJ[[#This Row],[PONTO]],Tabela13[],2,0),"")</f>
        <v/>
      </c>
      <c r="E27" s="150" t="str">
        <f>IFERROR(VLOOKUP(GERAL_PROJ[[#This Row],[PONTO]],Tabela13[],3,0),"")</f>
        <v/>
      </c>
      <c r="F27" s="112" t="str">
        <f>IFERROR(VLOOKUP(GERAL_PROJ[[#This Row],[PONTO]],RAMAIS_ATUAL,24,0),"")</f>
        <v/>
      </c>
      <c r="G27" s="112" t="str">
        <f>IFERROR(SUMIF(GERAL_PROJ[TRECHO],GERAL_PROJ[[#This Row],[PONTO]],GERAL_PROJ[CLT ACUMULADO])+GERAL_PROJ[[#This Row],[CLIENTES]],"")</f>
        <v/>
      </c>
      <c r="H27" s="55" t="str">
        <f>IFERROR(VLOOKUP(GERAL_PROJ[[#This Row],[PONTO]],RAMAIS_ATUAL,IF($I$2="SIM",25,23),0),"")</f>
        <v/>
      </c>
      <c r="I27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7" s="55" t="str">
        <f>IFERROR(SQRT((GERAL_PROJ[[#This Row],[X]]-$P$11)^2+(GERAL_PROJ[[#This Row],[Y]]-$P$12)^2),"")</f>
        <v/>
      </c>
      <c r="K27" s="130"/>
      <c r="L27" s="132"/>
      <c r="M27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27" s="204" t="s">
        <v>53</v>
      </c>
      <c r="P27" s="205"/>
      <c r="R27" s="59">
        <f>70/(1-6%)</f>
        <v>74.468085106382986</v>
      </c>
    </row>
    <row r="28" spans="1:18" x14ac:dyDescent="0.3">
      <c r="A28" s="130"/>
      <c r="B28" s="130"/>
      <c r="C28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28" s="150" t="str">
        <f>IFERROR(VLOOKUP(GERAL_PROJ[[#This Row],[PONTO]],Tabela13[],2,0),"")</f>
        <v/>
      </c>
      <c r="E28" s="150" t="str">
        <f>IFERROR(VLOOKUP(GERAL_PROJ[[#This Row],[PONTO]],Tabela13[],3,0),"")</f>
        <v/>
      </c>
      <c r="F28" s="112" t="str">
        <f>IFERROR(VLOOKUP(GERAL_PROJ[[#This Row],[PONTO]],RAMAIS_ATUAL,24,0),"")</f>
        <v/>
      </c>
      <c r="G28" s="112" t="str">
        <f>IFERROR(SUMIF(GERAL_PROJ[TRECHO],GERAL_PROJ[[#This Row],[PONTO]],GERAL_PROJ[CLT ACUMULADO])+GERAL_PROJ[[#This Row],[CLIENTES]],"")</f>
        <v/>
      </c>
      <c r="H28" s="55" t="str">
        <f>IFERROR(VLOOKUP(GERAL_PROJ[[#This Row],[PONTO]],RAMAIS_ATUAL,IF($I$2="SIM",25,23),0),"")</f>
        <v/>
      </c>
      <c r="I28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8" s="55" t="str">
        <f>IFERROR(SQRT((GERAL_PROJ[[#This Row],[X]]-$P$11)^2+(GERAL_PROJ[[#This Row],[Y]]-$P$12)^2),"")</f>
        <v/>
      </c>
      <c r="K28" s="130"/>
      <c r="L28" s="132"/>
      <c r="M28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28" s="206"/>
      <c r="P28" s="206"/>
    </row>
    <row r="29" spans="1:18" x14ac:dyDescent="0.3">
      <c r="A29" s="130"/>
      <c r="B29" s="130"/>
      <c r="C29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29" s="150" t="str">
        <f>IFERROR(VLOOKUP(GERAL_PROJ[[#This Row],[PONTO]],Tabela13[],2,0),"")</f>
        <v/>
      </c>
      <c r="E29" s="150" t="str">
        <f>IFERROR(VLOOKUP(GERAL_PROJ[[#This Row],[PONTO]],Tabela13[],3,0),"")</f>
        <v/>
      </c>
      <c r="F29" s="112" t="str">
        <f>IFERROR(VLOOKUP(GERAL_PROJ[[#This Row],[PONTO]],RAMAIS_ATUAL,24,0),"")</f>
        <v/>
      </c>
      <c r="G29" s="112" t="str">
        <f>IFERROR(SUMIF(GERAL_PROJ[TRECHO],GERAL_PROJ[[#This Row],[PONTO]],GERAL_PROJ[CLT ACUMULADO])+GERAL_PROJ[[#This Row],[CLIENTES]],"")</f>
        <v/>
      </c>
      <c r="H29" s="55" t="str">
        <f>IFERROR(VLOOKUP(GERAL_PROJ[[#This Row],[PONTO]],RAMAIS_ATUAL,IF($I$2="SIM",25,23),0),"")</f>
        <v/>
      </c>
      <c r="I29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29" s="55" t="str">
        <f>IFERROR(SQRT((GERAL_PROJ[[#This Row],[X]]-$P$11)^2+(GERAL_PROJ[[#This Row],[Y]]-$P$12)^2),"")</f>
        <v/>
      </c>
      <c r="K29" s="130"/>
      <c r="L29" s="132"/>
      <c r="M29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29" s="202">
        <f>DMDI</f>
        <v>1.88</v>
      </c>
      <c r="P29" s="203"/>
    </row>
    <row r="30" spans="1:18" x14ac:dyDescent="0.3">
      <c r="A30" s="130"/>
      <c r="B30" s="130"/>
      <c r="C30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0" s="150" t="str">
        <f>IFERROR(VLOOKUP(GERAL_PROJ[[#This Row],[PONTO]],Tabela13[],2,0),"")</f>
        <v/>
      </c>
      <c r="E30" s="150" t="str">
        <f>IFERROR(VLOOKUP(GERAL_PROJ[[#This Row],[PONTO]],Tabela13[],3,0),"")</f>
        <v/>
      </c>
      <c r="F30" s="112" t="str">
        <f>IFERROR(VLOOKUP(GERAL_PROJ[[#This Row],[PONTO]],RAMAIS_ATUAL,24,0),"")</f>
        <v/>
      </c>
      <c r="G30" s="112" t="str">
        <f>IFERROR(SUMIF(GERAL_PROJ[TRECHO],GERAL_PROJ[[#This Row],[PONTO]],GERAL_PROJ[CLT ACUMULADO])+GERAL_PROJ[[#This Row],[CLIENTES]],"")</f>
        <v/>
      </c>
      <c r="H30" s="55" t="str">
        <f>IFERROR(VLOOKUP(GERAL_PROJ[[#This Row],[PONTO]],RAMAIS_ATUAL,IF($I$2="SIM",25,23),0),"")</f>
        <v/>
      </c>
      <c r="I30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0" s="55" t="str">
        <f>IFERROR(SQRT((GERAL_PROJ[[#This Row],[X]]-$P$11)^2+(GERAL_PROJ[[#This Row],[Y]]-$P$12)^2),"")</f>
        <v/>
      </c>
      <c r="K30" s="130"/>
      <c r="L30" s="132"/>
      <c r="M30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31" spans="1:18" x14ac:dyDescent="0.3">
      <c r="A31" s="130"/>
      <c r="B31" s="130"/>
      <c r="C31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1" s="150" t="str">
        <f>IFERROR(VLOOKUP(GERAL_PROJ[[#This Row],[PONTO]],Tabela13[],2,0),"")</f>
        <v/>
      </c>
      <c r="E31" s="150" t="str">
        <f>IFERROR(VLOOKUP(GERAL_PROJ[[#This Row],[PONTO]],Tabela13[],3,0),"")</f>
        <v/>
      </c>
      <c r="F31" s="112" t="str">
        <f>IFERROR(VLOOKUP(GERAL_PROJ[[#This Row],[PONTO]],RAMAIS_ATUAL,24,0),"")</f>
        <v/>
      </c>
      <c r="G31" s="112" t="str">
        <f>IFERROR(SUMIF(GERAL_PROJ[TRECHO],GERAL_PROJ[[#This Row],[PONTO]],GERAL_PROJ[CLT ACUMULADO])+GERAL_PROJ[[#This Row],[CLIENTES]],"")</f>
        <v/>
      </c>
      <c r="H31" s="55" t="str">
        <f>IFERROR(VLOOKUP(GERAL_PROJ[[#This Row],[PONTO]],RAMAIS_ATUAL,IF($I$2="SIM",25,23),0),"")</f>
        <v/>
      </c>
      <c r="I31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1" s="55" t="str">
        <f>IFERROR(SQRT((GERAL_PROJ[[#This Row],[X]]-$P$11)^2+(GERAL_PROJ[[#This Row],[Y]]-$P$12)^2),"")</f>
        <v/>
      </c>
      <c r="K31" s="130"/>
      <c r="L31" s="132"/>
      <c r="M31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31" s="14" t="s">
        <v>2</v>
      </c>
      <c r="P31" s="91" t="str">
        <f>VLOOKUP("RAMAL",ESQ_PROJ1[[PONTO]:[ETA]],16,0)</f>
        <v/>
      </c>
    </row>
    <row r="32" spans="1:18" x14ac:dyDescent="0.3">
      <c r="A32" s="130"/>
      <c r="B32" s="130"/>
      <c r="C32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2" s="150" t="str">
        <f>IFERROR(VLOOKUP(GERAL_PROJ[[#This Row],[PONTO]],Tabela13[],2,0),"")</f>
        <v/>
      </c>
      <c r="E32" s="150" t="str">
        <f>IFERROR(VLOOKUP(GERAL_PROJ[[#This Row],[PONTO]],Tabela13[],3,0),"")</f>
        <v/>
      </c>
      <c r="F32" s="112" t="str">
        <f>IFERROR(VLOOKUP(GERAL_PROJ[[#This Row],[PONTO]],RAMAIS_ATUAL,24,0),"")</f>
        <v/>
      </c>
      <c r="G32" s="112" t="str">
        <f>IFERROR(SUMIF(GERAL_PROJ[TRECHO],GERAL_PROJ[[#This Row],[PONTO]],GERAL_PROJ[CLT ACUMULADO])+GERAL_PROJ[[#This Row],[CLIENTES]],"")</f>
        <v/>
      </c>
      <c r="H32" s="55" t="str">
        <f>IFERROR(VLOOKUP(GERAL_PROJ[[#This Row],[PONTO]],RAMAIS_ATUAL,IF($I$2="SIM",25,23),0),"")</f>
        <v/>
      </c>
      <c r="I32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2" s="55" t="str">
        <f>IFERROR(SQRT((GERAL_PROJ[[#This Row],[X]]-$P$11)^2+(GERAL_PROJ[[#This Row],[Y]]-$P$12)^2),"")</f>
        <v/>
      </c>
      <c r="K32" s="130"/>
      <c r="L32" s="132"/>
      <c r="M32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  <c r="O32" s="14" t="s">
        <v>7</v>
      </c>
      <c r="P32" s="91" t="str">
        <f>VLOOKUP("RAMAL",Tabela71020[[PONTO]:[ETA]],16,0)</f>
        <v/>
      </c>
    </row>
    <row r="33" spans="1:13" x14ac:dyDescent="0.3">
      <c r="A33" s="130"/>
      <c r="B33" s="130"/>
      <c r="C33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3" s="150" t="str">
        <f>IFERROR(VLOOKUP(GERAL_PROJ[[#This Row],[PONTO]],Tabela13[],2,0),"")</f>
        <v/>
      </c>
      <c r="E33" s="150" t="str">
        <f>IFERROR(VLOOKUP(GERAL_PROJ[[#This Row],[PONTO]],Tabela13[],3,0),"")</f>
        <v/>
      </c>
      <c r="F33" s="112" t="str">
        <f>IFERROR(VLOOKUP(GERAL_PROJ[[#This Row],[PONTO]],RAMAIS_ATUAL,24,0),"")</f>
        <v/>
      </c>
      <c r="G33" s="112" t="str">
        <f>IFERROR(SUMIF(GERAL_PROJ[TRECHO],GERAL_PROJ[[#This Row],[PONTO]],GERAL_PROJ[CLT ACUMULADO])+GERAL_PROJ[[#This Row],[CLIENTES]],"")</f>
        <v/>
      </c>
      <c r="H33" s="55" t="str">
        <f>IFERROR(VLOOKUP(GERAL_PROJ[[#This Row],[PONTO]],RAMAIS_ATUAL,IF($I$2="SIM",25,23),0),"")</f>
        <v/>
      </c>
      <c r="I33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3" s="55" t="str">
        <f>IFERROR(SQRT((GERAL_PROJ[[#This Row],[X]]-$P$11)^2+(GERAL_PROJ[[#This Row],[Y]]-$P$12)^2),"")</f>
        <v/>
      </c>
      <c r="K33" s="130"/>
      <c r="L33" s="132"/>
      <c r="M33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34" spans="1:13" x14ac:dyDescent="0.3">
      <c r="A34" s="130"/>
      <c r="B34" s="130"/>
      <c r="C34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4" s="150" t="str">
        <f>IFERROR(VLOOKUP(GERAL_PROJ[[#This Row],[PONTO]],Tabela13[],2,0),"")</f>
        <v/>
      </c>
      <c r="E34" s="150" t="str">
        <f>IFERROR(VLOOKUP(GERAL_PROJ[[#This Row],[PONTO]],Tabela13[],3,0),"")</f>
        <v/>
      </c>
      <c r="F34" s="112" t="str">
        <f>IFERROR(VLOOKUP(GERAL_PROJ[[#This Row],[PONTO]],RAMAIS_ATUAL,24,0),"")</f>
        <v/>
      </c>
      <c r="G34" s="112" t="str">
        <f>IFERROR(SUMIF(GERAL_PROJ[TRECHO],GERAL_PROJ[[#This Row],[PONTO]],GERAL_PROJ[CLT ACUMULADO])+GERAL_PROJ[[#This Row],[CLIENTES]],"")</f>
        <v/>
      </c>
      <c r="H34" s="55" t="str">
        <f>IFERROR(VLOOKUP(GERAL_PROJ[[#This Row],[PONTO]],RAMAIS_ATUAL,IF($I$2="SIM",25,23),0),"")</f>
        <v/>
      </c>
      <c r="I34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4" s="55" t="str">
        <f>IFERROR(SQRT((GERAL_PROJ[[#This Row],[X]]-$P$11)^2+(GERAL_PROJ[[#This Row],[Y]]-$P$12)^2),"")</f>
        <v/>
      </c>
      <c r="K34" s="130"/>
      <c r="L34" s="132"/>
      <c r="M34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35" spans="1:13" x14ac:dyDescent="0.3">
      <c r="A35" s="130"/>
      <c r="B35" s="130"/>
      <c r="C35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5" s="150" t="str">
        <f>IFERROR(VLOOKUP(GERAL_PROJ[[#This Row],[PONTO]],Tabela13[],2,0),"")</f>
        <v/>
      </c>
      <c r="E35" s="150" t="str">
        <f>IFERROR(VLOOKUP(GERAL_PROJ[[#This Row],[PONTO]],Tabela13[],3,0),"")</f>
        <v/>
      </c>
      <c r="F35" s="112" t="str">
        <f>IFERROR(VLOOKUP(GERAL_PROJ[[#This Row],[PONTO]],RAMAIS_ATUAL,24,0),"")</f>
        <v/>
      </c>
      <c r="G35" s="112" t="str">
        <f>IFERROR(SUMIF(GERAL_PROJ[TRECHO],GERAL_PROJ[[#This Row],[PONTO]],GERAL_PROJ[CLT ACUMULADO])+GERAL_PROJ[[#This Row],[CLIENTES]],"")</f>
        <v/>
      </c>
      <c r="H35" s="55" t="str">
        <f>IFERROR(VLOOKUP(GERAL_PROJ[[#This Row],[PONTO]],RAMAIS_ATUAL,IF($I$2="SIM",25,23),0),"")</f>
        <v/>
      </c>
      <c r="I35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5" s="55" t="str">
        <f>IFERROR(SQRT((GERAL_PROJ[[#This Row],[X]]-$P$11)^2+(GERAL_PROJ[[#This Row],[Y]]-$P$12)^2),"")</f>
        <v/>
      </c>
      <c r="K35" s="130"/>
      <c r="L35" s="132"/>
      <c r="M35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36" spans="1:13" x14ac:dyDescent="0.3">
      <c r="A36" s="130"/>
      <c r="B36" s="130"/>
      <c r="C36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6" s="150" t="str">
        <f>IFERROR(VLOOKUP(GERAL_PROJ[[#This Row],[PONTO]],Tabela13[],2,0),"")</f>
        <v/>
      </c>
      <c r="E36" s="150" t="str">
        <f>IFERROR(VLOOKUP(GERAL_PROJ[[#This Row],[PONTO]],Tabela13[],3,0),"")</f>
        <v/>
      </c>
      <c r="F36" s="112" t="str">
        <f>IFERROR(VLOOKUP(GERAL_PROJ[[#This Row],[PONTO]],RAMAIS_ATUAL,24,0),"")</f>
        <v/>
      </c>
      <c r="G36" s="112" t="str">
        <f>IFERROR(SUMIF(GERAL_PROJ[TRECHO],GERAL_PROJ[[#This Row],[PONTO]],GERAL_PROJ[CLT ACUMULADO])+GERAL_PROJ[[#This Row],[CLIENTES]],"")</f>
        <v/>
      </c>
      <c r="H36" s="55" t="str">
        <f>IFERROR(VLOOKUP(GERAL_PROJ[[#This Row],[PONTO]],RAMAIS_ATUAL,IF($I$2="SIM",25,23),0),"")</f>
        <v/>
      </c>
      <c r="I36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6" s="55" t="str">
        <f>IFERROR(SQRT((GERAL_PROJ[[#This Row],[X]]-$P$11)^2+(GERAL_PROJ[[#This Row],[Y]]-$P$12)^2),"")</f>
        <v/>
      </c>
      <c r="K36" s="130"/>
      <c r="L36" s="132"/>
      <c r="M36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37" spans="1:13" x14ac:dyDescent="0.3">
      <c r="A37" s="130"/>
      <c r="B37" s="130"/>
      <c r="C37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7" s="150" t="str">
        <f>IFERROR(VLOOKUP(GERAL_PROJ[[#This Row],[PONTO]],Tabela13[],2,0),"")</f>
        <v/>
      </c>
      <c r="E37" s="150" t="str">
        <f>IFERROR(VLOOKUP(GERAL_PROJ[[#This Row],[PONTO]],Tabela13[],3,0),"")</f>
        <v/>
      </c>
      <c r="F37" s="112" t="str">
        <f>IFERROR(VLOOKUP(GERAL_PROJ[[#This Row],[PONTO]],RAMAIS_ATUAL,24,0),"")</f>
        <v/>
      </c>
      <c r="G37" s="112" t="str">
        <f>IFERROR(SUMIF(GERAL_PROJ[TRECHO],GERAL_PROJ[[#This Row],[PONTO]],GERAL_PROJ[CLT ACUMULADO])+GERAL_PROJ[[#This Row],[CLIENTES]],"")</f>
        <v/>
      </c>
      <c r="H37" s="55" t="str">
        <f>IFERROR(VLOOKUP(GERAL_PROJ[[#This Row],[PONTO]],RAMAIS_ATUAL,IF($I$2="SIM",25,23),0),"")</f>
        <v/>
      </c>
      <c r="I37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7" s="55" t="str">
        <f>IFERROR(SQRT((GERAL_PROJ[[#This Row],[X]]-$P$11)^2+(GERAL_PROJ[[#This Row],[Y]]-$P$12)^2),"")</f>
        <v/>
      </c>
      <c r="K37" s="130"/>
      <c r="L37" s="132"/>
      <c r="M37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38" spans="1:13" x14ac:dyDescent="0.3">
      <c r="A38" s="130"/>
      <c r="B38" s="130"/>
      <c r="C38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8" s="150" t="str">
        <f>IFERROR(VLOOKUP(GERAL_PROJ[[#This Row],[PONTO]],Tabela13[],2,0),"")</f>
        <v/>
      </c>
      <c r="E38" s="150" t="str">
        <f>IFERROR(VLOOKUP(GERAL_PROJ[[#This Row],[PONTO]],Tabela13[],3,0),"")</f>
        <v/>
      </c>
      <c r="F38" s="112" t="str">
        <f>IFERROR(VLOOKUP(GERAL_PROJ[[#This Row],[PONTO]],RAMAIS_ATUAL,24,0),"")</f>
        <v/>
      </c>
      <c r="G38" s="112" t="str">
        <f>IFERROR(SUMIF(GERAL_PROJ[TRECHO],GERAL_PROJ[[#This Row],[PONTO]],GERAL_PROJ[CLT ACUMULADO])+GERAL_PROJ[[#This Row],[CLIENTES]],"")</f>
        <v/>
      </c>
      <c r="H38" s="55" t="str">
        <f>IFERROR(VLOOKUP(GERAL_PROJ[[#This Row],[PONTO]],RAMAIS_ATUAL,IF($I$2="SIM",25,23),0),"")</f>
        <v/>
      </c>
      <c r="I38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8" s="55" t="str">
        <f>IFERROR(SQRT((GERAL_PROJ[[#This Row],[X]]-$P$11)^2+(GERAL_PROJ[[#This Row],[Y]]-$P$12)^2),"")</f>
        <v/>
      </c>
      <c r="K38" s="130"/>
      <c r="L38" s="132"/>
      <c r="M38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39" spans="1:13" x14ac:dyDescent="0.3">
      <c r="A39" s="130"/>
      <c r="B39" s="130"/>
      <c r="C39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39" s="150" t="str">
        <f>IFERROR(VLOOKUP(GERAL_PROJ[[#This Row],[PONTO]],Tabela13[],2,0),"")</f>
        <v/>
      </c>
      <c r="E39" s="150" t="str">
        <f>IFERROR(VLOOKUP(GERAL_PROJ[[#This Row],[PONTO]],Tabela13[],3,0),"")</f>
        <v/>
      </c>
      <c r="F39" s="112" t="str">
        <f>IFERROR(VLOOKUP(GERAL_PROJ[[#This Row],[PONTO]],RAMAIS_ATUAL,24,0),"")</f>
        <v/>
      </c>
      <c r="G39" s="112" t="str">
        <f>IFERROR(SUMIF(GERAL_PROJ[TRECHO],GERAL_PROJ[[#This Row],[PONTO]],GERAL_PROJ[CLT ACUMULADO])+GERAL_PROJ[[#This Row],[CLIENTES]],"")</f>
        <v/>
      </c>
      <c r="H39" s="55" t="str">
        <f>IFERROR(VLOOKUP(GERAL_PROJ[[#This Row],[PONTO]],RAMAIS_ATUAL,IF($I$2="SIM",25,23),0),"")</f>
        <v/>
      </c>
      <c r="I39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39" s="55" t="str">
        <f>IFERROR(SQRT((GERAL_PROJ[[#This Row],[X]]-$P$11)^2+(GERAL_PROJ[[#This Row],[Y]]-$P$12)^2),"")</f>
        <v/>
      </c>
      <c r="K39" s="130"/>
      <c r="L39" s="132"/>
      <c r="M39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0" spans="1:13" x14ac:dyDescent="0.3">
      <c r="A40" s="130"/>
      <c r="B40" s="130"/>
      <c r="C40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0" s="150" t="str">
        <f>IFERROR(VLOOKUP(GERAL_PROJ[[#This Row],[PONTO]],Tabela13[],2,0),"")</f>
        <v/>
      </c>
      <c r="E40" s="150" t="str">
        <f>IFERROR(VLOOKUP(GERAL_PROJ[[#This Row],[PONTO]],Tabela13[],3,0),"")</f>
        <v/>
      </c>
      <c r="F40" s="112" t="str">
        <f>IFERROR(VLOOKUP(GERAL_PROJ[[#This Row],[PONTO]],RAMAIS_ATUAL,24,0),"")</f>
        <v/>
      </c>
      <c r="G40" s="112" t="str">
        <f>IFERROR(SUMIF(GERAL_PROJ[TRECHO],GERAL_PROJ[[#This Row],[PONTO]],GERAL_PROJ[CLT ACUMULADO])+GERAL_PROJ[[#This Row],[CLIENTES]],"")</f>
        <v/>
      </c>
      <c r="H40" s="55" t="str">
        <f>IFERROR(VLOOKUP(GERAL_PROJ[[#This Row],[PONTO]],RAMAIS_ATUAL,IF($I$2="SIM",25,23),0),"")</f>
        <v/>
      </c>
      <c r="I40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0" s="55" t="str">
        <f>IFERROR(SQRT((GERAL_PROJ[[#This Row],[X]]-$P$11)^2+(GERAL_PROJ[[#This Row],[Y]]-$P$12)^2),"")</f>
        <v/>
      </c>
      <c r="K40" s="130"/>
      <c r="L40" s="132"/>
      <c r="M40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1" spans="1:13" x14ac:dyDescent="0.3">
      <c r="A41" s="130"/>
      <c r="B41" s="130"/>
      <c r="C41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1" s="150" t="str">
        <f>IFERROR(VLOOKUP(GERAL_PROJ[[#This Row],[PONTO]],Tabela13[],2,0),"")</f>
        <v/>
      </c>
      <c r="E41" s="150" t="str">
        <f>IFERROR(VLOOKUP(GERAL_PROJ[[#This Row],[PONTO]],Tabela13[],3,0),"")</f>
        <v/>
      </c>
      <c r="F41" s="112" t="str">
        <f>IFERROR(VLOOKUP(GERAL_PROJ[[#This Row],[PONTO]],RAMAIS_ATUAL,24,0),"")</f>
        <v/>
      </c>
      <c r="G41" s="112" t="str">
        <f>IFERROR(SUMIF(GERAL_PROJ[TRECHO],GERAL_PROJ[[#This Row],[PONTO]],GERAL_PROJ[CLT ACUMULADO])+GERAL_PROJ[[#This Row],[CLIENTES]],"")</f>
        <v/>
      </c>
      <c r="H41" s="55" t="str">
        <f>IFERROR(VLOOKUP(GERAL_PROJ[[#This Row],[PONTO]],RAMAIS_ATUAL,IF($I$2="SIM",25,23),0),"")</f>
        <v/>
      </c>
      <c r="I41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1" s="55" t="str">
        <f>IFERROR(SQRT((GERAL_PROJ[[#This Row],[X]]-$P$11)^2+(GERAL_PROJ[[#This Row],[Y]]-$P$12)^2),"")</f>
        <v/>
      </c>
      <c r="K41" s="130"/>
      <c r="L41" s="132"/>
      <c r="M41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2" spans="1:13" x14ac:dyDescent="0.3">
      <c r="A42" s="130"/>
      <c r="B42" s="130"/>
      <c r="C42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2" s="150" t="str">
        <f>IFERROR(VLOOKUP(GERAL_PROJ[[#This Row],[PONTO]],Tabela13[],2,0),"")</f>
        <v/>
      </c>
      <c r="E42" s="150" t="str">
        <f>IFERROR(VLOOKUP(GERAL_PROJ[[#This Row],[PONTO]],Tabela13[],3,0),"")</f>
        <v/>
      </c>
      <c r="F42" s="112" t="str">
        <f>IFERROR(VLOOKUP(GERAL_PROJ[[#This Row],[PONTO]],RAMAIS_ATUAL,24,0),"")</f>
        <v/>
      </c>
      <c r="G42" s="112" t="str">
        <f>IFERROR(SUMIF(GERAL_PROJ[TRECHO],GERAL_PROJ[[#This Row],[PONTO]],GERAL_PROJ[CLT ACUMULADO])+GERAL_PROJ[[#This Row],[CLIENTES]],"")</f>
        <v/>
      </c>
      <c r="H42" s="55" t="str">
        <f>IFERROR(VLOOKUP(GERAL_PROJ[[#This Row],[PONTO]],RAMAIS_ATUAL,IF($I$2="SIM",25,23),0),"")</f>
        <v/>
      </c>
      <c r="I42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2" s="55" t="str">
        <f>IFERROR(SQRT((GERAL_PROJ[[#This Row],[X]]-$P$11)^2+(GERAL_PROJ[[#This Row],[Y]]-$P$12)^2),"")</f>
        <v/>
      </c>
      <c r="K42" s="130"/>
      <c r="L42" s="132"/>
      <c r="M42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3" spans="1:13" x14ac:dyDescent="0.3">
      <c r="A43" s="130"/>
      <c r="B43" s="130"/>
      <c r="C43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3" s="150" t="str">
        <f>IFERROR(VLOOKUP(GERAL_PROJ[[#This Row],[PONTO]],Tabela13[],2,0),"")</f>
        <v/>
      </c>
      <c r="E43" s="150" t="str">
        <f>IFERROR(VLOOKUP(GERAL_PROJ[[#This Row],[PONTO]],Tabela13[],3,0),"")</f>
        <v/>
      </c>
      <c r="F43" s="112" t="str">
        <f>IFERROR(VLOOKUP(GERAL_PROJ[[#This Row],[PONTO]],RAMAIS_ATUAL,24,0),"")</f>
        <v/>
      </c>
      <c r="G43" s="112" t="str">
        <f>IFERROR(SUMIF(GERAL_PROJ[TRECHO],GERAL_PROJ[[#This Row],[PONTO]],GERAL_PROJ[CLT ACUMULADO])+GERAL_PROJ[[#This Row],[CLIENTES]],"")</f>
        <v/>
      </c>
      <c r="H43" s="55" t="str">
        <f>IFERROR(VLOOKUP(GERAL_PROJ[[#This Row],[PONTO]],RAMAIS_ATUAL,IF($I$2="SIM",25,23),0),"")</f>
        <v/>
      </c>
      <c r="I43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3" s="55" t="str">
        <f>IFERROR(SQRT((GERAL_PROJ[[#This Row],[X]]-$P$11)^2+(GERAL_PROJ[[#This Row],[Y]]-$P$12)^2),"")</f>
        <v/>
      </c>
      <c r="K43" s="130"/>
      <c r="L43" s="132"/>
      <c r="M43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4" spans="1:13" x14ac:dyDescent="0.3">
      <c r="A44" s="130"/>
      <c r="B44" s="130"/>
      <c r="C44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4" s="150" t="str">
        <f>IFERROR(VLOOKUP(GERAL_PROJ[[#This Row],[PONTO]],Tabela13[],2,0),"")</f>
        <v/>
      </c>
      <c r="E44" s="150" t="str">
        <f>IFERROR(VLOOKUP(GERAL_PROJ[[#This Row],[PONTO]],Tabela13[],3,0),"")</f>
        <v/>
      </c>
      <c r="F44" s="112" t="str">
        <f>IFERROR(VLOOKUP(GERAL_PROJ[[#This Row],[PONTO]],RAMAIS_ATUAL,24,0),"")</f>
        <v/>
      </c>
      <c r="G44" s="112" t="str">
        <f>IFERROR(SUMIF(GERAL_PROJ[TRECHO],GERAL_PROJ[[#This Row],[PONTO]],GERAL_PROJ[CLT ACUMULADO])+GERAL_PROJ[[#This Row],[CLIENTES]],"")</f>
        <v/>
      </c>
      <c r="H44" s="55" t="str">
        <f>IFERROR(VLOOKUP(GERAL_PROJ[[#This Row],[PONTO]],RAMAIS_ATUAL,IF($I$2="SIM",25,23),0),"")</f>
        <v/>
      </c>
      <c r="I44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4" s="55" t="str">
        <f>IFERROR(SQRT((GERAL_PROJ[[#This Row],[X]]-$P$11)^2+(GERAL_PROJ[[#This Row],[Y]]-$P$12)^2),"")</f>
        <v/>
      </c>
      <c r="K44" s="130"/>
      <c r="L44" s="132"/>
      <c r="M44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5" spans="1:13" x14ac:dyDescent="0.3">
      <c r="A45" s="130"/>
      <c r="B45" s="130"/>
      <c r="C45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5" s="150" t="str">
        <f>IFERROR(VLOOKUP(GERAL_PROJ[[#This Row],[PONTO]],Tabela13[],2,0),"")</f>
        <v/>
      </c>
      <c r="E45" s="150" t="str">
        <f>IFERROR(VLOOKUP(GERAL_PROJ[[#This Row],[PONTO]],Tabela13[],3,0),"")</f>
        <v/>
      </c>
      <c r="F45" s="112" t="str">
        <f>IFERROR(VLOOKUP(GERAL_PROJ[[#This Row],[PONTO]],RAMAIS_ATUAL,24,0),"")</f>
        <v/>
      </c>
      <c r="G45" s="112" t="str">
        <f>IFERROR(SUMIF(GERAL_PROJ[TRECHO],GERAL_PROJ[[#This Row],[PONTO]],GERAL_PROJ[CLT ACUMULADO])+GERAL_PROJ[[#This Row],[CLIENTES]],"")</f>
        <v/>
      </c>
      <c r="H45" s="55" t="str">
        <f>IFERROR(VLOOKUP(GERAL_PROJ[[#This Row],[PONTO]],RAMAIS_ATUAL,IF($I$2="SIM",25,23),0),"")</f>
        <v/>
      </c>
      <c r="I45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5" s="55" t="str">
        <f>IFERROR(SQRT((GERAL_PROJ[[#This Row],[X]]-$P$11)^2+(GERAL_PROJ[[#This Row],[Y]]-$P$12)^2),"")</f>
        <v/>
      </c>
      <c r="K45" s="130"/>
      <c r="L45" s="132"/>
      <c r="M45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6" spans="1:13" x14ac:dyDescent="0.3">
      <c r="A46" s="130"/>
      <c r="B46" s="130"/>
      <c r="C46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6" s="150" t="str">
        <f>IFERROR(VLOOKUP(GERAL_PROJ[[#This Row],[PONTO]],Tabela13[],2,0),"")</f>
        <v/>
      </c>
      <c r="E46" s="150" t="str">
        <f>IFERROR(VLOOKUP(GERAL_PROJ[[#This Row],[PONTO]],Tabela13[],3,0),"")</f>
        <v/>
      </c>
      <c r="F46" s="112" t="str">
        <f>IFERROR(VLOOKUP(GERAL_PROJ[[#This Row],[PONTO]],RAMAIS_ATUAL,24,0),"")</f>
        <v/>
      </c>
      <c r="G46" s="112" t="str">
        <f>IFERROR(SUMIF(GERAL_PROJ[TRECHO],GERAL_PROJ[[#This Row],[PONTO]],GERAL_PROJ[CLT ACUMULADO])+GERAL_PROJ[[#This Row],[CLIENTES]],"")</f>
        <v/>
      </c>
      <c r="H46" s="55" t="str">
        <f>IFERROR(VLOOKUP(GERAL_PROJ[[#This Row],[PONTO]],RAMAIS_ATUAL,IF($I$2="SIM",25,23),0),"")</f>
        <v/>
      </c>
      <c r="I46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6" s="55" t="str">
        <f>IFERROR(SQRT((GERAL_PROJ[[#This Row],[X]]-$P$11)^2+(GERAL_PROJ[[#This Row],[Y]]-$P$12)^2),"")</f>
        <v/>
      </c>
      <c r="K46" s="130"/>
      <c r="L46" s="132"/>
      <c r="M46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7" spans="1:13" x14ac:dyDescent="0.3">
      <c r="A47" s="130"/>
      <c r="B47" s="130"/>
      <c r="C47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7" s="150" t="str">
        <f>IFERROR(VLOOKUP(GERAL_PROJ[[#This Row],[PONTO]],Tabela13[],2,0),"")</f>
        <v/>
      </c>
      <c r="E47" s="150" t="str">
        <f>IFERROR(VLOOKUP(GERAL_PROJ[[#This Row],[PONTO]],Tabela13[],3,0),"")</f>
        <v/>
      </c>
      <c r="F47" s="112" t="str">
        <f>IFERROR(VLOOKUP(GERAL_PROJ[[#This Row],[PONTO]],RAMAIS_ATUAL,24,0),"")</f>
        <v/>
      </c>
      <c r="G47" s="112" t="str">
        <f>IFERROR(SUMIF(GERAL_PROJ[TRECHO],GERAL_PROJ[[#This Row],[PONTO]],GERAL_PROJ[CLT ACUMULADO])+GERAL_PROJ[[#This Row],[CLIENTES]],"")</f>
        <v/>
      </c>
      <c r="H47" s="55" t="str">
        <f>IFERROR(VLOOKUP(GERAL_PROJ[[#This Row],[PONTO]],RAMAIS_ATUAL,IF($I$2="SIM",25,23),0),"")</f>
        <v/>
      </c>
      <c r="I47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7" s="55" t="str">
        <f>IFERROR(SQRT((GERAL_PROJ[[#This Row],[X]]-$P$11)^2+(GERAL_PROJ[[#This Row],[Y]]-$P$12)^2),"")</f>
        <v/>
      </c>
      <c r="K47" s="130"/>
      <c r="L47" s="132"/>
      <c r="M47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8" spans="1:13" x14ac:dyDescent="0.3">
      <c r="A48" s="130"/>
      <c r="B48" s="130"/>
      <c r="C48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8" s="150" t="str">
        <f>IFERROR(VLOOKUP(GERAL_PROJ[[#This Row],[PONTO]],Tabela13[],2,0),"")</f>
        <v/>
      </c>
      <c r="E48" s="150" t="str">
        <f>IFERROR(VLOOKUP(GERAL_PROJ[[#This Row],[PONTO]],Tabela13[],3,0),"")</f>
        <v/>
      </c>
      <c r="F48" s="112" t="str">
        <f>IFERROR(VLOOKUP(GERAL_PROJ[[#This Row],[PONTO]],RAMAIS_ATUAL,24,0),"")</f>
        <v/>
      </c>
      <c r="G48" s="112" t="str">
        <f>IFERROR(SUMIF(GERAL_PROJ[TRECHO],GERAL_PROJ[[#This Row],[PONTO]],GERAL_PROJ[CLT ACUMULADO])+GERAL_PROJ[[#This Row],[CLIENTES]],"")</f>
        <v/>
      </c>
      <c r="H48" s="55" t="str">
        <f>IFERROR(VLOOKUP(GERAL_PROJ[[#This Row],[PONTO]],RAMAIS_ATUAL,IF($I$2="SIM",25,23),0),"")</f>
        <v/>
      </c>
      <c r="I48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8" s="55" t="str">
        <f>IFERROR(SQRT((GERAL_PROJ[[#This Row],[X]]-$P$11)^2+(GERAL_PROJ[[#This Row],[Y]]-$P$12)^2),"")</f>
        <v/>
      </c>
      <c r="K48" s="130"/>
      <c r="L48" s="132"/>
      <c r="M48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49" spans="1:13" x14ac:dyDescent="0.3">
      <c r="A49" s="130"/>
      <c r="B49" s="130"/>
      <c r="C49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49" s="150" t="str">
        <f>IFERROR(VLOOKUP(GERAL_PROJ[[#This Row],[PONTO]],Tabela13[],2,0),"")</f>
        <v/>
      </c>
      <c r="E49" s="150" t="str">
        <f>IFERROR(VLOOKUP(GERAL_PROJ[[#This Row],[PONTO]],Tabela13[],3,0),"")</f>
        <v/>
      </c>
      <c r="F49" s="112" t="str">
        <f>IFERROR(VLOOKUP(GERAL_PROJ[[#This Row],[PONTO]],RAMAIS_ATUAL,24,0),"")</f>
        <v/>
      </c>
      <c r="G49" s="112" t="str">
        <f>IFERROR(SUMIF(GERAL_PROJ[TRECHO],GERAL_PROJ[[#This Row],[PONTO]],GERAL_PROJ[CLT ACUMULADO])+GERAL_PROJ[[#This Row],[CLIENTES]],"")</f>
        <v/>
      </c>
      <c r="H49" s="55" t="str">
        <f>IFERROR(VLOOKUP(GERAL_PROJ[[#This Row],[PONTO]],RAMAIS_ATUAL,IF($I$2="SIM",25,23),0),"")</f>
        <v/>
      </c>
      <c r="I49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49" s="55" t="str">
        <f>IFERROR(SQRT((GERAL_PROJ[[#This Row],[X]]-$P$11)^2+(GERAL_PROJ[[#This Row],[Y]]-$P$12)^2),"")</f>
        <v/>
      </c>
      <c r="K49" s="130"/>
      <c r="L49" s="132"/>
      <c r="M49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50" spans="1:13" x14ac:dyDescent="0.3">
      <c r="A50" s="130"/>
      <c r="B50" s="130"/>
      <c r="C50" s="130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50" s="150" t="str">
        <f>IFERROR(VLOOKUP(GERAL_PROJ[[#This Row],[PONTO]],Tabela13[],2,0),"")</f>
        <v/>
      </c>
      <c r="E50" s="150" t="str">
        <f>IFERROR(VLOOKUP(GERAL_PROJ[[#This Row],[PONTO]],Tabela13[],3,0),"")</f>
        <v/>
      </c>
      <c r="F50" s="112" t="str">
        <f>IFERROR(VLOOKUP(GERAL_PROJ[[#This Row],[PONTO]],RAMAIS_ATUAL,24,0),"")</f>
        <v/>
      </c>
      <c r="G50" s="112" t="str">
        <f>IFERROR(SUMIF(GERAL_PROJ[TRECHO],GERAL_PROJ[[#This Row],[PONTO]],GERAL_PROJ[CLT ACUMULADO])+GERAL_PROJ[[#This Row],[CLIENTES]],"")</f>
        <v/>
      </c>
      <c r="H50" s="55" t="str">
        <f>IFERROR(VLOOKUP(GERAL_PROJ[[#This Row],[PONTO]],RAMAIS_ATUAL,IF($I$2="SIM",25,23),0),"")</f>
        <v/>
      </c>
      <c r="I50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50" s="55" t="str">
        <f>IFERROR(SQRT((GERAL_PROJ[[#This Row],[X]]-$P$11)^2+(GERAL_PROJ[[#This Row],[Y]]-$P$12)^2),"")</f>
        <v/>
      </c>
      <c r="K50" s="130"/>
      <c r="L50" s="132"/>
      <c r="M50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51" spans="1:13" x14ac:dyDescent="0.3">
      <c r="A51" s="134"/>
      <c r="B51" s="134"/>
      <c r="C51" s="134" t="str">
        <f>IFERROR(IF(GERAL_PROJ[[#This Row],[LADO]]="TRAFO",4,ROUNDDOWN(SQRT((VLOOKUP(GERAL_PROJ[[#This Row],[TRECHO]],Tabela13[],2,0)-GERAL_PROJ[[#This Row],[X]])^2+(VLOOKUP(GERAL_PROJ[[#This Row],[TRECHO]],Tabela13[],3,0)-GERAL_PROJ[[#This Row],[Y]])^2),0)),"")</f>
        <v/>
      </c>
      <c r="D51" s="155" t="str">
        <f>IFERROR(VLOOKUP(GERAL_PROJ[[#This Row],[PONTO]],Tabela13[],2,0),"")</f>
        <v/>
      </c>
      <c r="E51" s="155" t="str">
        <f>IFERROR(VLOOKUP(GERAL_PROJ[[#This Row],[PONTO]],Tabela13[],3,0),"")</f>
        <v/>
      </c>
      <c r="F51" s="114" t="str">
        <f>IFERROR(VLOOKUP(GERAL_PROJ[[#This Row],[PONTO]],RAMAIS_ATUAL,24,0),"")</f>
        <v/>
      </c>
      <c r="G51" s="114" t="str">
        <f>IFERROR(SUMIF(GERAL_PROJ[TRECHO],GERAL_PROJ[[#This Row],[PONTO]],GERAL_PROJ[CLT ACUMULADO])+GERAL_PROJ[[#This Row],[CLIENTES]],"")</f>
        <v/>
      </c>
      <c r="H51" s="71" t="str">
        <f>IFERROR(VLOOKUP(GERAL_PROJ[[#This Row],[PONTO]],RAMAIS_ATUAL,IF($I$2="SIM",25,23),0),"")</f>
        <v/>
      </c>
      <c r="I51" s="55" t="str">
        <f>IFERROR(IF(TRIM(UPPER($I$2))="SIM",
      VLOOKUP(GERAL_PROJ[[#This Row],[CLT ACUMULADO]],AUX_CLAN,4,FALSE),
      SUMIF(GERAL_PROJ[TRECHO],GERAL_PROJ[[#This Row],[PONTO]],GERAL_PROJ[ACUMULADA])+GERAL_PROJ[[#This Row],[TOTAL DO TRECHO]]),
"")</f>
        <v/>
      </c>
      <c r="J51" s="71" t="str">
        <f>IFERROR(SQRT((GERAL_PROJ[[#This Row],[X]]-$P$11)^2+(GERAL_PROJ[[#This Row],[Y]]-$P$12)^2),"")</f>
        <v/>
      </c>
      <c r="K51" s="134"/>
      <c r="L51" s="147"/>
      <c r="M51" s="139" t="str">
        <f>IFERROR(IF(GERAL_PROJ[[#This Row],[LADO]]="LADO 1 PROJ",VLOOKUP(GERAL_PROJ[[#This Row],[PONTO]],ESQ_PROJ1[],16,0),IF(GERAL_PROJ[[#This Row],[LADO]]="LADO 2 PROJ",VLOOKUP(GERAL_PROJ[[#This Row],[PONTO]],Tabela71020[],16,0),IF(GERAL_PROJ[[#This Row],[LADO]]="TRAFO",T_LINHA_MONO*(1-QT_MTTR2),""))),"IGNORADO")</f>
        <v/>
      </c>
    </row>
    <row r="52" spans="1:13" x14ac:dyDescent="0.3">
      <c r="D52" s="7"/>
      <c r="E52" s="7"/>
      <c r="F52" s="7"/>
      <c r="G52" s="7"/>
    </row>
    <row r="53" spans="1:13" x14ac:dyDescent="0.3">
      <c r="D53" s="7"/>
      <c r="E53" s="7"/>
      <c r="F53" s="7"/>
      <c r="G53" s="7"/>
    </row>
    <row r="54" spans="1:13" x14ac:dyDescent="0.3">
      <c r="D54" s="7"/>
      <c r="E54" s="7"/>
      <c r="F54" s="7"/>
      <c r="G54" s="7"/>
    </row>
    <row r="55" spans="1:13" x14ac:dyDescent="0.3">
      <c r="D55" s="7"/>
      <c r="E55" s="7"/>
      <c r="F55" s="7"/>
      <c r="G55" s="7"/>
    </row>
    <row r="56" spans="1:13" x14ac:dyDescent="0.3">
      <c r="D56" s="7"/>
      <c r="E56" s="7"/>
      <c r="F56" s="7"/>
      <c r="G56" s="7"/>
    </row>
    <row r="57" spans="1:13" x14ac:dyDescent="0.3">
      <c r="D57" s="7"/>
      <c r="E57" s="7"/>
      <c r="F57" s="7"/>
      <c r="G57" s="7"/>
    </row>
    <row r="58" spans="1:13" x14ac:dyDescent="0.3">
      <c r="D58" s="7"/>
      <c r="E58" s="7"/>
      <c r="F58" s="7"/>
      <c r="G58" s="7"/>
    </row>
    <row r="59" spans="1:13" x14ac:dyDescent="0.3">
      <c r="D59" s="7"/>
      <c r="E59" s="7"/>
      <c r="F59" s="7"/>
      <c r="G59" s="7"/>
    </row>
    <row r="60" spans="1:13" x14ac:dyDescent="0.3">
      <c r="D60" s="7"/>
      <c r="E60" s="7"/>
      <c r="F60" s="7"/>
      <c r="G60" s="7"/>
    </row>
    <row r="61" spans="1:13" x14ac:dyDescent="0.3">
      <c r="D61" s="7"/>
      <c r="E61" s="7"/>
      <c r="F61" s="7"/>
      <c r="G61" s="7"/>
    </row>
    <row r="62" spans="1:13" x14ac:dyDescent="0.3">
      <c r="D62" s="7"/>
      <c r="E62" s="7"/>
      <c r="F62" s="7"/>
      <c r="G62" s="7"/>
    </row>
    <row r="63" spans="1:13" x14ac:dyDescent="0.3">
      <c r="D63" s="7"/>
      <c r="E63" s="7"/>
      <c r="F63" s="7"/>
      <c r="G63" s="7"/>
    </row>
    <row r="64" spans="1:13" x14ac:dyDescent="0.3">
      <c r="D64" s="7"/>
      <c r="E64" s="7"/>
      <c r="F64" s="7"/>
      <c r="G64" s="7"/>
    </row>
    <row r="65" spans="4:7" x14ac:dyDescent="0.3">
      <c r="D65" s="7"/>
      <c r="E65" s="7"/>
      <c r="F65" s="7"/>
      <c r="G65" s="7"/>
    </row>
    <row r="66" spans="4:7" x14ac:dyDescent="0.3">
      <c r="D66" s="7"/>
      <c r="E66" s="7"/>
      <c r="F66" s="7"/>
      <c r="G66" s="7"/>
    </row>
    <row r="67" spans="4:7" x14ac:dyDescent="0.3">
      <c r="D67" s="7"/>
      <c r="E67" s="7"/>
      <c r="F67" s="7"/>
      <c r="G67" s="7"/>
    </row>
    <row r="68" spans="4:7" x14ac:dyDescent="0.3">
      <c r="D68" s="7"/>
      <c r="E68" s="7"/>
      <c r="F68" s="7"/>
      <c r="G68" s="7"/>
    </row>
    <row r="69" spans="4:7" x14ac:dyDescent="0.3">
      <c r="D69" s="7"/>
      <c r="E69" s="7"/>
      <c r="F69" s="7"/>
      <c r="G69" s="7"/>
    </row>
    <row r="70" spans="4:7" x14ac:dyDescent="0.3">
      <c r="D70" s="7"/>
      <c r="E70" s="7"/>
      <c r="F70" s="7"/>
      <c r="G70" s="7"/>
    </row>
    <row r="71" spans="4:7" x14ac:dyDescent="0.3">
      <c r="D71" s="7"/>
      <c r="E71" s="7"/>
      <c r="F71" s="7"/>
      <c r="G71" s="7"/>
    </row>
    <row r="72" spans="4:7" x14ac:dyDescent="0.3">
      <c r="D72" s="7"/>
      <c r="E72" s="7"/>
      <c r="F72" s="7"/>
      <c r="G72" s="7"/>
    </row>
    <row r="73" spans="4:7" x14ac:dyDescent="0.3">
      <c r="D73" s="7"/>
      <c r="E73" s="7"/>
      <c r="F73" s="7"/>
      <c r="G73" s="7"/>
    </row>
    <row r="74" spans="4:7" x14ac:dyDescent="0.3">
      <c r="D74" s="7"/>
      <c r="E74" s="7"/>
      <c r="F74" s="7"/>
      <c r="G74" s="7"/>
    </row>
    <row r="75" spans="4:7" x14ac:dyDescent="0.3">
      <c r="D75" s="7"/>
      <c r="E75" s="7"/>
      <c r="F75" s="7"/>
      <c r="G75" s="7"/>
    </row>
    <row r="76" spans="4:7" x14ac:dyDescent="0.3">
      <c r="D76" s="7"/>
      <c r="E76" s="7"/>
      <c r="F76" s="7"/>
      <c r="G76" s="7"/>
    </row>
    <row r="77" spans="4:7" x14ac:dyDescent="0.3">
      <c r="D77" s="7"/>
      <c r="E77" s="7"/>
      <c r="F77" s="7"/>
      <c r="G77" s="7"/>
    </row>
    <row r="78" spans="4:7" x14ac:dyDescent="0.3">
      <c r="D78" s="7"/>
      <c r="E78" s="7"/>
      <c r="F78" s="7"/>
      <c r="G78" s="7"/>
    </row>
    <row r="79" spans="4:7" x14ac:dyDescent="0.3">
      <c r="D79" s="7"/>
      <c r="E79" s="7"/>
      <c r="F79" s="7"/>
      <c r="G79" s="7"/>
    </row>
    <row r="80" spans="4:7" x14ac:dyDescent="0.3">
      <c r="D80" s="7"/>
      <c r="E80" s="7"/>
      <c r="F80" s="7"/>
      <c r="G80" s="7"/>
    </row>
    <row r="81" spans="4:7" x14ac:dyDescent="0.3">
      <c r="D81" s="7"/>
      <c r="E81" s="7"/>
      <c r="F81" s="7"/>
      <c r="G81" s="7"/>
    </row>
    <row r="82" spans="4:7" x14ac:dyDescent="0.3">
      <c r="D82" s="7"/>
      <c r="E82" s="7"/>
      <c r="F82" s="7"/>
      <c r="G82" s="7"/>
    </row>
    <row r="83" spans="4:7" x14ac:dyDescent="0.3">
      <c r="D83" s="7"/>
      <c r="E83" s="7"/>
      <c r="F83" s="7"/>
      <c r="G83" s="7"/>
    </row>
    <row r="84" spans="4:7" x14ac:dyDescent="0.3">
      <c r="D84" s="7"/>
      <c r="E84" s="7"/>
      <c r="F84" s="7"/>
      <c r="G84" s="7"/>
    </row>
    <row r="85" spans="4:7" x14ac:dyDescent="0.3">
      <c r="D85" s="7"/>
      <c r="E85" s="7"/>
      <c r="F85" s="7"/>
      <c r="G85" s="7"/>
    </row>
    <row r="86" spans="4:7" x14ac:dyDescent="0.3">
      <c r="D86" s="7"/>
      <c r="E86" s="7"/>
      <c r="F86" s="7"/>
      <c r="G86" s="7"/>
    </row>
    <row r="87" spans="4:7" x14ac:dyDescent="0.3">
      <c r="D87" s="7"/>
      <c r="E87" s="7"/>
      <c r="F87" s="7"/>
      <c r="G87" s="7"/>
    </row>
    <row r="88" spans="4:7" x14ac:dyDescent="0.3">
      <c r="D88" s="7"/>
      <c r="E88" s="7"/>
      <c r="F88" s="7"/>
      <c r="G88" s="7"/>
    </row>
    <row r="89" spans="4:7" x14ac:dyDescent="0.3">
      <c r="D89" s="7"/>
      <c r="E89" s="7"/>
      <c r="F89" s="7"/>
      <c r="G89" s="7"/>
    </row>
    <row r="90" spans="4:7" x14ac:dyDescent="0.3">
      <c r="D90" s="7"/>
      <c r="E90" s="7"/>
      <c r="F90" s="7"/>
      <c r="G90" s="7"/>
    </row>
    <row r="91" spans="4:7" x14ac:dyDescent="0.3">
      <c r="D91" s="7"/>
      <c r="E91" s="7"/>
      <c r="F91" s="7"/>
      <c r="G91" s="7"/>
    </row>
    <row r="92" spans="4:7" x14ac:dyDescent="0.3">
      <c r="D92" s="7"/>
      <c r="E92" s="7"/>
      <c r="F92" s="7"/>
      <c r="G92" s="7"/>
    </row>
    <row r="93" spans="4:7" x14ac:dyDescent="0.3">
      <c r="D93" s="7"/>
      <c r="E93" s="7"/>
      <c r="F93" s="7"/>
      <c r="G93" s="7"/>
    </row>
    <row r="94" spans="4:7" x14ac:dyDescent="0.3">
      <c r="D94" s="7"/>
      <c r="E94" s="7"/>
      <c r="F94" s="7"/>
      <c r="G94" s="7"/>
    </row>
    <row r="95" spans="4:7" x14ac:dyDescent="0.3">
      <c r="D95" s="7"/>
      <c r="E95" s="7"/>
      <c r="F95" s="7"/>
      <c r="G95" s="7"/>
    </row>
    <row r="96" spans="4:7" x14ac:dyDescent="0.3">
      <c r="D96" s="7"/>
      <c r="E96" s="7"/>
      <c r="F96" s="7"/>
      <c r="G96" s="7"/>
    </row>
    <row r="97" spans="4:7" x14ac:dyDescent="0.3">
      <c r="D97" s="7"/>
      <c r="E97" s="7"/>
      <c r="F97" s="7"/>
      <c r="G97" s="7"/>
    </row>
    <row r="98" spans="4:7" x14ac:dyDescent="0.3">
      <c r="D98" s="7"/>
      <c r="E98" s="7"/>
      <c r="F98" s="7"/>
      <c r="G98" s="7"/>
    </row>
    <row r="99" spans="4:7" x14ac:dyDescent="0.3">
      <c r="D99" s="7"/>
      <c r="E99" s="7"/>
      <c r="F99" s="7"/>
      <c r="G99" s="7"/>
    </row>
    <row r="100" spans="4:7" x14ac:dyDescent="0.3">
      <c r="D100" s="7"/>
      <c r="E100" s="7"/>
      <c r="F100" s="7"/>
      <c r="G100" s="7"/>
    </row>
    <row r="101" spans="4:7" x14ac:dyDescent="0.3">
      <c r="D101" s="7"/>
      <c r="E101" s="7"/>
      <c r="F101" s="7"/>
      <c r="G101" s="7"/>
    </row>
    <row r="102" spans="4:7" x14ac:dyDescent="0.3">
      <c r="D102" s="7"/>
      <c r="E102" s="7"/>
      <c r="F102" s="7"/>
      <c r="G102" s="7"/>
    </row>
    <row r="103" spans="4:7" x14ac:dyDescent="0.3">
      <c r="D103" s="7"/>
      <c r="E103" s="7"/>
      <c r="F103" s="7"/>
      <c r="G103" s="7"/>
    </row>
    <row r="104" spans="4:7" x14ac:dyDescent="0.3">
      <c r="D104" s="7"/>
      <c r="E104" s="7"/>
      <c r="F104" s="7"/>
      <c r="G104" s="7"/>
    </row>
    <row r="105" spans="4:7" x14ac:dyDescent="0.3">
      <c r="D105" s="7"/>
      <c r="E105" s="7"/>
      <c r="F105" s="7"/>
      <c r="G105" s="7"/>
    </row>
    <row r="106" spans="4:7" x14ac:dyDescent="0.3">
      <c r="D106" s="7"/>
      <c r="E106" s="7"/>
      <c r="F106" s="7"/>
      <c r="G106" s="7"/>
    </row>
    <row r="107" spans="4:7" x14ac:dyDescent="0.3">
      <c r="D107" s="7"/>
      <c r="E107" s="7"/>
      <c r="F107" s="7"/>
      <c r="G107" s="7"/>
    </row>
    <row r="108" spans="4:7" x14ac:dyDescent="0.3">
      <c r="D108" s="7"/>
      <c r="E108" s="7"/>
      <c r="F108" s="7"/>
      <c r="G108" s="7"/>
    </row>
    <row r="109" spans="4:7" x14ac:dyDescent="0.3">
      <c r="D109" s="7"/>
      <c r="E109" s="7"/>
      <c r="F109" s="7"/>
      <c r="G109" s="7"/>
    </row>
    <row r="110" spans="4:7" x14ac:dyDescent="0.3">
      <c r="D110" s="7"/>
      <c r="E110" s="7"/>
      <c r="F110" s="7"/>
      <c r="G110" s="7"/>
    </row>
    <row r="111" spans="4:7" x14ac:dyDescent="0.3">
      <c r="D111" s="7"/>
      <c r="E111" s="7"/>
      <c r="F111" s="7"/>
      <c r="G111" s="7"/>
    </row>
    <row r="112" spans="4:7" x14ac:dyDescent="0.3">
      <c r="D112" s="7"/>
      <c r="E112" s="7"/>
      <c r="F112" s="7"/>
      <c r="G112" s="7"/>
    </row>
    <row r="113" spans="4:7" x14ac:dyDescent="0.3">
      <c r="D113" s="7"/>
      <c r="E113" s="7"/>
      <c r="F113" s="7"/>
      <c r="G113" s="7"/>
    </row>
    <row r="114" spans="4:7" x14ac:dyDescent="0.3">
      <c r="D114" s="7"/>
      <c r="E114" s="7"/>
      <c r="F114" s="7"/>
      <c r="G114" s="7"/>
    </row>
    <row r="115" spans="4:7" x14ac:dyDescent="0.3">
      <c r="D115" s="7"/>
      <c r="E115" s="7"/>
      <c r="F115" s="7"/>
      <c r="G115" s="7"/>
    </row>
    <row r="116" spans="4:7" x14ac:dyDescent="0.3">
      <c r="D116" s="7"/>
      <c r="E116" s="7"/>
      <c r="F116" s="7"/>
      <c r="G116" s="7"/>
    </row>
    <row r="117" spans="4:7" x14ac:dyDescent="0.3">
      <c r="D117" s="7"/>
      <c r="E117" s="7"/>
      <c r="F117" s="7"/>
      <c r="G117" s="7"/>
    </row>
    <row r="118" spans="4:7" x14ac:dyDescent="0.3">
      <c r="D118" s="7"/>
      <c r="E118" s="7"/>
      <c r="F118" s="7"/>
      <c r="G118" s="7"/>
    </row>
    <row r="119" spans="4:7" x14ac:dyDescent="0.3">
      <c r="D119" s="7"/>
      <c r="E119" s="7"/>
      <c r="F119" s="7"/>
      <c r="G119" s="7"/>
    </row>
    <row r="120" spans="4:7" x14ac:dyDescent="0.3">
      <c r="D120" s="7"/>
      <c r="E120" s="7"/>
      <c r="F120" s="7"/>
      <c r="G120" s="7"/>
    </row>
    <row r="121" spans="4:7" x14ac:dyDescent="0.3">
      <c r="D121" s="7"/>
      <c r="E121" s="7"/>
      <c r="F121" s="7"/>
      <c r="G121" s="7"/>
    </row>
    <row r="122" spans="4:7" x14ac:dyDescent="0.3">
      <c r="D122" s="7"/>
      <c r="E122" s="7"/>
      <c r="F122" s="7"/>
      <c r="G122" s="7"/>
    </row>
    <row r="123" spans="4:7" x14ac:dyDescent="0.3">
      <c r="D123" s="7"/>
      <c r="E123" s="7"/>
      <c r="F123" s="7"/>
      <c r="G123" s="7"/>
    </row>
    <row r="124" spans="4:7" x14ac:dyDescent="0.3">
      <c r="D124" s="7"/>
      <c r="E124" s="7"/>
      <c r="F124" s="7"/>
      <c r="G124" s="7"/>
    </row>
    <row r="125" spans="4:7" x14ac:dyDescent="0.3">
      <c r="D125" s="7"/>
      <c r="E125" s="7"/>
      <c r="F125" s="7"/>
      <c r="G125" s="7"/>
    </row>
    <row r="126" spans="4:7" x14ac:dyDescent="0.3">
      <c r="D126" s="7"/>
      <c r="E126" s="7"/>
      <c r="F126" s="7"/>
      <c r="G126" s="7"/>
    </row>
    <row r="127" spans="4:7" x14ac:dyDescent="0.3">
      <c r="D127" s="7"/>
      <c r="E127" s="7"/>
      <c r="F127" s="7"/>
      <c r="G127" s="7"/>
    </row>
    <row r="128" spans="4:7" x14ac:dyDescent="0.3">
      <c r="D128" s="7"/>
      <c r="E128" s="7"/>
      <c r="F128" s="7"/>
      <c r="G128" s="7"/>
    </row>
    <row r="129" spans="4:7" x14ac:dyDescent="0.3">
      <c r="D129" s="7"/>
      <c r="E129" s="7"/>
      <c r="F129" s="7"/>
      <c r="G129" s="7"/>
    </row>
    <row r="130" spans="4:7" x14ac:dyDescent="0.3">
      <c r="D130" s="7"/>
      <c r="E130" s="7"/>
      <c r="F130" s="7"/>
      <c r="G130" s="7"/>
    </row>
    <row r="131" spans="4:7" x14ac:dyDescent="0.3">
      <c r="D131" s="7"/>
      <c r="E131" s="7"/>
      <c r="F131" s="7"/>
      <c r="G131" s="7"/>
    </row>
    <row r="132" spans="4:7" x14ac:dyDescent="0.3">
      <c r="D132" s="7"/>
      <c r="E132" s="7"/>
      <c r="F132" s="7"/>
      <c r="G132" s="7"/>
    </row>
    <row r="133" spans="4:7" x14ac:dyDescent="0.3">
      <c r="D133" s="7"/>
      <c r="E133" s="7"/>
      <c r="F133" s="7"/>
      <c r="G133" s="7"/>
    </row>
    <row r="134" spans="4:7" x14ac:dyDescent="0.3">
      <c r="D134" s="7"/>
      <c r="E134" s="7"/>
      <c r="F134" s="7"/>
      <c r="G134" s="7"/>
    </row>
    <row r="135" spans="4:7" x14ac:dyDescent="0.3">
      <c r="D135" s="7"/>
      <c r="E135" s="7"/>
      <c r="F135" s="7"/>
      <c r="G135" s="7"/>
    </row>
    <row r="136" spans="4:7" x14ac:dyDescent="0.3">
      <c r="D136" s="7"/>
      <c r="E136" s="7"/>
      <c r="F136" s="7"/>
      <c r="G136" s="7"/>
    </row>
    <row r="137" spans="4:7" x14ac:dyDescent="0.3">
      <c r="D137" s="7"/>
      <c r="E137" s="7"/>
      <c r="F137" s="7"/>
      <c r="G137" s="7"/>
    </row>
    <row r="138" spans="4:7" x14ac:dyDescent="0.3">
      <c r="D138" s="7"/>
      <c r="E138" s="7"/>
      <c r="F138" s="7"/>
      <c r="G138" s="7"/>
    </row>
    <row r="139" spans="4:7" x14ac:dyDescent="0.3">
      <c r="D139" s="7"/>
      <c r="E139" s="7"/>
      <c r="F139" s="7"/>
      <c r="G139" s="7"/>
    </row>
    <row r="140" spans="4:7" x14ac:dyDescent="0.3">
      <c r="D140" s="7"/>
      <c r="E140" s="7"/>
      <c r="F140" s="7"/>
      <c r="G140" s="7"/>
    </row>
    <row r="141" spans="4:7" x14ac:dyDescent="0.3">
      <c r="D141" s="7"/>
      <c r="E141" s="7"/>
      <c r="F141" s="7"/>
      <c r="G141" s="7"/>
    </row>
    <row r="142" spans="4:7" x14ac:dyDescent="0.3">
      <c r="D142" s="7"/>
      <c r="E142" s="7"/>
      <c r="F142" s="7"/>
      <c r="G142" s="7"/>
    </row>
    <row r="143" spans="4:7" x14ac:dyDescent="0.3">
      <c r="D143" s="7"/>
      <c r="E143" s="7"/>
      <c r="F143" s="7"/>
      <c r="G143" s="7"/>
    </row>
    <row r="144" spans="4:7" x14ac:dyDescent="0.3">
      <c r="D144" s="7"/>
      <c r="E144" s="7"/>
      <c r="F144" s="7"/>
      <c r="G144" s="7"/>
    </row>
    <row r="145" spans="4:7" x14ac:dyDescent="0.3">
      <c r="D145" s="7"/>
      <c r="E145" s="7"/>
      <c r="F145" s="7"/>
      <c r="G145" s="7"/>
    </row>
    <row r="146" spans="4:7" x14ac:dyDescent="0.3">
      <c r="D146" s="7"/>
      <c r="E146" s="7"/>
      <c r="F146" s="7"/>
      <c r="G146" s="7"/>
    </row>
    <row r="147" spans="4:7" x14ac:dyDescent="0.3">
      <c r="D147" s="7"/>
      <c r="E147" s="7"/>
      <c r="F147" s="7"/>
      <c r="G147" s="7"/>
    </row>
    <row r="148" spans="4:7" x14ac:dyDescent="0.3">
      <c r="D148" s="7"/>
      <c r="E148" s="7"/>
      <c r="F148" s="7"/>
      <c r="G148" s="7"/>
    </row>
    <row r="149" spans="4:7" x14ac:dyDescent="0.3">
      <c r="D149" s="7"/>
      <c r="E149" s="7"/>
      <c r="F149" s="7"/>
      <c r="G149" s="7"/>
    </row>
    <row r="150" spans="4:7" x14ac:dyDescent="0.3">
      <c r="D150" s="7"/>
      <c r="E150" s="7"/>
      <c r="F150" s="7"/>
      <c r="G150" s="7"/>
    </row>
    <row r="151" spans="4:7" x14ac:dyDescent="0.3">
      <c r="D151" s="7"/>
      <c r="E151" s="7"/>
      <c r="F151" s="7"/>
      <c r="G151" s="7"/>
    </row>
    <row r="152" spans="4:7" x14ac:dyDescent="0.3">
      <c r="D152" s="7"/>
      <c r="E152" s="7"/>
      <c r="F152" s="7"/>
      <c r="G152" s="7"/>
    </row>
    <row r="153" spans="4:7" x14ac:dyDescent="0.3">
      <c r="D153" s="7"/>
      <c r="E153" s="7"/>
      <c r="F153" s="7"/>
      <c r="G153" s="7"/>
    </row>
    <row r="154" spans="4:7" x14ac:dyDescent="0.3">
      <c r="D154" s="7"/>
      <c r="E154" s="7"/>
      <c r="F154" s="7"/>
      <c r="G154" s="7"/>
    </row>
    <row r="155" spans="4:7" x14ac:dyDescent="0.3">
      <c r="D155" s="7"/>
      <c r="E155" s="7"/>
      <c r="F155" s="7"/>
      <c r="G155" s="7"/>
    </row>
    <row r="156" spans="4:7" x14ac:dyDescent="0.3">
      <c r="D156" s="7"/>
      <c r="E156" s="7"/>
      <c r="F156" s="7"/>
      <c r="G156" s="7"/>
    </row>
    <row r="157" spans="4:7" x14ac:dyDescent="0.3">
      <c r="D157" s="7"/>
      <c r="E157" s="7"/>
      <c r="F157" s="7"/>
      <c r="G157" s="7"/>
    </row>
    <row r="158" spans="4:7" x14ac:dyDescent="0.3">
      <c r="D158" s="7"/>
      <c r="E158" s="7"/>
      <c r="F158" s="7"/>
      <c r="G158" s="7"/>
    </row>
    <row r="159" spans="4:7" x14ac:dyDescent="0.3">
      <c r="D159" s="7"/>
      <c r="E159" s="7"/>
      <c r="F159" s="7"/>
      <c r="G159" s="7"/>
    </row>
    <row r="160" spans="4:7" x14ac:dyDescent="0.3">
      <c r="D160" s="7"/>
      <c r="E160" s="7"/>
      <c r="F160" s="7"/>
      <c r="G160" s="7"/>
    </row>
    <row r="161" spans="4:7" x14ac:dyDescent="0.3">
      <c r="D161" s="7"/>
      <c r="E161" s="7"/>
      <c r="F161" s="7"/>
      <c r="G161" s="7"/>
    </row>
    <row r="162" spans="4:7" x14ac:dyDescent="0.3">
      <c r="D162" s="7"/>
      <c r="E162" s="7"/>
      <c r="F162" s="7"/>
      <c r="G162" s="7"/>
    </row>
    <row r="163" spans="4:7" x14ac:dyDescent="0.3">
      <c r="D163" s="7"/>
      <c r="E163" s="7"/>
      <c r="F163" s="7"/>
      <c r="G163" s="7"/>
    </row>
    <row r="164" spans="4:7" x14ac:dyDescent="0.3">
      <c r="D164" s="7"/>
      <c r="E164" s="7"/>
      <c r="F164" s="7"/>
      <c r="G164" s="7"/>
    </row>
    <row r="165" spans="4:7" x14ac:dyDescent="0.3">
      <c r="D165" s="7"/>
      <c r="E165" s="7"/>
      <c r="F165" s="7"/>
      <c r="G165" s="7"/>
    </row>
    <row r="166" spans="4:7" x14ac:dyDescent="0.3">
      <c r="D166" s="7"/>
      <c r="E166" s="7"/>
      <c r="F166" s="7"/>
      <c r="G166" s="7"/>
    </row>
    <row r="167" spans="4:7" x14ac:dyDescent="0.3">
      <c r="D167" s="7"/>
      <c r="E167" s="7"/>
      <c r="F167" s="7"/>
      <c r="G167" s="7"/>
    </row>
    <row r="168" spans="4:7" x14ac:dyDescent="0.3">
      <c r="D168" s="7"/>
      <c r="E168" s="7"/>
      <c r="F168" s="7"/>
      <c r="G168" s="7"/>
    </row>
    <row r="169" spans="4:7" x14ac:dyDescent="0.3">
      <c r="D169" s="7"/>
      <c r="E169" s="7"/>
      <c r="F169" s="7"/>
      <c r="G169" s="7"/>
    </row>
    <row r="170" spans="4:7" x14ac:dyDescent="0.3">
      <c r="D170" s="7"/>
      <c r="E170" s="7"/>
      <c r="F170" s="7"/>
      <c r="G170" s="7"/>
    </row>
    <row r="171" spans="4:7" x14ac:dyDescent="0.3">
      <c r="D171" s="7"/>
      <c r="E171" s="7"/>
      <c r="F171" s="7"/>
      <c r="G171" s="7"/>
    </row>
    <row r="172" spans="4:7" x14ac:dyDescent="0.3">
      <c r="D172" s="7"/>
      <c r="E172" s="7"/>
      <c r="F172" s="7"/>
      <c r="G172" s="7"/>
    </row>
    <row r="173" spans="4:7" x14ac:dyDescent="0.3">
      <c r="D173" s="7"/>
      <c r="E173" s="7"/>
      <c r="F173" s="7"/>
      <c r="G173" s="7"/>
    </row>
    <row r="174" spans="4:7" x14ac:dyDescent="0.3">
      <c r="D174" s="7"/>
      <c r="E174" s="7"/>
      <c r="F174" s="7"/>
      <c r="G174" s="7"/>
    </row>
    <row r="175" spans="4:7" x14ac:dyDescent="0.3">
      <c r="D175" s="7"/>
      <c r="E175" s="7"/>
      <c r="F175" s="7"/>
      <c r="G175" s="7"/>
    </row>
    <row r="176" spans="4:7" x14ac:dyDescent="0.3">
      <c r="D176" s="7"/>
      <c r="E176" s="7"/>
      <c r="F176" s="7"/>
      <c r="G176" s="7"/>
    </row>
    <row r="177" spans="4:7" x14ac:dyDescent="0.3">
      <c r="D177" s="7"/>
      <c r="E177" s="7"/>
      <c r="F177" s="7"/>
      <c r="G177" s="7"/>
    </row>
    <row r="178" spans="4:7" x14ac:dyDescent="0.3">
      <c r="D178" s="7"/>
      <c r="E178" s="7"/>
      <c r="F178" s="7"/>
      <c r="G178" s="7"/>
    </row>
    <row r="179" spans="4:7" x14ac:dyDescent="0.3">
      <c r="D179" s="7"/>
      <c r="E179" s="7"/>
      <c r="F179" s="7"/>
      <c r="G179" s="7"/>
    </row>
    <row r="180" spans="4:7" x14ac:dyDescent="0.3">
      <c r="D180" s="7"/>
      <c r="E180" s="7"/>
      <c r="F180" s="7"/>
      <c r="G180" s="7"/>
    </row>
    <row r="181" spans="4:7" x14ac:dyDescent="0.3">
      <c r="D181" s="7"/>
      <c r="E181" s="7"/>
      <c r="F181" s="7"/>
      <c r="G181" s="7"/>
    </row>
    <row r="182" spans="4:7" x14ac:dyDescent="0.3">
      <c r="D182" s="7"/>
      <c r="E182" s="7"/>
      <c r="F182" s="7"/>
      <c r="G182" s="7"/>
    </row>
    <row r="183" spans="4:7" x14ac:dyDescent="0.3">
      <c r="D183" s="7"/>
      <c r="E183" s="7"/>
      <c r="F183" s="7"/>
      <c r="G183" s="7"/>
    </row>
    <row r="184" spans="4:7" x14ac:dyDescent="0.3">
      <c r="D184" s="7"/>
      <c r="E184" s="7"/>
      <c r="F184" s="7"/>
      <c r="G184" s="7"/>
    </row>
    <row r="185" spans="4:7" x14ac:dyDescent="0.3">
      <c r="D185" s="7"/>
      <c r="E185" s="7"/>
      <c r="F185" s="7"/>
      <c r="G185" s="7"/>
    </row>
    <row r="186" spans="4:7" x14ac:dyDescent="0.3">
      <c r="D186" s="7"/>
      <c r="E186" s="7"/>
      <c r="F186" s="7"/>
      <c r="G186" s="7"/>
    </row>
    <row r="187" spans="4:7" x14ac:dyDescent="0.3">
      <c r="D187" s="7"/>
      <c r="E187" s="7"/>
      <c r="F187" s="7"/>
      <c r="G187" s="7"/>
    </row>
    <row r="188" spans="4:7" x14ac:dyDescent="0.3">
      <c r="D188" s="7"/>
      <c r="E188" s="7"/>
      <c r="F188" s="7"/>
      <c r="G188" s="7"/>
    </row>
    <row r="189" spans="4:7" x14ac:dyDescent="0.3">
      <c r="D189" s="7"/>
      <c r="E189" s="7"/>
      <c r="F189" s="7"/>
      <c r="G189" s="7"/>
    </row>
    <row r="190" spans="4:7" x14ac:dyDescent="0.3">
      <c r="D190" s="7"/>
      <c r="E190" s="7"/>
      <c r="F190" s="7"/>
      <c r="G190" s="7"/>
    </row>
    <row r="191" spans="4:7" x14ac:dyDescent="0.3">
      <c r="D191" s="7"/>
      <c r="E191" s="7"/>
      <c r="F191" s="7"/>
      <c r="G191" s="7"/>
    </row>
    <row r="192" spans="4:7" x14ac:dyDescent="0.3">
      <c r="D192" s="7"/>
      <c r="E192" s="7"/>
      <c r="F192" s="7"/>
      <c r="G192" s="7"/>
    </row>
    <row r="193" spans="4:7" x14ac:dyDescent="0.3">
      <c r="D193" s="7"/>
      <c r="E193" s="7"/>
      <c r="F193" s="7"/>
      <c r="G193" s="7"/>
    </row>
    <row r="194" spans="4:7" x14ac:dyDescent="0.3">
      <c r="D194" s="7"/>
      <c r="E194" s="7"/>
      <c r="F194" s="7"/>
      <c r="G194" s="7"/>
    </row>
    <row r="195" spans="4:7" x14ac:dyDescent="0.3">
      <c r="D195" s="7"/>
      <c r="E195" s="7"/>
      <c r="F195" s="7"/>
      <c r="G195" s="7"/>
    </row>
    <row r="196" spans="4:7" x14ac:dyDescent="0.3">
      <c r="D196" s="7"/>
      <c r="E196" s="7"/>
      <c r="F196" s="7"/>
      <c r="G196" s="7"/>
    </row>
    <row r="197" spans="4:7" x14ac:dyDescent="0.3">
      <c r="D197" s="7"/>
      <c r="E197" s="7"/>
      <c r="F197" s="7"/>
      <c r="G197" s="7"/>
    </row>
    <row r="198" spans="4:7" x14ac:dyDescent="0.3">
      <c r="D198" s="7"/>
      <c r="E198" s="7"/>
      <c r="F198" s="7"/>
      <c r="G198" s="7"/>
    </row>
    <row r="199" spans="4:7" x14ac:dyDescent="0.3">
      <c r="D199" s="7"/>
      <c r="E199" s="7"/>
      <c r="F199" s="7"/>
      <c r="G199" s="7"/>
    </row>
    <row r="200" spans="4:7" x14ac:dyDescent="0.3">
      <c r="D200" s="7"/>
      <c r="E200" s="7"/>
      <c r="F200" s="7"/>
      <c r="G200" s="7"/>
    </row>
    <row r="201" spans="4:7" x14ac:dyDescent="0.3">
      <c r="D201" s="7"/>
      <c r="E201" s="7"/>
      <c r="F201" s="7"/>
      <c r="G201" s="7"/>
    </row>
    <row r="202" spans="4:7" x14ac:dyDescent="0.3">
      <c r="D202" s="7"/>
      <c r="E202" s="7"/>
      <c r="F202" s="7"/>
      <c r="G202" s="7"/>
    </row>
    <row r="203" spans="4:7" x14ac:dyDescent="0.3">
      <c r="D203" s="7"/>
      <c r="E203" s="7"/>
      <c r="F203" s="7"/>
      <c r="G203" s="7"/>
    </row>
    <row r="204" spans="4:7" x14ac:dyDescent="0.3">
      <c r="D204" s="7"/>
      <c r="E204" s="7"/>
      <c r="F204" s="7"/>
      <c r="G204" s="7"/>
    </row>
    <row r="205" spans="4:7" x14ac:dyDescent="0.3">
      <c r="D205" s="7"/>
      <c r="E205" s="7"/>
      <c r="F205" s="7"/>
      <c r="G205" s="7"/>
    </row>
    <row r="206" spans="4:7" x14ac:dyDescent="0.3">
      <c r="D206" s="7"/>
      <c r="E206" s="7"/>
      <c r="F206" s="7"/>
      <c r="G206" s="7"/>
    </row>
    <row r="207" spans="4:7" x14ac:dyDescent="0.3">
      <c r="D207" s="7"/>
      <c r="E207" s="7"/>
      <c r="F207" s="7"/>
      <c r="G207" s="7"/>
    </row>
    <row r="208" spans="4:7" x14ac:dyDescent="0.3">
      <c r="D208" s="7"/>
      <c r="E208" s="7"/>
      <c r="F208" s="7"/>
      <c r="G208" s="7"/>
    </row>
    <row r="209" spans="4:7" x14ac:dyDescent="0.3">
      <c r="D209" s="7"/>
      <c r="E209" s="7"/>
      <c r="F209" s="7"/>
      <c r="G209" s="7"/>
    </row>
    <row r="210" spans="4:7" x14ac:dyDescent="0.3">
      <c r="D210" s="7"/>
      <c r="E210" s="7"/>
      <c r="F210" s="7"/>
      <c r="G210" s="7"/>
    </row>
    <row r="211" spans="4:7" x14ac:dyDescent="0.3">
      <c r="D211" s="7"/>
      <c r="E211" s="7"/>
      <c r="F211" s="7"/>
      <c r="G211" s="7"/>
    </row>
    <row r="212" spans="4:7" x14ac:dyDescent="0.3">
      <c r="D212" s="7"/>
      <c r="E212" s="7"/>
      <c r="F212" s="7"/>
      <c r="G212" s="7"/>
    </row>
    <row r="213" spans="4:7" x14ac:dyDescent="0.3">
      <c r="D213" s="7"/>
      <c r="E213" s="7"/>
      <c r="F213" s="7"/>
      <c r="G213" s="7"/>
    </row>
    <row r="214" spans="4:7" x14ac:dyDescent="0.3">
      <c r="D214" s="7"/>
      <c r="E214" s="7"/>
      <c r="F214" s="7"/>
      <c r="G214" s="7"/>
    </row>
    <row r="215" spans="4:7" x14ac:dyDescent="0.3">
      <c r="D215" s="7"/>
      <c r="E215" s="7"/>
      <c r="F215" s="7"/>
      <c r="G215" s="7"/>
    </row>
    <row r="216" spans="4:7" x14ac:dyDescent="0.3">
      <c r="D216" s="7"/>
      <c r="E216" s="7"/>
      <c r="F216" s="7"/>
      <c r="G216" s="7"/>
    </row>
    <row r="217" spans="4:7" x14ac:dyDescent="0.3">
      <c r="D217" s="7"/>
      <c r="E217" s="7"/>
      <c r="F217" s="7"/>
      <c r="G217" s="7"/>
    </row>
    <row r="218" spans="4:7" x14ac:dyDescent="0.3">
      <c r="D218" s="7"/>
      <c r="E218" s="7"/>
      <c r="F218" s="7"/>
      <c r="G218" s="7"/>
    </row>
    <row r="219" spans="4:7" x14ac:dyDescent="0.3">
      <c r="D219" s="7"/>
      <c r="E219" s="7"/>
      <c r="F219" s="7"/>
      <c r="G219" s="7"/>
    </row>
    <row r="220" spans="4:7" x14ac:dyDescent="0.3">
      <c r="D220" s="7"/>
      <c r="E220" s="7"/>
      <c r="F220" s="7"/>
      <c r="G220" s="7"/>
    </row>
    <row r="221" spans="4:7" x14ac:dyDescent="0.3">
      <c r="D221" s="7"/>
      <c r="E221" s="7"/>
      <c r="F221" s="7"/>
      <c r="G221" s="7"/>
    </row>
    <row r="222" spans="4:7" x14ac:dyDescent="0.3">
      <c r="D222" s="7"/>
      <c r="E222" s="7"/>
      <c r="F222" s="7"/>
      <c r="G222" s="7"/>
    </row>
    <row r="223" spans="4:7" x14ac:dyDescent="0.3">
      <c r="D223" s="7"/>
      <c r="E223" s="7"/>
      <c r="F223" s="7"/>
      <c r="G223" s="7"/>
    </row>
    <row r="224" spans="4:7" x14ac:dyDescent="0.3">
      <c r="D224" s="7"/>
      <c r="E224" s="7"/>
      <c r="F224" s="7"/>
      <c r="G224" s="7"/>
    </row>
    <row r="225" spans="4:7" x14ac:dyDescent="0.3">
      <c r="D225" s="7"/>
      <c r="E225" s="7"/>
      <c r="F225" s="7"/>
      <c r="G225" s="7"/>
    </row>
    <row r="226" spans="4:7" x14ac:dyDescent="0.3">
      <c r="D226" s="7"/>
      <c r="E226" s="7"/>
      <c r="F226" s="7"/>
      <c r="G226" s="7"/>
    </row>
    <row r="227" spans="4:7" x14ac:dyDescent="0.3">
      <c r="D227" s="7"/>
      <c r="E227" s="7"/>
      <c r="F227" s="7"/>
      <c r="G227" s="7"/>
    </row>
    <row r="228" spans="4:7" x14ac:dyDescent="0.3">
      <c r="D228" s="7"/>
      <c r="E228" s="7"/>
      <c r="F228" s="7"/>
      <c r="G228" s="7"/>
    </row>
    <row r="229" spans="4:7" x14ac:dyDescent="0.3">
      <c r="D229" s="7"/>
      <c r="E229" s="7"/>
      <c r="F229" s="7"/>
      <c r="G229" s="7"/>
    </row>
    <row r="230" spans="4:7" x14ac:dyDescent="0.3">
      <c r="D230" s="7"/>
      <c r="E230" s="7"/>
      <c r="F230" s="7"/>
      <c r="G230" s="7"/>
    </row>
    <row r="231" spans="4:7" x14ac:dyDescent="0.3">
      <c r="D231" s="7"/>
      <c r="E231" s="7"/>
      <c r="F231" s="7"/>
      <c r="G231" s="7"/>
    </row>
    <row r="232" spans="4:7" x14ac:dyDescent="0.3">
      <c r="D232" s="7"/>
      <c r="E232" s="7"/>
      <c r="F232" s="7"/>
      <c r="G232" s="7"/>
    </row>
    <row r="233" spans="4:7" x14ac:dyDescent="0.3">
      <c r="D233" s="7"/>
      <c r="E233" s="7"/>
      <c r="F233" s="7"/>
      <c r="G233" s="7"/>
    </row>
    <row r="234" spans="4:7" x14ac:dyDescent="0.3">
      <c r="D234" s="7"/>
      <c r="E234" s="7"/>
      <c r="F234" s="7"/>
      <c r="G234" s="7"/>
    </row>
    <row r="235" spans="4:7" x14ac:dyDescent="0.3">
      <c r="D235" s="7"/>
      <c r="E235" s="7"/>
      <c r="F235" s="7"/>
      <c r="G235" s="7"/>
    </row>
    <row r="236" spans="4:7" x14ac:dyDescent="0.3">
      <c r="D236" s="7"/>
      <c r="E236" s="7"/>
      <c r="F236" s="7"/>
      <c r="G236" s="7"/>
    </row>
    <row r="237" spans="4:7" x14ac:dyDescent="0.3">
      <c r="D237" s="7"/>
      <c r="E237" s="7"/>
      <c r="F237" s="7"/>
      <c r="G237" s="7"/>
    </row>
    <row r="238" spans="4:7" x14ac:dyDescent="0.3">
      <c r="D238" s="7"/>
      <c r="E238" s="7"/>
      <c r="F238" s="7"/>
      <c r="G238" s="7"/>
    </row>
    <row r="239" spans="4:7" x14ac:dyDescent="0.3">
      <c r="D239" s="7"/>
      <c r="E239" s="7"/>
      <c r="F239" s="7"/>
      <c r="G239" s="7"/>
    </row>
    <row r="240" spans="4:7" x14ac:dyDescent="0.3">
      <c r="D240" s="7"/>
      <c r="E240" s="7"/>
      <c r="F240" s="7"/>
      <c r="G240" s="7"/>
    </row>
    <row r="241" spans="4:7" x14ac:dyDescent="0.3">
      <c r="D241" s="7"/>
      <c r="E241" s="7"/>
      <c r="F241" s="7"/>
      <c r="G241" s="7"/>
    </row>
    <row r="242" spans="4:7" x14ac:dyDescent="0.3">
      <c r="D242" s="7"/>
      <c r="E242" s="7"/>
      <c r="F242" s="7"/>
      <c r="G242" s="7"/>
    </row>
    <row r="243" spans="4:7" x14ac:dyDescent="0.3">
      <c r="D243" s="7"/>
      <c r="E243" s="7"/>
      <c r="F243" s="7"/>
      <c r="G243" s="7"/>
    </row>
    <row r="244" spans="4:7" x14ac:dyDescent="0.3">
      <c r="D244" s="7"/>
      <c r="E244" s="7"/>
      <c r="F244" s="7"/>
      <c r="G244" s="7"/>
    </row>
    <row r="245" spans="4:7" x14ac:dyDescent="0.3">
      <c r="D245" s="7"/>
      <c r="E245" s="7"/>
      <c r="F245" s="7"/>
      <c r="G245" s="7"/>
    </row>
    <row r="246" spans="4:7" x14ac:dyDescent="0.3">
      <c r="D246" s="7"/>
      <c r="E246" s="7"/>
      <c r="F246" s="7"/>
      <c r="G246" s="7"/>
    </row>
    <row r="247" spans="4:7" x14ac:dyDescent="0.3">
      <c r="D247" s="7"/>
      <c r="E247" s="7"/>
      <c r="F247" s="7"/>
      <c r="G247" s="7"/>
    </row>
    <row r="248" spans="4:7" x14ac:dyDescent="0.3">
      <c r="D248" s="7"/>
      <c r="E248" s="7"/>
      <c r="F248" s="7"/>
      <c r="G248" s="7"/>
    </row>
    <row r="249" spans="4:7" x14ac:dyDescent="0.3">
      <c r="D249" s="7"/>
      <c r="E249" s="7"/>
      <c r="F249" s="7"/>
      <c r="G249" s="7"/>
    </row>
    <row r="250" spans="4:7" x14ac:dyDescent="0.3">
      <c r="D250" s="7"/>
      <c r="E250" s="7"/>
      <c r="F250" s="7"/>
      <c r="G250" s="7"/>
    </row>
    <row r="251" spans="4:7" x14ac:dyDescent="0.3">
      <c r="D251" s="7"/>
      <c r="E251" s="7"/>
      <c r="F251" s="7"/>
      <c r="G251" s="7"/>
    </row>
    <row r="252" spans="4:7" x14ac:dyDescent="0.3">
      <c r="D252" s="7"/>
      <c r="E252" s="7"/>
      <c r="F252" s="7"/>
      <c r="G252" s="7"/>
    </row>
    <row r="253" spans="4:7" x14ac:dyDescent="0.3">
      <c r="D253" s="7"/>
      <c r="E253" s="7"/>
      <c r="F253" s="7"/>
      <c r="G253" s="7"/>
    </row>
    <row r="254" spans="4:7" x14ac:dyDescent="0.3">
      <c r="D254" s="7"/>
      <c r="E254" s="7"/>
      <c r="F254" s="7"/>
      <c r="G254" s="7"/>
    </row>
    <row r="255" spans="4:7" x14ac:dyDescent="0.3">
      <c r="D255" s="7"/>
      <c r="E255" s="7"/>
      <c r="F255" s="7"/>
      <c r="G255" s="7"/>
    </row>
    <row r="256" spans="4:7" x14ac:dyDescent="0.3">
      <c r="D256" s="7"/>
      <c r="E256" s="7"/>
      <c r="F256" s="7"/>
      <c r="G256" s="7"/>
    </row>
    <row r="257" spans="4:7" x14ac:dyDescent="0.3">
      <c r="D257" s="7"/>
      <c r="E257" s="7"/>
      <c r="F257" s="7"/>
      <c r="G257" s="7"/>
    </row>
    <row r="258" spans="4:7" x14ac:dyDescent="0.3">
      <c r="D258" s="7"/>
      <c r="E258" s="7"/>
      <c r="F258" s="7"/>
      <c r="G258" s="7"/>
    </row>
    <row r="259" spans="4:7" x14ac:dyDescent="0.3">
      <c r="D259" s="7"/>
      <c r="E259" s="7"/>
      <c r="F259" s="7"/>
      <c r="G259" s="7"/>
    </row>
    <row r="260" spans="4:7" x14ac:dyDescent="0.3">
      <c r="D260" s="7"/>
      <c r="E260" s="7"/>
      <c r="F260" s="7"/>
      <c r="G260" s="7"/>
    </row>
    <row r="261" spans="4:7" x14ac:dyDescent="0.3">
      <c r="D261" s="7"/>
      <c r="E261" s="7"/>
      <c r="F261" s="7"/>
      <c r="G261" s="7"/>
    </row>
    <row r="262" spans="4:7" x14ac:dyDescent="0.3">
      <c r="D262" s="7"/>
      <c r="E262" s="7"/>
      <c r="F262" s="7"/>
      <c r="G262" s="7"/>
    </row>
    <row r="263" spans="4:7" x14ac:dyDescent="0.3">
      <c r="D263" s="7"/>
      <c r="E263" s="7"/>
      <c r="F263" s="7"/>
      <c r="G263" s="7"/>
    </row>
    <row r="264" spans="4:7" x14ac:dyDescent="0.3">
      <c r="D264" s="7"/>
      <c r="E264" s="7"/>
      <c r="F264" s="7"/>
      <c r="G264" s="7"/>
    </row>
    <row r="265" spans="4:7" x14ac:dyDescent="0.3">
      <c r="D265" s="7"/>
      <c r="E265" s="7"/>
      <c r="F265" s="7"/>
      <c r="G265" s="7"/>
    </row>
    <row r="266" spans="4:7" x14ac:dyDescent="0.3">
      <c r="D266" s="7"/>
      <c r="E266" s="7"/>
      <c r="F266" s="7"/>
      <c r="G266" s="7"/>
    </row>
    <row r="267" spans="4:7" x14ac:dyDescent="0.3">
      <c r="D267" s="7"/>
      <c r="E267" s="7"/>
      <c r="F267" s="7"/>
      <c r="G267" s="7"/>
    </row>
    <row r="268" spans="4:7" x14ac:dyDescent="0.3">
      <c r="D268" s="7"/>
      <c r="E268" s="7"/>
      <c r="F268" s="7"/>
      <c r="G268" s="7"/>
    </row>
    <row r="269" spans="4:7" x14ac:dyDescent="0.3">
      <c r="D269" s="7"/>
      <c r="E269" s="7"/>
      <c r="F269" s="7"/>
      <c r="G269" s="7"/>
    </row>
    <row r="270" spans="4:7" x14ac:dyDescent="0.3">
      <c r="D270" s="7"/>
      <c r="E270" s="7"/>
      <c r="F270" s="7"/>
      <c r="G270" s="7"/>
    </row>
    <row r="271" spans="4:7" x14ac:dyDescent="0.3">
      <c r="D271" s="7"/>
      <c r="E271" s="7"/>
      <c r="F271" s="7"/>
      <c r="G271" s="7"/>
    </row>
    <row r="272" spans="4:7" x14ac:dyDescent="0.3">
      <c r="D272" s="7"/>
      <c r="E272" s="7"/>
      <c r="F272" s="7"/>
      <c r="G272" s="7"/>
    </row>
    <row r="273" spans="4:7" x14ac:dyDescent="0.3">
      <c r="D273" s="7"/>
      <c r="E273" s="7"/>
      <c r="F273" s="7"/>
      <c r="G273" s="7"/>
    </row>
    <row r="274" spans="4:7" x14ac:dyDescent="0.3">
      <c r="D274" s="7"/>
      <c r="E274" s="7"/>
      <c r="F274" s="7"/>
      <c r="G274" s="7"/>
    </row>
    <row r="275" spans="4:7" x14ac:dyDescent="0.3">
      <c r="D275" s="7"/>
      <c r="E275" s="7"/>
      <c r="F275" s="7"/>
      <c r="G275" s="7"/>
    </row>
    <row r="276" spans="4:7" x14ac:dyDescent="0.3">
      <c r="D276" s="7"/>
      <c r="E276" s="7"/>
      <c r="F276" s="7"/>
      <c r="G276" s="7"/>
    </row>
    <row r="277" spans="4:7" x14ac:dyDescent="0.3">
      <c r="D277" s="7"/>
      <c r="E277" s="7"/>
      <c r="F277" s="7"/>
      <c r="G277" s="7"/>
    </row>
    <row r="278" spans="4:7" x14ac:dyDescent="0.3">
      <c r="D278" s="7"/>
      <c r="E278" s="7"/>
      <c r="F278" s="7"/>
      <c r="G278" s="7"/>
    </row>
    <row r="279" spans="4:7" x14ac:dyDescent="0.3">
      <c r="D279" s="7"/>
      <c r="E279" s="7"/>
      <c r="F279" s="7"/>
      <c r="G279" s="7"/>
    </row>
    <row r="280" spans="4:7" x14ac:dyDescent="0.3">
      <c r="D280" s="7"/>
      <c r="E280" s="7"/>
      <c r="F280" s="7"/>
      <c r="G280" s="7"/>
    </row>
    <row r="281" spans="4:7" x14ac:dyDescent="0.3">
      <c r="D281" s="7"/>
      <c r="E281" s="7"/>
      <c r="F281" s="7"/>
      <c r="G281" s="7"/>
    </row>
    <row r="282" spans="4:7" x14ac:dyDescent="0.3">
      <c r="D282" s="7"/>
      <c r="E282" s="7"/>
      <c r="F282" s="7"/>
      <c r="G282" s="7"/>
    </row>
    <row r="283" spans="4:7" x14ac:dyDescent="0.3">
      <c r="D283" s="7"/>
      <c r="E283" s="7"/>
      <c r="F283" s="7"/>
      <c r="G283" s="7"/>
    </row>
    <row r="284" spans="4:7" x14ac:dyDescent="0.3">
      <c r="D284" s="7"/>
      <c r="E284" s="7"/>
      <c r="F284" s="7"/>
      <c r="G284" s="7"/>
    </row>
    <row r="285" spans="4:7" x14ac:dyDescent="0.3">
      <c r="D285" s="7"/>
      <c r="E285" s="7"/>
      <c r="F285" s="7"/>
      <c r="G285" s="7"/>
    </row>
    <row r="286" spans="4:7" x14ac:dyDescent="0.3">
      <c r="D286" s="7"/>
      <c r="E286" s="7"/>
      <c r="F286" s="7"/>
      <c r="G286" s="7"/>
    </row>
    <row r="287" spans="4:7" x14ac:dyDescent="0.3">
      <c r="D287" s="7"/>
      <c r="E287" s="7"/>
      <c r="F287" s="7"/>
      <c r="G287" s="7"/>
    </row>
    <row r="288" spans="4:7" x14ac:dyDescent="0.3">
      <c r="D288" s="7"/>
      <c r="E288" s="7"/>
      <c r="F288" s="7"/>
      <c r="G288" s="7"/>
    </row>
    <row r="289" spans="4:7" x14ac:dyDescent="0.3">
      <c r="D289" s="7"/>
      <c r="E289" s="7"/>
      <c r="F289" s="7"/>
      <c r="G289" s="7"/>
    </row>
    <row r="290" spans="4:7" x14ac:dyDescent="0.3">
      <c r="D290" s="7"/>
      <c r="E290" s="7"/>
      <c r="F290" s="7"/>
      <c r="G290" s="7"/>
    </row>
    <row r="291" spans="4:7" x14ac:dyDescent="0.3">
      <c r="D291" s="7"/>
      <c r="E291" s="7"/>
      <c r="F291" s="7"/>
      <c r="G291" s="7"/>
    </row>
    <row r="292" spans="4:7" x14ac:dyDescent="0.3">
      <c r="D292" s="7"/>
      <c r="E292" s="7"/>
      <c r="F292" s="7"/>
      <c r="G292" s="7"/>
    </row>
    <row r="293" spans="4:7" x14ac:dyDescent="0.3">
      <c r="D293" s="7"/>
      <c r="E293" s="7"/>
      <c r="F293" s="7"/>
      <c r="G293" s="7"/>
    </row>
    <row r="294" spans="4:7" x14ac:dyDescent="0.3">
      <c r="D294" s="7"/>
      <c r="E294" s="7"/>
      <c r="F294" s="7"/>
      <c r="G294" s="7"/>
    </row>
    <row r="295" spans="4:7" x14ac:dyDescent="0.3">
      <c r="D295" s="7"/>
      <c r="E295" s="7"/>
      <c r="F295" s="7"/>
      <c r="G295" s="7"/>
    </row>
    <row r="296" spans="4:7" x14ac:dyDescent="0.3">
      <c r="D296" s="7"/>
      <c r="E296" s="7"/>
      <c r="F296" s="7"/>
      <c r="G296" s="7"/>
    </row>
    <row r="297" spans="4:7" x14ac:dyDescent="0.3">
      <c r="D297" s="7"/>
      <c r="E297" s="7"/>
      <c r="F297" s="7"/>
      <c r="G297" s="7"/>
    </row>
    <row r="298" spans="4:7" x14ac:dyDescent="0.3">
      <c r="D298" s="7"/>
      <c r="E298" s="7"/>
      <c r="F298" s="7"/>
      <c r="G298" s="7"/>
    </row>
    <row r="299" spans="4:7" x14ac:dyDescent="0.3">
      <c r="D299" s="7"/>
      <c r="E299" s="7"/>
      <c r="F299" s="7"/>
      <c r="G299" s="7"/>
    </row>
    <row r="300" spans="4:7" x14ac:dyDescent="0.3">
      <c r="D300" s="7"/>
      <c r="E300" s="7"/>
      <c r="F300" s="7"/>
      <c r="G300" s="7"/>
    </row>
    <row r="301" spans="4:7" x14ac:dyDescent="0.3">
      <c r="D301" s="7"/>
      <c r="E301" s="7"/>
      <c r="F301" s="7"/>
      <c r="G301" s="7"/>
    </row>
    <row r="302" spans="4:7" x14ac:dyDescent="0.3">
      <c r="D302" s="7"/>
      <c r="E302" s="7"/>
      <c r="F302" s="7"/>
      <c r="G302" s="7"/>
    </row>
    <row r="303" spans="4:7" x14ac:dyDescent="0.3">
      <c r="D303" s="7"/>
      <c r="E303" s="7"/>
      <c r="F303" s="7"/>
      <c r="G303" s="7"/>
    </row>
    <row r="304" spans="4:7" x14ac:dyDescent="0.3">
      <c r="D304" s="7"/>
      <c r="E304" s="7"/>
      <c r="F304" s="7"/>
      <c r="G304" s="7"/>
    </row>
    <row r="305" spans="4:7" x14ac:dyDescent="0.3">
      <c r="D305" s="7"/>
      <c r="E305" s="7"/>
      <c r="F305" s="7"/>
      <c r="G305" s="7"/>
    </row>
    <row r="306" spans="4:7" x14ac:dyDescent="0.3">
      <c r="D306" s="7"/>
      <c r="E306" s="7"/>
      <c r="F306" s="7"/>
      <c r="G306" s="7"/>
    </row>
    <row r="307" spans="4:7" x14ac:dyDescent="0.3">
      <c r="D307" s="7"/>
      <c r="E307" s="7"/>
      <c r="F307" s="7"/>
      <c r="G307" s="7"/>
    </row>
    <row r="308" spans="4:7" x14ac:dyDescent="0.3">
      <c r="D308" s="7"/>
      <c r="E308" s="7"/>
      <c r="F308" s="7"/>
      <c r="G308" s="7"/>
    </row>
    <row r="309" spans="4:7" x14ac:dyDescent="0.3">
      <c r="D309" s="7"/>
      <c r="E309" s="7"/>
      <c r="F309" s="7"/>
      <c r="G309" s="7"/>
    </row>
    <row r="310" spans="4:7" x14ac:dyDescent="0.3">
      <c r="D310" s="7"/>
      <c r="E310" s="7"/>
      <c r="F310" s="7"/>
      <c r="G310" s="7"/>
    </row>
    <row r="311" spans="4:7" x14ac:dyDescent="0.3">
      <c r="D311" s="7"/>
      <c r="E311" s="7"/>
      <c r="F311" s="7"/>
      <c r="G311" s="7"/>
    </row>
    <row r="312" spans="4:7" x14ac:dyDescent="0.3">
      <c r="D312" s="7"/>
      <c r="E312" s="7"/>
      <c r="F312" s="7"/>
      <c r="G312" s="7"/>
    </row>
    <row r="313" spans="4:7" x14ac:dyDescent="0.3">
      <c r="D313" s="7"/>
      <c r="E313" s="7"/>
      <c r="F313" s="7"/>
      <c r="G313" s="7"/>
    </row>
    <row r="314" spans="4:7" x14ac:dyDescent="0.3">
      <c r="D314" s="7"/>
      <c r="E314" s="7"/>
      <c r="F314" s="7"/>
      <c r="G314" s="7"/>
    </row>
    <row r="315" spans="4:7" x14ac:dyDescent="0.3">
      <c r="D315" s="7"/>
      <c r="E315" s="7"/>
      <c r="F315" s="7"/>
      <c r="G315" s="7"/>
    </row>
    <row r="316" spans="4:7" x14ac:dyDescent="0.3">
      <c r="D316" s="7"/>
      <c r="E316" s="7"/>
      <c r="F316" s="7"/>
      <c r="G316" s="7"/>
    </row>
    <row r="317" spans="4:7" x14ac:dyDescent="0.3">
      <c r="D317" s="7"/>
      <c r="E317" s="7"/>
      <c r="F317" s="7"/>
      <c r="G317" s="7"/>
    </row>
    <row r="318" spans="4:7" x14ac:dyDescent="0.3">
      <c r="D318" s="7"/>
      <c r="E318" s="7"/>
      <c r="F318" s="7"/>
      <c r="G318" s="7"/>
    </row>
    <row r="319" spans="4:7" x14ac:dyDescent="0.3">
      <c r="D319" s="7"/>
      <c r="E319" s="7"/>
      <c r="F319" s="7"/>
      <c r="G319" s="7"/>
    </row>
    <row r="320" spans="4:7" x14ac:dyDescent="0.3">
      <c r="D320" s="7"/>
      <c r="E320" s="7"/>
      <c r="F320" s="7"/>
      <c r="G320" s="7"/>
    </row>
    <row r="321" spans="4:7" x14ac:dyDescent="0.3">
      <c r="D321" s="7"/>
      <c r="E321" s="7"/>
      <c r="F321" s="7"/>
      <c r="G321" s="7"/>
    </row>
    <row r="322" spans="4:7" x14ac:dyDescent="0.3">
      <c r="D322" s="7"/>
      <c r="E322" s="7"/>
      <c r="F322" s="7"/>
      <c r="G322" s="7"/>
    </row>
    <row r="323" spans="4:7" x14ac:dyDescent="0.3">
      <c r="D323" s="7"/>
      <c r="E323" s="7"/>
      <c r="F323" s="7"/>
      <c r="G323" s="7"/>
    </row>
    <row r="324" spans="4:7" x14ac:dyDescent="0.3">
      <c r="D324" s="7"/>
      <c r="E324" s="7"/>
      <c r="F324" s="7"/>
      <c r="G324" s="7"/>
    </row>
    <row r="325" spans="4:7" x14ac:dyDescent="0.3">
      <c r="D325" s="7"/>
      <c r="E325" s="7"/>
      <c r="F325" s="7"/>
      <c r="G325" s="7"/>
    </row>
    <row r="326" spans="4:7" x14ac:dyDescent="0.3">
      <c r="D326" s="7"/>
      <c r="E326" s="7"/>
      <c r="F326" s="7"/>
      <c r="G326" s="7"/>
    </row>
    <row r="327" spans="4:7" x14ac:dyDescent="0.3">
      <c r="D327" s="7"/>
      <c r="E327" s="7"/>
      <c r="F327" s="7"/>
      <c r="G327" s="7"/>
    </row>
    <row r="328" spans="4:7" x14ac:dyDescent="0.3">
      <c r="D328" s="7"/>
      <c r="E328" s="7"/>
      <c r="F328" s="7"/>
      <c r="G328" s="7"/>
    </row>
    <row r="329" spans="4:7" x14ac:dyDescent="0.3">
      <c r="D329" s="7"/>
      <c r="E329" s="7"/>
      <c r="F329" s="7"/>
      <c r="G329" s="7"/>
    </row>
    <row r="330" spans="4:7" x14ac:dyDescent="0.3">
      <c r="D330" s="7"/>
      <c r="E330" s="7"/>
      <c r="F330" s="7"/>
      <c r="G330" s="7"/>
    </row>
    <row r="331" spans="4:7" x14ac:dyDescent="0.3">
      <c r="D331" s="7"/>
      <c r="E331" s="7"/>
      <c r="F331" s="7"/>
      <c r="G331" s="7"/>
    </row>
    <row r="332" spans="4:7" x14ac:dyDescent="0.3">
      <c r="D332" s="7"/>
      <c r="E332" s="7"/>
      <c r="F332" s="7"/>
      <c r="G332" s="7"/>
    </row>
    <row r="333" spans="4:7" x14ac:dyDescent="0.3">
      <c r="D333" s="7"/>
      <c r="E333" s="7"/>
      <c r="F333" s="7"/>
      <c r="G333" s="7"/>
    </row>
    <row r="334" spans="4:7" x14ac:dyDescent="0.3">
      <c r="D334" s="7"/>
      <c r="E334" s="7"/>
      <c r="F334" s="7"/>
      <c r="G334" s="7"/>
    </row>
    <row r="335" spans="4:7" x14ac:dyDescent="0.3">
      <c r="D335" s="7"/>
      <c r="E335" s="7"/>
      <c r="F335" s="7"/>
      <c r="G335" s="7"/>
    </row>
    <row r="336" spans="4:7" x14ac:dyDescent="0.3">
      <c r="D336" s="7"/>
      <c r="E336" s="7"/>
      <c r="F336" s="7"/>
      <c r="G336" s="7"/>
    </row>
    <row r="337" spans="4:7" x14ac:dyDescent="0.3">
      <c r="D337" s="7"/>
      <c r="E337" s="7"/>
      <c r="F337" s="7"/>
      <c r="G337" s="7"/>
    </row>
    <row r="338" spans="4:7" x14ac:dyDescent="0.3">
      <c r="D338" s="7"/>
      <c r="E338" s="7"/>
      <c r="F338" s="7"/>
      <c r="G338" s="7"/>
    </row>
    <row r="339" spans="4:7" x14ac:dyDescent="0.3">
      <c r="D339" s="7"/>
      <c r="E339" s="7"/>
      <c r="F339" s="7"/>
      <c r="G339" s="7"/>
    </row>
    <row r="340" spans="4:7" x14ac:dyDescent="0.3">
      <c r="D340" s="7"/>
      <c r="E340" s="7"/>
      <c r="F340" s="7"/>
      <c r="G340" s="7"/>
    </row>
    <row r="341" spans="4:7" x14ac:dyDescent="0.3">
      <c r="D341" s="7"/>
      <c r="E341" s="7"/>
      <c r="F341" s="7"/>
      <c r="G341" s="7"/>
    </row>
    <row r="342" spans="4:7" x14ac:dyDescent="0.3">
      <c r="D342" s="7"/>
      <c r="E342" s="7"/>
      <c r="F342" s="7"/>
      <c r="G342" s="7"/>
    </row>
    <row r="343" spans="4:7" x14ac:dyDescent="0.3">
      <c r="D343" s="7"/>
      <c r="E343" s="7"/>
      <c r="F343" s="7"/>
      <c r="G343" s="7"/>
    </row>
    <row r="344" spans="4:7" x14ac:dyDescent="0.3">
      <c r="D344" s="7"/>
      <c r="E344" s="7"/>
      <c r="F344" s="7"/>
      <c r="G344" s="7"/>
    </row>
    <row r="345" spans="4:7" x14ac:dyDescent="0.3">
      <c r="D345" s="7"/>
      <c r="E345" s="7"/>
      <c r="F345" s="7"/>
      <c r="G345" s="7"/>
    </row>
    <row r="346" spans="4:7" x14ac:dyDescent="0.3">
      <c r="D346" s="7"/>
      <c r="E346" s="7"/>
      <c r="F346" s="7"/>
      <c r="G346" s="7"/>
    </row>
    <row r="347" spans="4:7" x14ac:dyDescent="0.3">
      <c r="D347" s="7"/>
      <c r="E347" s="7"/>
      <c r="F347" s="7"/>
      <c r="G347" s="7"/>
    </row>
    <row r="348" spans="4:7" x14ac:dyDescent="0.3">
      <c r="D348" s="7"/>
      <c r="E348" s="7"/>
      <c r="F348" s="7"/>
      <c r="G348" s="7"/>
    </row>
    <row r="349" spans="4:7" x14ac:dyDescent="0.3">
      <c r="D349" s="7"/>
      <c r="E349" s="7"/>
      <c r="F349" s="7"/>
      <c r="G349" s="7"/>
    </row>
    <row r="350" spans="4:7" x14ac:dyDescent="0.3">
      <c r="D350" s="7"/>
      <c r="E350" s="7"/>
      <c r="F350" s="7"/>
      <c r="G350" s="7"/>
    </row>
    <row r="351" spans="4:7" x14ac:dyDescent="0.3">
      <c r="D351" s="7"/>
      <c r="E351" s="7"/>
      <c r="F351" s="7"/>
      <c r="G351" s="7"/>
    </row>
    <row r="352" spans="4:7" x14ac:dyDescent="0.3">
      <c r="D352" s="7"/>
      <c r="E352" s="7"/>
      <c r="F352" s="7"/>
      <c r="G352" s="7"/>
    </row>
    <row r="353" spans="4:7" x14ac:dyDescent="0.3">
      <c r="D353" s="7"/>
      <c r="E353" s="7"/>
      <c r="F353" s="7"/>
      <c r="G353" s="7"/>
    </row>
    <row r="354" spans="4:7" x14ac:dyDescent="0.3">
      <c r="D354" s="7"/>
      <c r="E354" s="7"/>
      <c r="F354" s="7"/>
      <c r="G354" s="7"/>
    </row>
    <row r="355" spans="4:7" x14ac:dyDescent="0.3">
      <c r="D355" s="7"/>
      <c r="E355" s="7"/>
      <c r="F355" s="7"/>
      <c r="G355" s="7"/>
    </row>
    <row r="356" spans="4:7" x14ac:dyDescent="0.3">
      <c r="D356" s="7"/>
      <c r="E356" s="7"/>
      <c r="F356" s="7"/>
      <c r="G356" s="7"/>
    </row>
    <row r="357" spans="4:7" x14ac:dyDescent="0.3">
      <c r="D357" s="7"/>
      <c r="E357" s="7"/>
      <c r="F357" s="7"/>
      <c r="G357" s="7"/>
    </row>
    <row r="358" spans="4:7" x14ac:dyDescent="0.3">
      <c r="D358" s="7"/>
      <c r="E358" s="7"/>
      <c r="F358" s="7"/>
      <c r="G358" s="7"/>
    </row>
    <row r="359" spans="4:7" x14ac:dyDescent="0.3">
      <c r="D359" s="7"/>
      <c r="E359" s="7"/>
      <c r="F359" s="7"/>
      <c r="G359" s="7"/>
    </row>
    <row r="360" spans="4:7" x14ac:dyDescent="0.3">
      <c r="D360" s="7"/>
      <c r="E360" s="7"/>
      <c r="F360" s="7"/>
      <c r="G360" s="7"/>
    </row>
    <row r="361" spans="4:7" x14ac:dyDescent="0.3">
      <c r="D361" s="7"/>
      <c r="E361" s="7"/>
      <c r="F361" s="7"/>
      <c r="G361" s="7"/>
    </row>
    <row r="362" spans="4:7" x14ac:dyDescent="0.3">
      <c r="D362" s="7"/>
      <c r="E362" s="7"/>
      <c r="F362" s="7"/>
      <c r="G362" s="7"/>
    </row>
    <row r="363" spans="4:7" x14ac:dyDescent="0.3">
      <c r="D363" s="7"/>
      <c r="E363" s="7"/>
      <c r="F363" s="7"/>
      <c r="G363" s="7"/>
    </row>
    <row r="364" spans="4:7" x14ac:dyDescent="0.3">
      <c r="D364" s="7"/>
      <c r="E364" s="7"/>
      <c r="F364" s="7"/>
      <c r="G364" s="7"/>
    </row>
    <row r="365" spans="4:7" x14ac:dyDescent="0.3">
      <c r="D365" s="7"/>
      <c r="E365" s="7"/>
      <c r="F365" s="7"/>
      <c r="G365" s="7"/>
    </row>
    <row r="366" spans="4:7" x14ac:dyDescent="0.3">
      <c r="D366" s="7"/>
      <c r="E366" s="7"/>
      <c r="F366" s="7"/>
      <c r="G366" s="7"/>
    </row>
    <row r="367" spans="4:7" x14ac:dyDescent="0.3">
      <c r="D367" s="7"/>
      <c r="E367" s="7"/>
      <c r="F367" s="7"/>
      <c r="G367" s="7"/>
    </row>
    <row r="368" spans="4:7" x14ac:dyDescent="0.3">
      <c r="D368" s="7"/>
      <c r="E368" s="7"/>
      <c r="F368" s="7"/>
      <c r="G368" s="7"/>
    </row>
    <row r="369" spans="4:7" x14ac:dyDescent="0.3">
      <c r="D369" s="7"/>
      <c r="E369" s="7"/>
      <c r="F369" s="7"/>
      <c r="G369" s="7"/>
    </row>
    <row r="370" spans="4:7" x14ac:dyDescent="0.3">
      <c r="D370" s="7"/>
      <c r="E370" s="7"/>
      <c r="F370" s="7"/>
      <c r="G370" s="7"/>
    </row>
    <row r="371" spans="4:7" x14ac:dyDescent="0.3">
      <c r="D371" s="7"/>
      <c r="E371" s="7"/>
      <c r="F371" s="7"/>
      <c r="G371" s="7"/>
    </row>
    <row r="372" spans="4:7" x14ac:dyDescent="0.3">
      <c r="D372" s="7"/>
      <c r="E372" s="7"/>
      <c r="F372" s="7"/>
      <c r="G372" s="7"/>
    </row>
    <row r="373" spans="4:7" x14ac:dyDescent="0.3">
      <c r="D373" s="7"/>
      <c r="E373" s="7"/>
      <c r="F373" s="7"/>
      <c r="G373" s="7"/>
    </row>
    <row r="374" spans="4:7" x14ac:dyDescent="0.3">
      <c r="D374" s="7"/>
      <c r="E374" s="7"/>
      <c r="F374" s="7"/>
      <c r="G374" s="7"/>
    </row>
    <row r="375" spans="4:7" x14ac:dyDescent="0.3">
      <c r="D375" s="7"/>
      <c r="E375" s="7"/>
      <c r="F375" s="7"/>
      <c r="G375" s="7"/>
    </row>
    <row r="376" spans="4:7" x14ac:dyDescent="0.3">
      <c r="D376" s="7"/>
      <c r="E376" s="7"/>
      <c r="F376" s="7"/>
      <c r="G376" s="7"/>
    </row>
    <row r="377" spans="4:7" x14ac:dyDescent="0.3">
      <c r="D377" s="7"/>
      <c r="E377" s="7"/>
      <c r="F377" s="7"/>
      <c r="G377" s="7"/>
    </row>
    <row r="378" spans="4:7" x14ac:dyDescent="0.3">
      <c r="D378" s="7"/>
      <c r="E378" s="7"/>
      <c r="F378" s="7"/>
      <c r="G378" s="7"/>
    </row>
    <row r="379" spans="4:7" x14ac:dyDescent="0.3">
      <c r="D379" s="7"/>
      <c r="E379" s="7"/>
      <c r="F379" s="7"/>
      <c r="G379" s="7"/>
    </row>
    <row r="380" spans="4:7" x14ac:dyDescent="0.3">
      <c r="D380" s="7"/>
      <c r="E380" s="7"/>
      <c r="F380" s="7"/>
      <c r="G380" s="7"/>
    </row>
    <row r="381" spans="4:7" x14ac:dyDescent="0.3">
      <c r="D381" s="7"/>
      <c r="E381" s="7"/>
      <c r="F381" s="7"/>
      <c r="G381" s="7"/>
    </row>
    <row r="382" spans="4:7" x14ac:dyDescent="0.3">
      <c r="D382" s="7"/>
      <c r="E382" s="7"/>
      <c r="F382" s="7"/>
      <c r="G382" s="7"/>
    </row>
    <row r="383" spans="4:7" x14ac:dyDescent="0.3">
      <c r="D383" s="7"/>
      <c r="E383" s="7"/>
      <c r="F383" s="7"/>
      <c r="G383" s="7"/>
    </row>
    <row r="384" spans="4:7" x14ac:dyDescent="0.3">
      <c r="D384" s="7"/>
      <c r="E384" s="7"/>
      <c r="F384" s="7"/>
      <c r="G384" s="7"/>
    </row>
    <row r="385" spans="4:7" x14ac:dyDescent="0.3">
      <c r="D385" s="7"/>
      <c r="E385" s="7"/>
      <c r="F385" s="7"/>
      <c r="G385" s="7"/>
    </row>
    <row r="386" spans="4:7" x14ac:dyDescent="0.3">
      <c r="D386" s="7"/>
      <c r="E386" s="7"/>
      <c r="F386" s="7"/>
      <c r="G386" s="7"/>
    </row>
    <row r="387" spans="4:7" x14ac:dyDescent="0.3">
      <c r="D387" s="7"/>
      <c r="E387" s="7"/>
      <c r="F387" s="7"/>
      <c r="G387" s="7"/>
    </row>
    <row r="388" spans="4:7" x14ac:dyDescent="0.3">
      <c r="D388" s="7"/>
      <c r="E388" s="7"/>
      <c r="F388" s="7"/>
      <c r="G388" s="7"/>
    </row>
    <row r="389" spans="4:7" x14ac:dyDescent="0.3">
      <c r="D389" s="7"/>
      <c r="E389" s="7"/>
      <c r="F389" s="7"/>
      <c r="G389" s="7"/>
    </row>
    <row r="390" spans="4:7" x14ac:dyDescent="0.3">
      <c r="D390" s="7"/>
      <c r="E390" s="7"/>
      <c r="F390" s="7"/>
      <c r="G390" s="7"/>
    </row>
    <row r="391" spans="4:7" x14ac:dyDescent="0.3">
      <c r="D391" s="7"/>
      <c r="E391" s="7"/>
      <c r="F391" s="7"/>
      <c r="G391" s="7"/>
    </row>
    <row r="392" spans="4:7" x14ac:dyDescent="0.3">
      <c r="D392" s="7"/>
      <c r="E392" s="7"/>
      <c r="F392" s="7"/>
      <c r="G392" s="7"/>
    </row>
    <row r="393" spans="4:7" x14ac:dyDescent="0.3">
      <c r="D393" s="7"/>
      <c r="E393" s="7"/>
      <c r="F393" s="7"/>
      <c r="G393" s="7"/>
    </row>
    <row r="394" spans="4:7" x14ac:dyDescent="0.3">
      <c r="D394" s="7"/>
      <c r="E394" s="7"/>
      <c r="F394" s="7"/>
      <c r="G394" s="7"/>
    </row>
    <row r="395" spans="4:7" x14ac:dyDescent="0.3">
      <c r="D395" s="7"/>
      <c r="E395" s="7"/>
      <c r="F395" s="7"/>
      <c r="G395" s="7"/>
    </row>
    <row r="396" spans="4:7" x14ac:dyDescent="0.3">
      <c r="D396" s="7"/>
      <c r="E396" s="7"/>
      <c r="F396" s="7"/>
      <c r="G396" s="7"/>
    </row>
    <row r="397" spans="4:7" x14ac:dyDescent="0.3">
      <c r="D397" s="7"/>
      <c r="E397" s="7"/>
      <c r="F397" s="7"/>
      <c r="G397" s="7"/>
    </row>
    <row r="398" spans="4:7" x14ac:dyDescent="0.3">
      <c r="D398" s="7"/>
      <c r="E398" s="7"/>
      <c r="F398" s="7"/>
      <c r="G398" s="7"/>
    </row>
    <row r="399" spans="4:7" x14ac:dyDescent="0.3">
      <c r="D399" s="7"/>
      <c r="E399" s="7"/>
      <c r="F399" s="7"/>
      <c r="G399" s="7"/>
    </row>
    <row r="400" spans="4:7" x14ac:dyDescent="0.3">
      <c r="D400" s="7"/>
      <c r="E400" s="7"/>
      <c r="F400" s="7"/>
      <c r="G400" s="7"/>
    </row>
    <row r="401" spans="4:7" x14ac:dyDescent="0.3">
      <c r="D401" s="7"/>
      <c r="E401" s="7"/>
      <c r="F401" s="7"/>
      <c r="G401" s="7"/>
    </row>
    <row r="402" spans="4:7" x14ac:dyDescent="0.3">
      <c r="D402" s="7"/>
      <c r="E402" s="7"/>
      <c r="F402" s="7"/>
      <c r="G402" s="7"/>
    </row>
    <row r="403" spans="4:7" x14ac:dyDescent="0.3">
      <c r="D403" s="7"/>
      <c r="E403" s="7"/>
      <c r="F403" s="7"/>
      <c r="G403" s="7"/>
    </row>
    <row r="404" spans="4:7" x14ac:dyDescent="0.3">
      <c r="D404" s="7"/>
      <c r="E404" s="7"/>
      <c r="F404" s="7"/>
      <c r="G404" s="7"/>
    </row>
    <row r="405" spans="4:7" x14ac:dyDescent="0.3">
      <c r="D405" s="7"/>
      <c r="E405" s="7"/>
      <c r="F405" s="7"/>
      <c r="G405" s="7"/>
    </row>
    <row r="406" spans="4:7" x14ac:dyDescent="0.3">
      <c r="D406" s="7"/>
      <c r="E406" s="7"/>
      <c r="F406" s="7"/>
      <c r="G406" s="7"/>
    </row>
    <row r="407" spans="4:7" x14ac:dyDescent="0.3">
      <c r="D407" s="7"/>
      <c r="E407" s="7"/>
      <c r="F407" s="7"/>
      <c r="G407" s="7"/>
    </row>
    <row r="408" spans="4:7" x14ac:dyDescent="0.3">
      <c r="D408" s="7"/>
      <c r="E408" s="7"/>
      <c r="F408" s="7"/>
      <c r="G408" s="7"/>
    </row>
    <row r="409" spans="4:7" x14ac:dyDescent="0.3">
      <c r="D409" s="7"/>
      <c r="E409" s="7"/>
      <c r="F409" s="7"/>
      <c r="G409" s="7"/>
    </row>
    <row r="410" spans="4:7" x14ac:dyDescent="0.3">
      <c r="D410" s="7"/>
      <c r="E410" s="7"/>
      <c r="F410" s="7"/>
      <c r="G410" s="7"/>
    </row>
    <row r="411" spans="4:7" x14ac:dyDescent="0.3">
      <c r="D411" s="7"/>
      <c r="E411" s="7"/>
      <c r="F411" s="7"/>
      <c r="G411" s="7"/>
    </row>
    <row r="412" spans="4:7" x14ac:dyDescent="0.3">
      <c r="D412" s="7"/>
      <c r="E412" s="7"/>
      <c r="F412" s="7"/>
      <c r="G412" s="7"/>
    </row>
    <row r="413" spans="4:7" x14ac:dyDescent="0.3">
      <c r="D413" s="7"/>
      <c r="E413" s="7"/>
      <c r="F413" s="7"/>
      <c r="G413" s="7"/>
    </row>
    <row r="414" spans="4:7" x14ac:dyDescent="0.3">
      <c r="D414" s="7"/>
      <c r="E414" s="7"/>
      <c r="F414" s="7"/>
      <c r="G414" s="7"/>
    </row>
    <row r="415" spans="4:7" x14ac:dyDescent="0.3">
      <c r="D415" s="7"/>
      <c r="E415" s="7"/>
      <c r="F415" s="7"/>
      <c r="G415" s="7"/>
    </row>
    <row r="416" spans="4:7" x14ac:dyDescent="0.3">
      <c r="D416" s="7"/>
      <c r="E416" s="7"/>
      <c r="F416" s="7"/>
      <c r="G416" s="7"/>
    </row>
    <row r="417" spans="4:7" x14ac:dyDescent="0.3">
      <c r="D417" s="7"/>
      <c r="E417" s="7"/>
      <c r="F417" s="7"/>
      <c r="G417" s="7"/>
    </row>
    <row r="418" spans="4:7" x14ac:dyDescent="0.3">
      <c r="D418" s="7"/>
      <c r="E418" s="7"/>
      <c r="F418" s="7"/>
      <c r="G418" s="7"/>
    </row>
    <row r="419" spans="4:7" x14ac:dyDescent="0.3">
      <c r="D419" s="7"/>
      <c r="E419" s="7"/>
      <c r="F419" s="7"/>
      <c r="G419" s="7"/>
    </row>
    <row r="420" spans="4:7" x14ac:dyDescent="0.3">
      <c r="D420" s="7"/>
      <c r="E420" s="7"/>
      <c r="F420" s="7"/>
      <c r="G420" s="7"/>
    </row>
    <row r="421" spans="4:7" x14ac:dyDescent="0.3">
      <c r="D421" s="7"/>
      <c r="E421" s="7"/>
      <c r="F421" s="7"/>
      <c r="G421" s="7"/>
    </row>
    <row r="422" spans="4:7" x14ac:dyDescent="0.3">
      <c r="D422" s="7"/>
      <c r="E422" s="7"/>
      <c r="F422" s="7"/>
      <c r="G422" s="7"/>
    </row>
    <row r="423" spans="4:7" x14ac:dyDescent="0.3">
      <c r="D423" s="7"/>
      <c r="E423" s="7"/>
      <c r="F423" s="7"/>
      <c r="G423" s="7"/>
    </row>
    <row r="424" spans="4:7" x14ac:dyDescent="0.3">
      <c r="D424" s="7"/>
      <c r="E424" s="7"/>
      <c r="F424" s="7"/>
      <c r="G424" s="7"/>
    </row>
    <row r="425" spans="4:7" x14ac:dyDescent="0.3">
      <c r="D425" s="7"/>
      <c r="E425" s="7"/>
      <c r="F425" s="7"/>
      <c r="G425" s="7"/>
    </row>
    <row r="426" spans="4:7" x14ac:dyDescent="0.3">
      <c r="D426" s="7"/>
      <c r="E426" s="7"/>
      <c r="F426" s="7"/>
      <c r="G426" s="7"/>
    </row>
    <row r="427" spans="4:7" x14ac:dyDescent="0.3">
      <c r="D427" s="7"/>
      <c r="E427" s="7"/>
      <c r="F427" s="7"/>
      <c r="G427" s="7"/>
    </row>
    <row r="428" spans="4:7" x14ac:dyDescent="0.3">
      <c r="D428" s="7"/>
      <c r="E428" s="7"/>
      <c r="F428" s="7"/>
      <c r="G428" s="7"/>
    </row>
    <row r="429" spans="4:7" x14ac:dyDescent="0.3">
      <c r="D429" s="7"/>
      <c r="E429" s="7"/>
      <c r="F429" s="7"/>
      <c r="G429" s="7"/>
    </row>
    <row r="430" spans="4:7" x14ac:dyDescent="0.3">
      <c r="D430" s="7"/>
      <c r="E430" s="7"/>
      <c r="F430" s="7"/>
      <c r="G430" s="7"/>
    </row>
    <row r="431" spans="4:7" x14ac:dyDescent="0.3">
      <c r="D431" s="7"/>
      <c r="E431" s="7"/>
      <c r="F431" s="7"/>
      <c r="G431" s="7"/>
    </row>
    <row r="432" spans="4:7" x14ac:dyDescent="0.3">
      <c r="D432" s="7"/>
      <c r="E432" s="7"/>
      <c r="F432" s="7"/>
      <c r="G432" s="7"/>
    </row>
    <row r="433" spans="4:7" x14ac:dyDescent="0.3">
      <c r="D433" s="7"/>
      <c r="E433" s="7"/>
      <c r="F433" s="7"/>
      <c r="G433" s="7"/>
    </row>
    <row r="434" spans="4:7" x14ac:dyDescent="0.3">
      <c r="D434" s="7"/>
      <c r="E434" s="7"/>
      <c r="F434" s="7"/>
      <c r="G434" s="7"/>
    </row>
    <row r="435" spans="4:7" x14ac:dyDescent="0.3">
      <c r="D435" s="7"/>
      <c r="E435" s="7"/>
      <c r="F435" s="7"/>
      <c r="G435" s="7"/>
    </row>
    <row r="436" spans="4:7" x14ac:dyDescent="0.3">
      <c r="D436" s="7"/>
      <c r="E436" s="7"/>
      <c r="F436" s="7"/>
      <c r="G436" s="7"/>
    </row>
    <row r="437" spans="4:7" x14ac:dyDescent="0.3">
      <c r="D437" s="7"/>
      <c r="E437" s="7"/>
      <c r="F437" s="7"/>
      <c r="G437" s="7"/>
    </row>
    <row r="438" spans="4:7" x14ac:dyDescent="0.3">
      <c r="D438" s="7"/>
      <c r="E438" s="7"/>
      <c r="F438" s="7"/>
      <c r="G438" s="7"/>
    </row>
    <row r="439" spans="4:7" x14ac:dyDescent="0.3">
      <c r="D439" s="7"/>
      <c r="E439" s="7"/>
      <c r="F439" s="7"/>
      <c r="G439" s="7"/>
    </row>
    <row r="440" spans="4:7" x14ac:dyDescent="0.3">
      <c r="D440" s="7"/>
      <c r="E440" s="7"/>
      <c r="F440" s="7"/>
      <c r="G440" s="7"/>
    </row>
    <row r="441" spans="4:7" x14ac:dyDescent="0.3">
      <c r="D441" s="7"/>
      <c r="E441" s="7"/>
      <c r="F441" s="7"/>
      <c r="G441" s="7"/>
    </row>
    <row r="442" spans="4:7" x14ac:dyDescent="0.3">
      <c r="D442" s="7"/>
      <c r="E442" s="7"/>
      <c r="F442" s="7"/>
      <c r="G442" s="7"/>
    </row>
    <row r="443" spans="4:7" x14ac:dyDescent="0.3">
      <c r="D443" s="7"/>
      <c r="E443" s="7"/>
      <c r="F443" s="7"/>
      <c r="G443" s="7"/>
    </row>
    <row r="444" spans="4:7" x14ac:dyDescent="0.3">
      <c r="D444" s="7"/>
      <c r="E444" s="7"/>
      <c r="F444" s="7"/>
      <c r="G444" s="7"/>
    </row>
    <row r="445" spans="4:7" x14ac:dyDescent="0.3">
      <c r="D445" s="7"/>
      <c r="E445" s="7"/>
      <c r="F445" s="7"/>
      <c r="G445" s="7"/>
    </row>
    <row r="446" spans="4:7" x14ac:dyDescent="0.3">
      <c r="D446" s="7"/>
      <c r="E446" s="7"/>
      <c r="F446" s="7"/>
      <c r="G446" s="7"/>
    </row>
    <row r="447" spans="4:7" x14ac:dyDescent="0.3">
      <c r="D447" s="7"/>
      <c r="E447" s="7"/>
      <c r="F447" s="7"/>
      <c r="G447" s="7"/>
    </row>
    <row r="448" spans="4:7" x14ac:dyDescent="0.3">
      <c r="D448" s="7"/>
      <c r="E448" s="7"/>
      <c r="F448" s="7"/>
      <c r="G448" s="7"/>
    </row>
    <row r="449" spans="4:7" x14ac:dyDescent="0.3">
      <c r="D449" s="7"/>
      <c r="E449" s="7"/>
      <c r="F449" s="7"/>
      <c r="G449" s="7"/>
    </row>
    <row r="450" spans="4:7" x14ac:dyDescent="0.3">
      <c r="D450" s="7"/>
      <c r="E450" s="7"/>
      <c r="F450" s="7"/>
      <c r="G450" s="7"/>
    </row>
    <row r="451" spans="4:7" x14ac:dyDescent="0.3">
      <c r="D451" s="7"/>
      <c r="E451" s="7"/>
      <c r="F451" s="7"/>
      <c r="G451" s="7"/>
    </row>
    <row r="452" spans="4:7" x14ac:dyDescent="0.3">
      <c r="D452" s="7"/>
      <c r="E452" s="7"/>
      <c r="F452" s="7"/>
      <c r="G452" s="7"/>
    </row>
    <row r="453" spans="4:7" x14ac:dyDescent="0.3">
      <c r="D453" s="7"/>
      <c r="E453" s="7"/>
      <c r="F453" s="7"/>
      <c r="G453" s="7"/>
    </row>
    <row r="454" spans="4:7" x14ac:dyDescent="0.3">
      <c r="D454" s="7"/>
      <c r="E454" s="7"/>
      <c r="F454" s="7"/>
      <c r="G454" s="7"/>
    </row>
  </sheetData>
  <mergeCells count="23">
    <mergeCell ref="K2:K4"/>
    <mergeCell ref="H6:H7"/>
    <mergeCell ref="J6:J7"/>
    <mergeCell ref="A6:A7"/>
    <mergeCell ref="D6:E6"/>
    <mergeCell ref="A2:G3"/>
    <mergeCell ref="I2:I4"/>
    <mergeCell ref="I6:I7"/>
    <mergeCell ref="H2:H4"/>
    <mergeCell ref="K6:K7"/>
    <mergeCell ref="O29:P29"/>
    <mergeCell ref="O27:P28"/>
    <mergeCell ref="O20:P20"/>
    <mergeCell ref="O23:P24"/>
    <mergeCell ref="L2:L4"/>
    <mergeCell ref="O14:P15"/>
    <mergeCell ref="O16:P16"/>
    <mergeCell ref="O25:P25"/>
    <mergeCell ref="O9:P10"/>
    <mergeCell ref="O21:P21"/>
    <mergeCell ref="O18:P19"/>
    <mergeCell ref="P2:P4"/>
    <mergeCell ref="L6:L7"/>
  </mergeCells>
  <conditionalFormatting sqref="K9:K51">
    <cfRule type="cellIs" dxfId="13" priority="4" operator="equal">
      <formula>"DIREITO"</formula>
    </cfRule>
    <cfRule type="cellIs" dxfId="12" priority="5" operator="equal">
      <formula>"ESQUERDO"</formula>
    </cfRule>
  </conditionalFormatting>
  <dataValidations count="3">
    <dataValidation type="list" allowBlank="1" showInputMessage="1" showErrorMessage="1" sqref="I2:I5" xr:uid="{00000000-0002-0000-0700-000000000000}">
      <formula1>",SIM,NÃO"</formula1>
    </dataValidation>
    <dataValidation type="list" allowBlank="1" showInputMessage="1" showErrorMessage="1" sqref="K9:K51" xr:uid="{00000000-0002-0000-0700-000001000000}">
      <formula1>"LADO 1 PROJ,LADO 2 PROJ,LADO 3 PROJ,TRAFO, ,"</formula1>
    </dataValidation>
    <dataValidation type="list" allowBlank="1" showInputMessage="1" showErrorMessage="1" sqref="L6:L7" xr:uid="{4F200E71-1477-4260-B094-3A21AE284CCA}">
      <formula1>" ,SIM,NÃO"</formula1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ignoredErrors>
    <ignoredError sqref="I10:I51" calculatedColumn="1"/>
  </ignoredErrors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DD0C4F40-39C1-4C68-B4F6-537FE576B1FD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M3</xm:sqref>
        </x14:conditionalFormatting>
        <x14:conditionalFormatting xmlns:xm="http://schemas.microsoft.com/office/excel/2006/main">
          <x14:cfRule type="iconSet" priority="1" id="{A135D2B6-F5CC-4F9D-A03F-41AFDC7C0590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M5</xm:sqref>
        </x14:conditionalFormatting>
        <x14:conditionalFormatting xmlns:xm="http://schemas.microsoft.com/office/excel/2006/main">
          <x14:cfRule type="iconSet" priority="3" id="{B5BD7593-CBDF-45D6-9653-8E3662D8F9C8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M9:M51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ED2518-6673-4FD2-8E8D-1F8AE4864D43}">
          <x14:formula1>
            <xm:f>DB!$A$2:$A$32</xm:f>
          </x14:formula1>
          <xm:sqref>L9:L51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3"/>
  <sheetViews>
    <sheetView zoomScaleNormal="100" workbookViewId="0">
      <pane ySplit="7" topLeftCell="A8" activePane="bottomLeft" state="frozen"/>
      <selection activeCell="A35" sqref="A35:Y35"/>
      <selection pane="bottomLeft" activeCell="E8" sqref="E8"/>
    </sheetView>
  </sheetViews>
  <sheetFormatPr defaultRowHeight="14.4" x14ac:dyDescent="0.3"/>
  <cols>
    <col min="2" max="2" width="11.6640625" bestFit="1" customWidth="1"/>
    <col min="3" max="3" width="12.6640625" customWidth="1"/>
    <col min="4" max="4" width="11.33203125" customWidth="1"/>
    <col min="5" max="5" width="9.6640625" customWidth="1"/>
    <col min="6" max="6" width="10.44140625" bestFit="1" customWidth="1"/>
    <col min="7" max="7" width="11.5546875" bestFit="1" customWidth="1"/>
    <col min="8" max="8" width="11" customWidth="1"/>
    <col min="9" max="9" width="8.88671875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7.5546875" hidden="1" customWidth="1"/>
    <col min="19" max="19" width="20.6640625" hidden="1" customWidth="1"/>
    <col min="20" max="20" width="9" hidden="1" customWidth="1"/>
    <col min="21" max="21" width="8" bestFit="1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bestFit="1" customWidth="1"/>
    <col min="30" max="30" width="4.6640625" customWidth="1"/>
    <col min="31" max="31" width="11.5546875" bestFit="1" customWidth="1"/>
    <col min="32" max="32" width="12" customWidth="1"/>
  </cols>
  <sheetData>
    <row r="1" spans="1:33" x14ac:dyDescent="0.3">
      <c r="J1" s="118" t="s">
        <v>94</v>
      </c>
    </row>
    <row r="2" spans="1:33" x14ac:dyDescent="0.3">
      <c r="B2" s="259" t="s">
        <v>237</v>
      </c>
      <c r="C2" s="263" t="str">
        <f>Q23</f>
        <v/>
      </c>
      <c r="D2" s="260" t="str">
        <f>P23</f>
        <v/>
      </c>
      <c r="E2" s="170"/>
      <c r="F2" s="215"/>
      <c r="G2" s="215"/>
      <c r="H2" s="63"/>
      <c r="J2" s="118" t="s">
        <v>97</v>
      </c>
      <c r="AE2" s="204" t="s">
        <v>36</v>
      </c>
      <c r="AF2" s="205"/>
    </row>
    <row r="3" spans="1:33" x14ac:dyDescent="0.3">
      <c r="B3" s="209"/>
      <c r="C3" s="261"/>
      <c r="D3" s="261"/>
      <c r="F3" s="209"/>
      <c r="G3" s="209"/>
      <c r="H3" s="63"/>
      <c r="AE3" s="206"/>
      <c r="AF3" s="206"/>
    </row>
    <row r="4" spans="1:33" x14ac:dyDescent="0.3">
      <c r="AE4" s="11" t="s">
        <v>26</v>
      </c>
      <c r="AF4" s="13" t="str">
        <f>IFERROR(SUMPRODUCT(I8:I11,F8:F11)/SUM(I8:I11),"INSERIR DADOS")</f>
        <v>INSERIR DADOS</v>
      </c>
    </row>
    <row r="5" spans="1:33" ht="13.8" customHeight="1" x14ac:dyDescent="0.3">
      <c r="A5" s="259" t="s">
        <v>322</v>
      </c>
      <c r="B5" s="259" t="s">
        <v>13</v>
      </c>
      <c r="C5" s="220" t="s">
        <v>238</v>
      </c>
      <c r="D5" s="220" t="s">
        <v>330</v>
      </c>
      <c r="E5" s="220" t="s">
        <v>321</v>
      </c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 t="str">
        <f>IFERROR(SUMPRODUCT(I8:I11,G8:G11)/SUM(I8:I11),"INSERIR DADOS")</f>
        <v>INSERIR DADOS</v>
      </c>
    </row>
    <row r="6" spans="1:33" ht="34.200000000000003" customHeight="1" x14ac:dyDescent="0.3">
      <c r="A6" s="209"/>
      <c r="B6" s="209"/>
      <c r="C6" s="209"/>
      <c r="D6" s="209"/>
      <c r="E6" s="265"/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3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  <c r="AE7" t="s">
        <v>265</v>
      </c>
    </row>
    <row r="8" spans="1:33" x14ac:dyDescent="0.3">
      <c r="A8" s="172" t="s">
        <v>311</v>
      </c>
      <c r="B8" s="54">
        <f>'GERAL PROJ'!A9</f>
        <v>0</v>
      </c>
      <c r="C8" s="54" t="str">
        <f>IFERROR(IF(ESQ_PROJ1[[#This Row],[PONTO]]="RAMAL",B7,VLOOKUP(ESQ_PROJ1[[#This Row],[PONTO]],GERAL_PROJ[],2,0)),"")</f>
        <v/>
      </c>
      <c r="D8" s="54" t="str">
        <f>IFERROR(IF(ESQ_PROJ1[[#This Row],[PONTO]]="RAMAL",15,VLOOKUP(ESQ_PROJ1[[#This Row],[PONTO]],GERAL_PROJ[],3,0)),"")</f>
        <v/>
      </c>
      <c r="E8" s="154" t="str">
        <f>IFERROR(IF(ESQ_PROJ1[[#This Row],[PONTO]]="RAMAL","",VLOOKUP(ESQ_PROJ1[[#This Row],[PONTO]],GERAL[],7,0)),"")</f>
        <v/>
      </c>
      <c r="F8" s="163" t="str">
        <f>IFERROR(IF(ESQ_PROJ1[[#This Row],[PONTO]]="RAMAL","",VLOOKUP(ESQ_PROJ1[[#This Row],[PONTO]],GERAL_PROJ[],4,0)),"")</f>
        <v/>
      </c>
      <c r="G8" s="163" t="str">
        <f>IFERROR(IF(ESQ_PROJ1[[#This Row],[PONTO]]="RAMAL","",VLOOKUP(ESQ_PROJ1[[#This Row],[PONTO]],GERAL_PROJ[],5,0)),"")</f>
        <v/>
      </c>
      <c r="H8" s="55" t="str">
        <f>IFERROR(IF(ESQ_PROJ1[[#This Row],[PONTO]]="RAMAL",DMDI,VLOOKUP(ESQ_PROJ1[[#This Row],[PONTO]],GERAL_PROJ[],8,0)),"")</f>
        <v/>
      </c>
      <c r="I8" s="55" t="str">
        <f>IFERROR(IF(ESQ_PROJ1[[#This Row],[PONTO]]="RAMAL",ESQ_PROJ1[[#This Row],[KVA PONTO]],VLOOKUP(ESQ_PROJ1[[#This Row],[PONTO]],GERAL_PROJ[],9,0)),"")</f>
        <v/>
      </c>
      <c r="J8" s="55" t="str">
        <f>IFERROR(VLOOKUP(ESQ_PROJ1[[#This Row],[PONTO]],GERAL_PROJ[],12,0),"")</f>
        <v/>
      </c>
      <c r="K8" s="61" t="str">
        <f>IFERROR(ESQ_PROJ1[[#This Row],[Ib]],"")</f>
        <v/>
      </c>
      <c r="L8" s="117" t="str">
        <f>IFERROR(IFERROR(ESQ_PROJ1[[#This Row],[ACUMULADA]]/((IF(ESQ_PROJ1[[#This Row],[FASE]]="MONO",T_LINHA_MONO,IF(ESQ_PROJ1[[#This Row],[FASE]]="BIF",T_LINHA_TRF,T_LINHA_TRF*SQRT(3)))/1000)*VLOOKUP(ESQ_PROJ1[[#This Row],[CONDUTOR]],CABOS[],9,0))+30,W8+60*(X8/Z8)),"")</f>
        <v/>
      </c>
      <c r="M8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8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8" s="116" t="str">
        <f>IF(ESQ_PROJ1[[#This Row],[PONTO]]="","",IFERROR(SUMIF(ESQ_PROJ1[PONTO],ESQ_PROJ1[[#This Row],[TRECHO]],ESQ_PROJ1[Coluna1])+ESQ_PROJ1[[#This Row],[QT-PONTO]],""))</f>
        <v/>
      </c>
      <c r="P8" s="56" t="str">
        <f>IFERROR(ESQ_PROJ1[[#This Row],[Coluna1]]/T_LINHA_MONO,"")</f>
        <v/>
      </c>
      <c r="Q8" s="55" t="str">
        <f>IFERROR(T_LINHA_MONO*(1-ESQ_PROJ1[[#This Row],[QT %]]),"")</f>
        <v/>
      </c>
      <c r="R8" s="55" t="str">
        <f>IFERROR(T_LINHA_TRF*(1-ESQ_PROJ1[[#This Row],[QT %]]),"")</f>
        <v/>
      </c>
      <c r="S8" s="67" t="str">
        <f>IF(ESQ_PROJ1[[#This Row],[PROTECAO]]="OK","Protecao OK","Ajustar Disj/Condutor")</f>
        <v>Ajustar Disj/Condutor</v>
      </c>
      <c r="T8" s="72" t="str">
        <f>IF(ESQ_PROJ1[[#This Row],[ETA]]=1,"MONO",IF(ESQ_PROJ1[[#This Row],[ETA]]=2,"BIF","TRI"))</f>
        <v>TRI</v>
      </c>
      <c r="U8" s="72">
        <v>3</v>
      </c>
      <c r="V8" s="72" t="str">
        <f t="shared" ref="V8:V23" si="0">"AEREO"</f>
        <v>AEREO</v>
      </c>
      <c r="W8" s="72">
        <f>30</f>
        <v>30</v>
      </c>
      <c r="X8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8" s="72">
        <f>IFERROR(VLOOKUP(ESQ_PROJ1[[#This Row],[Ib]],TabelaDisjuntores[],2,TRUE),0)</f>
        <v>0</v>
      </c>
      <c r="Z8" s="72">
        <f>IFERROR(VLOOKUP(ESQ_PROJ1[[#This Row],[CONDUTOR]],CABOS[],2,0),0)</f>
        <v>0</v>
      </c>
      <c r="AA8" s="72" t="str">
        <f>IF(AND(ESQ_PROJ1[[#This Row],[Ib]]&lt;=ESQ_PROJ1[[#This Row],[In]],ESQ_PROJ1[[#This Row],[In]]&lt;=ESQ_PROJ1[[#This Row],[Iz]]),"OK","VERIFICAR")</f>
        <v>VERIFICAR</v>
      </c>
      <c r="AB8" s="97">
        <f>IFERROR(SQRT((ESQ_PROJ1[[#This Row],[X]]-$AF$4)^2+(ESQ_PROJ1[[#This Row],[Y]]-$AF$5)^2),0)</f>
        <v>0</v>
      </c>
      <c r="AC8" s="9" t="str">
        <f>IF(ESQ_PROJ1[[#This Row],[CONDUTOR]]="","",VLOOKUP(ESQ_PROJ1[[#This Row],[CONDUTOR]],CONDUTORES,2,0))</f>
        <v/>
      </c>
    </row>
    <row r="9" spans="1:33" x14ac:dyDescent="0.3">
      <c r="A9" s="54" t="s">
        <v>312</v>
      </c>
      <c r="B9" s="130"/>
      <c r="C9" s="54" t="str">
        <f>IFERROR(IF(ESQ_PROJ1[[#This Row],[PONTO]]="RAMAL",B8,VLOOKUP(ESQ_PROJ1[[#This Row],[PONTO]],GERAL_PROJ[],2,0)),"")</f>
        <v/>
      </c>
      <c r="D9" s="54" t="str">
        <f>IFERROR(IF(ESQ_PROJ1[[#This Row],[PONTO]]="RAMAL",15,VLOOKUP(ESQ_PROJ1[[#This Row],[PONTO]],GERAL_PROJ[],3,0)),"")</f>
        <v/>
      </c>
      <c r="E9" s="154" t="str">
        <f>IFERROR(IF(ESQ_PROJ1[[#This Row],[PONTO]]="RAMAL","",VLOOKUP(ESQ_PROJ1[[#This Row],[PONTO]],GERAL[],7,0)),"")</f>
        <v/>
      </c>
      <c r="F9" s="163" t="str">
        <f>IFERROR(IF(ESQ_PROJ1[[#This Row],[PONTO]]="RAMAL","",VLOOKUP(ESQ_PROJ1[[#This Row],[PONTO]],GERAL_PROJ[],4,0)),"")</f>
        <v/>
      </c>
      <c r="G9" s="163" t="str">
        <f>IFERROR(IF(ESQ_PROJ1[[#This Row],[PONTO]]="RAMAL","",VLOOKUP(ESQ_PROJ1[[#This Row],[PONTO]],GERAL_PROJ[],5,0)),"")</f>
        <v/>
      </c>
      <c r="H9" s="55" t="str">
        <f>IFERROR(IF(ESQ_PROJ1[[#This Row],[PONTO]]="RAMAL",DMDI,VLOOKUP(ESQ_PROJ1[[#This Row],[PONTO]],GERAL_PROJ[],8,0)),"")</f>
        <v/>
      </c>
      <c r="I9" s="55" t="str">
        <f>IFERROR(IF(ESQ_PROJ1[[#This Row],[PONTO]]="RAMAL",ESQ_PROJ1[[#This Row],[KVA PONTO]],VLOOKUP(ESQ_PROJ1[[#This Row],[PONTO]],GERAL_PROJ[],9,0)),"")</f>
        <v/>
      </c>
      <c r="J9" s="55" t="str">
        <f>IFERROR(VLOOKUP(ESQ_PROJ1[[#This Row],[PONTO]],GERAL_PROJ[],12,0),"")</f>
        <v/>
      </c>
      <c r="K9" s="61" t="str">
        <f>IFERROR(ESQ_PROJ1[[#This Row],[Ib]],"")</f>
        <v/>
      </c>
      <c r="L9" s="117" t="str">
        <f>IFERROR(IFERROR(ESQ_PROJ1[[#This Row],[ACUMULADA]]/((IF(ESQ_PROJ1[[#This Row],[FASE]]="MONO",T_LINHA_MONO,IF(ESQ_PROJ1[[#This Row],[FASE]]="BIF",T_LINHA_TRF,T_LINHA_TRF*SQRT(3)))/1000)*VLOOKUP(ESQ_PROJ1[[#This Row],[CONDUTOR]],CABOS[],9,0))+30,W9+60*(X9/Z9)),"")</f>
        <v/>
      </c>
      <c r="M9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9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9" s="116" t="str">
        <f>IF(ESQ_PROJ1[[#This Row],[PONTO]]="","",IFERROR(SUMIF(ESQ_PROJ1[PONTO],ESQ_PROJ1[[#This Row],[TRECHO]],ESQ_PROJ1[Coluna1])+ESQ_PROJ1[[#This Row],[QT-PONTO]],""))</f>
        <v/>
      </c>
      <c r="P9" s="57" t="str">
        <f>IFERROR(ESQ_PROJ1[[#This Row],[Coluna1]]/T_LINHA_MONO,"")</f>
        <v/>
      </c>
      <c r="Q9" s="55" t="str">
        <f>IFERROR(T_LINHA_MONO*(1-ESQ_PROJ1[[#This Row],[QT %]]),"")</f>
        <v/>
      </c>
      <c r="R9" s="55" t="str">
        <f>IFERROR(T_LINHA_TRF*(1-ESQ_PROJ1[[#This Row],[QT %]]),"")</f>
        <v/>
      </c>
      <c r="S9" s="67" t="str">
        <f>IF(ESQ_PROJ1[[#This Row],[PROTECAO]]="OK","Protecao OK","Ajustar Disj/Condutor")</f>
        <v>Ajustar Disj/Condutor</v>
      </c>
      <c r="T9" s="72" t="str">
        <f>IF(ESQ_PROJ1[[#This Row],[ETA]]=1,"MONO",IF(ESQ_PROJ1[[#This Row],[ETA]]=2,"BIF","TRI"))</f>
        <v>TRI</v>
      </c>
      <c r="U9" s="72">
        <v>3</v>
      </c>
      <c r="V9" s="72" t="str">
        <f t="shared" si="0"/>
        <v>AEREO</v>
      </c>
      <c r="W9" s="72">
        <f>30</f>
        <v>30</v>
      </c>
      <c r="X9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9" s="72">
        <f>IFERROR(VLOOKUP(ESQ_PROJ1[[#This Row],[Ib]],TabelaDisjuntores[],2,TRUE),0)</f>
        <v>0</v>
      </c>
      <c r="Z9" s="72">
        <f>IFERROR(VLOOKUP(ESQ_PROJ1[[#This Row],[CONDUTOR]],CABOS[],2,0),0)</f>
        <v>0</v>
      </c>
      <c r="AA9" s="72" t="str">
        <f>IF(AND(ESQ_PROJ1[[#This Row],[Ib]]&lt;=ESQ_PROJ1[[#This Row],[In]],ESQ_PROJ1[[#This Row],[In]]&lt;=ESQ_PROJ1[[#This Row],[Iz]]),"OK","VERIFICAR")</f>
        <v>VERIFICAR</v>
      </c>
      <c r="AB9" s="97">
        <f>IFERROR(SQRT((ESQ_PROJ1[[#This Row],[X]]-$AF$4)^2+(ESQ_PROJ1[[#This Row],[Y]]-$AF$5)^2),0)</f>
        <v>0</v>
      </c>
      <c r="AC9" s="9" t="str">
        <f>IF(ESQ_PROJ1[[#This Row],[CONDUTOR]]="","",VLOOKUP(ESQ_PROJ1[[#This Row],[CONDUTOR]],CONDUTORES,2,0))</f>
        <v/>
      </c>
      <c r="AE9" t="s">
        <v>15</v>
      </c>
      <c r="AF9" t="s">
        <v>266</v>
      </c>
    </row>
    <row r="10" spans="1:33" x14ac:dyDescent="0.3">
      <c r="A10" s="172" t="s">
        <v>313</v>
      </c>
      <c r="B10" s="130"/>
      <c r="C10" s="54" t="str">
        <f>IFERROR(IF(ESQ_PROJ1[[#This Row],[PONTO]]="RAMAL",B9,VLOOKUP(ESQ_PROJ1[[#This Row],[PONTO]],GERAL_PROJ[],2,0)),"")</f>
        <v/>
      </c>
      <c r="D10" s="54" t="str">
        <f>IFERROR(IF(ESQ_PROJ1[[#This Row],[PONTO]]="RAMAL",15,VLOOKUP(ESQ_PROJ1[[#This Row],[PONTO]],GERAL_PROJ[],3,0)),"")</f>
        <v/>
      </c>
      <c r="E10" s="154" t="str">
        <f>IFERROR(IF(ESQ_PROJ1[[#This Row],[PONTO]]="RAMAL","",VLOOKUP(ESQ_PROJ1[[#This Row],[PONTO]],GERAL[],7,0)),"")</f>
        <v/>
      </c>
      <c r="F10" s="163" t="str">
        <f>IFERROR(IF(ESQ_PROJ1[[#This Row],[PONTO]]="RAMAL","",VLOOKUP(ESQ_PROJ1[[#This Row],[PONTO]],GERAL_PROJ[],4,0)),"")</f>
        <v/>
      </c>
      <c r="G10" s="163" t="str">
        <f>IFERROR(IF(ESQ_PROJ1[[#This Row],[PONTO]]="RAMAL","",VLOOKUP(ESQ_PROJ1[[#This Row],[PONTO]],GERAL_PROJ[],5,0)),"")</f>
        <v/>
      </c>
      <c r="H10" s="55" t="str">
        <f>IFERROR(IF(ESQ_PROJ1[[#This Row],[PONTO]]="RAMAL",DMDI,VLOOKUP(ESQ_PROJ1[[#This Row],[PONTO]],GERAL_PROJ[],8,0)),"")</f>
        <v/>
      </c>
      <c r="I10" s="55" t="str">
        <f>IFERROR(IF(ESQ_PROJ1[[#This Row],[PONTO]]="RAMAL",ESQ_PROJ1[[#This Row],[KVA PONTO]],VLOOKUP(ESQ_PROJ1[[#This Row],[PONTO]],GERAL_PROJ[],9,0)),"")</f>
        <v/>
      </c>
      <c r="J10" s="55" t="str">
        <f>IFERROR(VLOOKUP(ESQ_PROJ1[[#This Row],[PONTO]],GERAL_PROJ[],12,0),"")</f>
        <v/>
      </c>
      <c r="K10" s="61" t="str">
        <f>IFERROR(ESQ_PROJ1[[#This Row],[Ib]],"")</f>
        <v/>
      </c>
      <c r="L10" s="117" t="str">
        <f>IFERROR(IFERROR(ESQ_PROJ1[[#This Row],[ACUMULADA]]/((IF(ESQ_PROJ1[[#This Row],[FASE]]="MONO",T_LINHA_MONO,IF(ESQ_PROJ1[[#This Row],[FASE]]="BIF",T_LINHA_TRF,T_LINHA_TRF*SQRT(3)))/1000)*VLOOKUP(ESQ_PROJ1[[#This Row],[CONDUTOR]],CABOS[],9,0))+30,W10+60*(X10/Z10)),"")</f>
        <v/>
      </c>
      <c r="M10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0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0" s="116" t="str">
        <f>IF(ESQ_PROJ1[[#This Row],[PONTO]]="","",IFERROR(SUMIF(ESQ_PROJ1[PONTO],ESQ_PROJ1[[#This Row],[TRECHO]],ESQ_PROJ1[Coluna1])+ESQ_PROJ1[[#This Row],[QT-PONTO]],""))</f>
        <v/>
      </c>
      <c r="P10" s="57" t="str">
        <f>IFERROR(ESQ_PROJ1[[#This Row],[Coluna1]]/T_LINHA_MONO,"")</f>
        <v/>
      </c>
      <c r="Q10" s="55" t="str">
        <f>IFERROR(T_LINHA_MONO*(1-ESQ_PROJ1[[#This Row],[QT %]]),"")</f>
        <v/>
      </c>
      <c r="R10" s="55" t="str">
        <f>IFERROR(T_LINHA_TRF*(1-ESQ_PROJ1[[#This Row],[QT %]]),"")</f>
        <v/>
      </c>
      <c r="S10" s="67" t="str">
        <f>IF(ESQ_PROJ1[[#This Row],[PROTECAO]]="OK","Protecao OK","Ajustar Disj/Condutor")</f>
        <v>Ajustar Disj/Condutor</v>
      </c>
      <c r="T10" s="72" t="str">
        <f>IF(ESQ_PROJ1[[#This Row],[ETA]]=1,"MONO",IF(ESQ_PROJ1[[#This Row],[ETA]]=2,"BIF","TRI"))</f>
        <v>TRI</v>
      </c>
      <c r="U10" s="72">
        <v>3</v>
      </c>
      <c r="V10" s="72" t="str">
        <f t="shared" si="0"/>
        <v>AEREO</v>
      </c>
      <c r="W10" s="72">
        <f>30</f>
        <v>30</v>
      </c>
      <c r="X10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0" s="72">
        <f>IFERROR(VLOOKUP(ESQ_PROJ1[[#This Row],[Ib]],TabelaDisjuntores[],2,TRUE),0)</f>
        <v>0</v>
      </c>
      <c r="Z10" s="72">
        <f>IFERROR(VLOOKUP(ESQ_PROJ1[[#This Row],[CONDUTOR]],CABOS[],2,0),0)</f>
        <v>0</v>
      </c>
      <c r="AA10" s="72" t="str">
        <f>IF(AND(ESQ_PROJ1[[#This Row],[Ib]]&lt;=ESQ_PROJ1[[#This Row],[In]],ESQ_PROJ1[[#This Row],[In]]&lt;=ESQ_PROJ1[[#This Row],[Iz]]),"OK","VERIFICAR")</f>
        <v>VERIFICAR</v>
      </c>
      <c r="AB10" s="97">
        <f>IFERROR(SQRT((ESQ_PROJ1[[#This Row],[X]]-$AF$4)^2+(ESQ_PROJ1[[#This Row],[Y]]-$AF$5)^2),0)</f>
        <v>0</v>
      </c>
      <c r="AC10" s="9" t="str">
        <f>IF(ESQ_PROJ1[[#This Row],[CONDUTOR]]="","",VLOOKUP(ESQ_PROJ1[[#This Row],[CONDUTOR]],CONDUTORES,2,0))</f>
        <v/>
      </c>
      <c r="AE10" t="s">
        <v>267</v>
      </c>
      <c r="AF10" t="s">
        <v>268</v>
      </c>
    </row>
    <row r="11" spans="1:33" x14ac:dyDescent="0.3">
      <c r="A11" s="54" t="s">
        <v>314</v>
      </c>
      <c r="B11" s="130"/>
      <c r="C11" s="54" t="str">
        <f>IFERROR(IF(ESQ_PROJ1[[#This Row],[PONTO]]="RAMAL",B10,VLOOKUP(ESQ_PROJ1[[#This Row],[PONTO]],GERAL_PROJ[],2,0)),"")</f>
        <v/>
      </c>
      <c r="D11" s="54" t="str">
        <f>IFERROR(IF(ESQ_PROJ1[[#This Row],[PONTO]]="RAMAL",15,VLOOKUP(ESQ_PROJ1[[#This Row],[PONTO]],GERAL_PROJ[],3,0)),"")</f>
        <v/>
      </c>
      <c r="E11" s="154" t="str">
        <f>IFERROR(IF(ESQ_PROJ1[[#This Row],[PONTO]]="RAMAL","",VLOOKUP(ESQ_PROJ1[[#This Row],[PONTO]],GERAL[],7,0)),"")</f>
        <v/>
      </c>
      <c r="F11" s="163" t="str">
        <f>IFERROR(IF(ESQ_PROJ1[[#This Row],[PONTO]]="RAMAL","",VLOOKUP(ESQ_PROJ1[[#This Row],[PONTO]],GERAL_PROJ[],4,0)),"")</f>
        <v/>
      </c>
      <c r="G11" s="163" t="str">
        <f>IFERROR(IF(ESQ_PROJ1[[#This Row],[PONTO]]="RAMAL","",VLOOKUP(ESQ_PROJ1[[#This Row],[PONTO]],GERAL_PROJ[],5,0)),"")</f>
        <v/>
      </c>
      <c r="H11" s="55" t="str">
        <f>IFERROR(IF(ESQ_PROJ1[[#This Row],[PONTO]]="RAMAL",DMDI,VLOOKUP(ESQ_PROJ1[[#This Row],[PONTO]],GERAL_PROJ[],8,0)),"")</f>
        <v/>
      </c>
      <c r="I11" s="55" t="str">
        <f>IFERROR(IF(ESQ_PROJ1[[#This Row],[PONTO]]="RAMAL",ESQ_PROJ1[[#This Row],[KVA PONTO]],VLOOKUP(ESQ_PROJ1[[#This Row],[PONTO]],GERAL_PROJ[],9,0)),"")</f>
        <v/>
      </c>
      <c r="J11" s="55" t="str">
        <f>IFERROR(VLOOKUP(ESQ_PROJ1[[#This Row],[PONTO]],GERAL_PROJ[],12,0),"")</f>
        <v/>
      </c>
      <c r="K11" s="61" t="str">
        <f>IFERROR(ESQ_PROJ1[[#This Row],[Ib]],"")</f>
        <v/>
      </c>
      <c r="L11" s="117" t="str">
        <f>IFERROR(IFERROR(ESQ_PROJ1[[#This Row],[ACUMULADA]]/((IF(ESQ_PROJ1[[#This Row],[FASE]]="MONO",T_LINHA_MONO,IF(ESQ_PROJ1[[#This Row],[FASE]]="BIF",T_LINHA_TRF,T_LINHA_TRF*SQRT(3)))/1000)*VLOOKUP(ESQ_PROJ1[[#This Row],[CONDUTOR]],CABOS[],9,0))+30,W11+60*(X11/Z11)),"")</f>
        <v/>
      </c>
      <c r="M11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1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1" s="116" t="str">
        <f>IF(ESQ_PROJ1[[#This Row],[PONTO]]="","",IFERROR(SUMIF(ESQ_PROJ1[PONTO],ESQ_PROJ1[[#This Row],[TRECHO]],ESQ_PROJ1[Coluna1])+ESQ_PROJ1[[#This Row],[QT-PONTO]],""))</f>
        <v/>
      </c>
      <c r="P11" s="57" t="str">
        <f>IFERROR(ESQ_PROJ1[[#This Row],[Coluna1]]/T_LINHA_MONO,"")</f>
        <v/>
      </c>
      <c r="Q11" s="55" t="str">
        <f>IFERROR(T_LINHA_MONO*(1-ESQ_PROJ1[[#This Row],[QT %]]),"")</f>
        <v/>
      </c>
      <c r="R11" s="55" t="str">
        <f>IFERROR(T_LINHA_TRF*(1-ESQ_PROJ1[[#This Row],[QT %]]),"")</f>
        <v/>
      </c>
      <c r="S11" s="67" t="str">
        <f>IF(ESQ_PROJ1[[#This Row],[PROTECAO]]="OK","Protecao OK","Ajustar Disj/Condutor")</f>
        <v>Ajustar Disj/Condutor</v>
      </c>
      <c r="T11" s="72" t="str">
        <f>IF(ESQ_PROJ1[[#This Row],[ETA]]=1,"MONO",IF(ESQ_PROJ1[[#This Row],[ETA]]=2,"BIF","TRI"))</f>
        <v>TRI</v>
      </c>
      <c r="U11" s="72">
        <v>3</v>
      </c>
      <c r="V11" s="72" t="str">
        <f t="shared" si="0"/>
        <v>AEREO</v>
      </c>
      <c r="W11" s="72">
        <f>30</f>
        <v>30</v>
      </c>
      <c r="X11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1" s="72">
        <f>IFERROR(VLOOKUP(ESQ_PROJ1[[#This Row],[Ib]],TabelaDisjuntores[],2,TRUE),0)</f>
        <v>0</v>
      </c>
      <c r="Z11" s="72">
        <f>IFERROR(VLOOKUP(ESQ_PROJ1[[#This Row],[CONDUTOR]],CABOS[],2,0),0)</f>
        <v>0</v>
      </c>
      <c r="AA11" s="72" t="str">
        <f>IF(AND(ESQ_PROJ1[[#This Row],[Ib]]&lt;=ESQ_PROJ1[[#This Row],[In]],ESQ_PROJ1[[#This Row],[In]]&lt;=ESQ_PROJ1[[#This Row],[Iz]]),"OK","VERIFICAR")</f>
        <v>VERIFICAR</v>
      </c>
      <c r="AB11" s="97">
        <f>IFERROR(SQRT((ESQ_PROJ1[[#This Row],[X]]-$AF$4)^2+(ESQ_PROJ1[[#This Row],[Y]]-$AF$5)^2),0)</f>
        <v>0</v>
      </c>
      <c r="AC11" s="9" t="str">
        <f>IF(ESQ_PROJ1[[#This Row],[CONDUTOR]]="","",VLOOKUP(ESQ_PROJ1[[#This Row],[CONDUTOR]],CONDUTORES,2,0))</f>
        <v/>
      </c>
      <c r="AE11" t="s">
        <v>33</v>
      </c>
      <c r="AF11" t="s">
        <v>269</v>
      </c>
    </row>
    <row r="12" spans="1:33" x14ac:dyDescent="0.3">
      <c r="A12" s="172" t="s">
        <v>319</v>
      </c>
      <c r="B12" s="130"/>
      <c r="C12" s="54" t="str">
        <f>IFERROR(IF(ESQ_PROJ1[[#This Row],[PONTO]]="RAMAL",B11,VLOOKUP(ESQ_PROJ1[[#This Row],[PONTO]],GERAL_PROJ[],2,0)),"")</f>
        <v/>
      </c>
      <c r="D12" s="54" t="str">
        <f>IFERROR(IF(ESQ_PROJ1[[#This Row],[PONTO]]="RAMAL",15,VLOOKUP(ESQ_PROJ1[[#This Row],[PONTO]],GERAL_PROJ[],3,0)),"")</f>
        <v/>
      </c>
      <c r="E12" s="154" t="str">
        <f>IFERROR(IF(ESQ_PROJ1[[#This Row],[PONTO]]="RAMAL","",VLOOKUP(ESQ_PROJ1[[#This Row],[PONTO]],GERAL[],7,0)),"")</f>
        <v/>
      </c>
      <c r="F12" s="163" t="str">
        <f>IFERROR(IF(ESQ_PROJ1[[#This Row],[PONTO]]="RAMAL","",VLOOKUP(ESQ_PROJ1[[#This Row],[PONTO]],GERAL_PROJ[],4,0)),"")</f>
        <v/>
      </c>
      <c r="G12" s="163" t="str">
        <f>IFERROR(IF(ESQ_PROJ1[[#This Row],[PONTO]]="RAMAL","",VLOOKUP(ESQ_PROJ1[[#This Row],[PONTO]],GERAL_PROJ[],5,0)),"")</f>
        <v/>
      </c>
      <c r="H12" s="55" t="str">
        <f>IFERROR(IF(ESQ_PROJ1[[#This Row],[PONTO]]="RAMAL",DMDI,VLOOKUP(ESQ_PROJ1[[#This Row],[PONTO]],GERAL_PROJ[],8,0)),"")</f>
        <v/>
      </c>
      <c r="I12" s="55" t="str">
        <f>IFERROR(IF(ESQ_PROJ1[[#This Row],[PONTO]]="RAMAL",ESQ_PROJ1[[#This Row],[KVA PONTO]],VLOOKUP(ESQ_PROJ1[[#This Row],[PONTO]],GERAL_PROJ[],9,0)),"")</f>
        <v/>
      </c>
      <c r="J12" s="55" t="str">
        <f>IFERROR(VLOOKUP(ESQ_PROJ1[[#This Row],[PONTO]],GERAL_PROJ[],12,0),"")</f>
        <v/>
      </c>
      <c r="K12" s="61" t="str">
        <f>IFERROR(ESQ_PROJ1[[#This Row],[Ib]],"")</f>
        <v/>
      </c>
      <c r="L12" s="117" t="str">
        <f>IFERROR(IFERROR(ESQ_PROJ1[[#This Row],[ACUMULADA]]/((IF(ESQ_PROJ1[[#This Row],[FASE]]="MONO",T_LINHA_MONO,IF(ESQ_PROJ1[[#This Row],[FASE]]="BIF",T_LINHA_TRF,T_LINHA_TRF*SQRT(3)))/1000)*VLOOKUP(ESQ_PROJ1[[#This Row],[CONDUTOR]],CABOS[],9,0))+30,W12+60*(X12/Z12)),"")</f>
        <v/>
      </c>
      <c r="M12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2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2" s="116" t="str">
        <f>IF(ESQ_PROJ1[[#This Row],[PONTO]]="","",IFERROR(SUMIF(ESQ_PROJ1[PONTO],ESQ_PROJ1[[#This Row],[TRECHO]],ESQ_PROJ1[Coluna1])+ESQ_PROJ1[[#This Row],[QT-PONTO]],""))</f>
        <v/>
      </c>
      <c r="P12" s="57" t="str">
        <f>IFERROR(ESQ_PROJ1[[#This Row],[Coluna1]]/T_LINHA_MONO,"")</f>
        <v/>
      </c>
      <c r="Q12" s="55" t="str">
        <f>IFERROR(T_LINHA_MONO*(1-ESQ_PROJ1[[#This Row],[QT %]]),"")</f>
        <v/>
      </c>
      <c r="R12" s="55" t="str">
        <f>IFERROR(T_LINHA_TRF*(1-ESQ_PROJ1[[#This Row],[QT %]]),"")</f>
        <v/>
      </c>
      <c r="S12" s="67" t="str">
        <f>IF(ESQ_PROJ1[[#This Row],[PROTECAO]]="OK","Protecao OK","Ajustar Disj/Condutor")</f>
        <v>Ajustar Disj/Condutor</v>
      </c>
      <c r="T12" s="72" t="str">
        <f>IF(ESQ_PROJ1[[#This Row],[ETA]]=1,"MONO",IF(ESQ_PROJ1[[#This Row],[ETA]]=2,"BIF","TRI"))</f>
        <v>TRI</v>
      </c>
      <c r="U12" s="72">
        <v>3</v>
      </c>
      <c r="V12" s="72" t="str">
        <f t="shared" si="0"/>
        <v>AEREO</v>
      </c>
      <c r="W12" s="72">
        <f>30</f>
        <v>30</v>
      </c>
      <c r="X12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2" s="72">
        <f>IFERROR(VLOOKUP(ESQ_PROJ1[[#This Row],[Ib]],TabelaDisjuntores[],2,TRUE),0)</f>
        <v>0</v>
      </c>
      <c r="Z12" s="72">
        <f>IFERROR(VLOOKUP(ESQ_PROJ1[[#This Row],[CONDUTOR]],CABOS[],2,0),0)</f>
        <v>0</v>
      </c>
      <c r="AA12" s="72" t="str">
        <f>IF(AND(ESQ_PROJ1[[#This Row],[Ib]]&lt;=ESQ_PROJ1[[#This Row],[In]],ESQ_PROJ1[[#This Row],[In]]&lt;=ESQ_PROJ1[[#This Row],[Iz]]),"OK","VERIFICAR")</f>
        <v>VERIFICAR</v>
      </c>
      <c r="AB12" s="97">
        <f>IFERROR(SQRT((ESQ_PROJ1[[#This Row],[X]]-$AF$4)^2+(ESQ_PROJ1[[#This Row],[Y]]-$AF$5)^2),0)</f>
        <v>0</v>
      </c>
      <c r="AC12" s="9" t="str">
        <f>IF(ESQ_PROJ1[[#This Row],[CONDUTOR]]="","",VLOOKUP(ESQ_PROJ1[[#This Row],[CONDUTOR]],CONDUTORES,2,0))</f>
        <v/>
      </c>
      <c r="AE12" t="s">
        <v>270</v>
      </c>
      <c r="AF12" t="s">
        <v>271</v>
      </c>
    </row>
    <row r="13" spans="1:33" x14ac:dyDescent="0.3">
      <c r="A13" s="54" t="s">
        <v>315</v>
      </c>
      <c r="B13" s="134"/>
      <c r="C13" s="54" t="str">
        <f>IFERROR(IF(ESQ_PROJ1[[#This Row],[PONTO]]="RAMAL",B12,VLOOKUP(ESQ_PROJ1[[#This Row],[PONTO]],GERAL_PROJ[],2,0)),"")</f>
        <v/>
      </c>
      <c r="D13" s="54" t="str">
        <f>IFERROR(IF(ESQ_PROJ1[[#This Row],[PONTO]]="RAMAL",15,VLOOKUP(ESQ_PROJ1[[#This Row],[PONTO]],GERAL_PROJ[],3,0)),"")</f>
        <v/>
      </c>
      <c r="E13" s="154" t="str">
        <f>IFERROR(IF(ESQ_PROJ1[[#This Row],[PONTO]]="RAMAL","",VLOOKUP(ESQ_PROJ1[[#This Row],[PONTO]],GERAL[],7,0)),"")</f>
        <v/>
      </c>
      <c r="F13" s="163" t="str">
        <f>IFERROR(IF(ESQ_PROJ1[[#This Row],[PONTO]]="RAMAL","",VLOOKUP(ESQ_PROJ1[[#This Row],[PONTO]],GERAL_PROJ[],4,0)),"")</f>
        <v/>
      </c>
      <c r="G13" s="163" t="str">
        <f>IFERROR(IF(ESQ_PROJ1[[#This Row],[PONTO]]="RAMAL","",VLOOKUP(ESQ_PROJ1[[#This Row],[PONTO]],GERAL_PROJ[],5,0)),"")</f>
        <v/>
      </c>
      <c r="H13" s="55" t="str">
        <f>IFERROR(IF(ESQ_PROJ1[[#This Row],[PONTO]]="RAMAL",DMDI,VLOOKUP(ESQ_PROJ1[[#This Row],[PONTO]],GERAL_PROJ[],8,0)),"")</f>
        <v/>
      </c>
      <c r="I13" s="55" t="str">
        <f>IFERROR(IF(ESQ_PROJ1[[#This Row],[PONTO]]="RAMAL",ESQ_PROJ1[[#This Row],[KVA PONTO]],VLOOKUP(ESQ_PROJ1[[#This Row],[PONTO]],GERAL_PROJ[],9,0)),"")</f>
        <v/>
      </c>
      <c r="J13" s="55" t="str">
        <f>IFERROR(VLOOKUP(ESQ_PROJ1[[#This Row],[PONTO]],GERAL_PROJ[],12,0),"")</f>
        <v/>
      </c>
      <c r="K13" s="61" t="str">
        <f>IFERROR(ESQ_PROJ1[[#This Row],[Ib]],"")</f>
        <v/>
      </c>
      <c r="L13" s="117" t="str">
        <f>IFERROR(IFERROR(ESQ_PROJ1[[#This Row],[ACUMULADA]]/((IF(ESQ_PROJ1[[#This Row],[FASE]]="MONO",T_LINHA_MONO,IF(ESQ_PROJ1[[#This Row],[FASE]]="BIF",T_LINHA_TRF,T_LINHA_TRF*SQRT(3)))/1000)*VLOOKUP(ESQ_PROJ1[[#This Row],[CONDUTOR]],CABOS[],9,0))+30,W13+60*(X13/Z13)),"")</f>
        <v/>
      </c>
      <c r="M13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3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3" s="116" t="str">
        <f>IF(ESQ_PROJ1[[#This Row],[PONTO]]="","",IFERROR(SUMIF(ESQ_PROJ1[PONTO],ESQ_PROJ1[[#This Row],[TRECHO]],ESQ_PROJ1[Coluna1])+ESQ_PROJ1[[#This Row],[QT-PONTO]],""))</f>
        <v/>
      </c>
      <c r="P13" s="57" t="str">
        <f>IFERROR(ESQ_PROJ1[[#This Row],[Coluna1]]/T_LINHA_MONO,"")</f>
        <v/>
      </c>
      <c r="Q13" s="55" t="str">
        <f>IFERROR(T_LINHA_MONO*(1-ESQ_PROJ1[[#This Row],[QT %]]),"")</f>
        <v/>
      </c>
      <c r="R13" s="55" t="str">
        <f>IFERROR(T_LINHA_TRF*(1-ESQ_PROJ1[[#This Row],[QT %]]),"")</f>
        <v/>
      </c>
      <c r="S13" s="67" t="str">
        <f>IF(ESQ_PROJ1[[#This Row],[PROTECAO]]="OK","Protecao OK","Ajustar Disj/Condutor")</f>
        <v>Ajustar Disj/Condutor</v>
      </c>
      <c r="T13" s="72" t="str">
        <f>IF(ESQ_PROJ1[[#This Row],[ETA]]=1,"MONO",IF(ESQ_PROJ1[[#This Row],[ETA]]=2,"BIF","TRI"))</f>
        <v>TRI</v>
      </c>
      <c r="U13" s="72">
        <v>3</v>
      </c>
      <c r="V13" s="72" t="str">
        <f t="shared" si="0"/>
        <v>AEREO</v>
      </c>
      <c r="W13" s="72">
        <f>30</f>
        <v>30</v>
      </c>
      <c r="X13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3" s="72">
        <f>IFERROR(VLOOKUP(ESQ_PROJ1[[#This Row],[Ib]],TabelaDisjuntores[],2,TRUE),0)</f>
        <v>0</v>
      </c>
      <c r="Z13" s="72">
        <f>IFERROR(VLOOKUP(ESQ_PROJ1[[#This Row],[CONDUTOR]],CABOS[],2,0),0)</f>
        <v>0</v>
      </c>
      <c r="AA13" s="72" t="str">
        <f>IF(AND(ESQ_PROJ1[[#This Row],[Ib]]&lt;=ESQ_PROJ1[[#This Row],[In]],ESQ_PROJ1[[#This Row],[In]]&lt;=ESQ_PROJ1[[#This Row],[Iz]]),"OK","VERIFICAR")</f>
        <v>VERIFICAR</v>
      </c>
      <c r="AB13" s="97">
        <f>IFERROR(SQRT((ESQ_PROJ1[[#This Row],[X]]-$AF$4)^2+(ESQ_PROJ1[[#This Row],[Y]]-$AF$5)^2),0)</f>
        <v>0</v>
      </c>
      <c r="AC13" s="9" t="str">
        <f>IF(ESQ_PROJ1[[#This Row],[CONDUTOR]]="","",VLOOKUP(ESQ_PROJ1[[#This Row],[CONDUTOR]],CONDUTORES,2,0))</f>
        <v/>
      </c>
    </row>
    <row r="14" spans="1:33" x14ac:dyDescent="0.3">
      <c r="A14" s="172" t="s">
        <v>316</v>
      </c>
      <c r="B14" s="134"/>
      <c r="C14" s="54" t="str">
        <f>IFERROR(IF(ESQ_PROJ1[[#This Row],[PONTO]]="RAMAL",B13,VLOOKUP(ESQ_PROJ1[[#This Row],[PONTO]],GERAL_PROJ[],2,0)),"")</f>
        <v/>
      </c>
      <c r="D14" s="54" t="str">
        <f>IFERROR(IF(ESQ_PROJ1[[#This Row],[PONTO]]="RAMAL",15,VLOOKUP(ESQ_PROJ1[[#This Row],[PONTO]],GERAL_PROJ[],3,0)),"")</f>
        <v/>
      </c>
      <c r="E14" s="154" t="str">
        <f>IFERROR(IF(ESQ_PROJ1[[#This Row],[PONTO]]="RAMAL","",VLOOKUP(ESQ_PROJ1[[#This Row],[PONTO]],GERAL[],7,0)),"")</f>
        <v/>
      </c>
      <c r="F14" s="163" t="str">
        <f>IFERROR(IF(ESQ_PROJ1[[#This Row],[PONTO]]="RAMAL","",VLOOKUP(ESQ_PROJ1[[#This Row],[PONTO]],GERAL_PROJ[],4,0)),"")</f>
        <v/>
      </c>
      <c r="G14" s="163" t="str">
        <f>IFERROR(IF(ESQ_PROJ1[[#This Row],[PONTO]]="RAMAL","",VLOOKUP(ESQ_PROJ1[[#This Row],[PONTO]],GERAL_PROJ[],5,0)),"")</f>
        <v/>
      </c>
      <c r="H14" s="55" t="str">
        <f>IFERROR(IF(ESQ_PROJ1[[#This Row],[PONTO]]="RAMAL",DMDI,VLOOKUP(ESQ_PROJ1[[#This Row],[PONTO]],GERAL_PROJ[],8,0)),"")</f>
        <v/>
      </c>
      <c r="I14" s="55" t="str">
        <f>IFERROR(IF(ESQ_PROJ1[[#This Row],[PONTO]]="RAMAL",ESQ_PROJ1[[#This Row],[KVA PONTO]],VLOOKUP(ESQ_PROJ1[[#This Row],[PONTO]],GERAL_PROJ[],9,0)),"")</f>
        <v/>
      </c>
      <c r="J14" s="55" t="str">
        <f>IFERROR(VLOOKUP(ESQ_PROJ1[[#This Row],[PONTO]],GERAL_PROJ[],12,0),"")</f>
        <v/>
      </c>
      <c r="K14" s="61" t="str">
        <f>IFERROR(ESQ_PROJ1[[#This Row],[Ib]],"")</f>
        <v/>
      </c>
      <c r="L14" s="117" t="str">
        <f>IFERROR(IFERROR(ESQ_PROJ1[[#This Row],[ACUMULADA]]/((IF(ESQ_PROJ1[[#This Row],[FASE]]="MONO",T_LINHA_MONO,IF(ESQ_PROJ1[[#This Row],[FASE]]="BIF",T_LINHA_TRF,T_LINHA_TRF*SQRT(3)))/1000)*VLOOKUP(ESQ_PROJ1[[#This Row],[CONDUTOR]],CABOS[],9,0))+30,W14+60*(X14/Z14)),"")</f>
        <v/>
      </c>
      <c r="M14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4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4" s="116" t="str">
        <f>IF(ESQ_PROJ1[[#This Row],[PONTO]]="","",IFERROR(SUMIF(ESQ_PROJ1[PONTO],ESQ_PROJ1[[#This Row],[TRECHO]],ESQ_PROJ1[Coluna1])+ESQ_PROJ1[[#This Row],[QT-PONTO]],""))</f>
        <v/>
      </c>
      <c r="P14" s="57" t="str">
        <f>IFERROR(ESQ_PROJ1[[#This Row],[Coluna1]]/T_LINHA_MONO,"")</f>
        <v/>
      </c>
      <c r="Q14" s="55" t="str">
        <f>IFERROR(T_LINHA_MONO*(1-ESQ_PROJ1[[#This Row],[QT %]]),"")</f>
        <v/>
      </c>
      <c r="R14" s="55" t="str">
        <f>IFERROR(T_LINHA_TRF*(1-ESQ_PROJ1[[#This Row],[QT %]]),"")</f>
        <v/>
      </c>
      <c r="S14" s="67" t="str">
        <f>IF(ESQ_PROJ1[[#This Row],[PROTECAO]]="OK","Protecao OK","Ajustar Disj/Condutor")</f>
        <v>Ajustar Disj/Condutor</v>
      </c>
      <c r="T14" s="72" t="str">
        <f>IF(ESQ_PROJ1[[#This Row],[ETA]]=1,"MONO",IF(ESQ_PROJ1[[#This Row],[ETA]]=2,"BIF","TRI"))</f>
        <v>TRI</v>
      </c>
      <c r="U14" s="72">
        <v>3</v>
      </c>
      <c r="V14" s="72" t="str">
        <f t="shared" si="0"/>
        <v>AEREO</v>
      </c>
      <c r="W14" s="72">
        <f>30</f>
        <v>30</v>
      </c>
      <c r="X14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4" s="72">
        <f>IFERROR(VLOOKUP(ESQ_PROJ1[[#This Row],[Ib]],TabelaDisjuntores[],2,TRUE),0)</f>
        <v>0</v>
      </c>
      <c r="Z14" s="72">
        <f>IFERROR(VLOOKUP(ESQ_PROJ1[[#This Row],[CONDUTOR]],CABOS[],2,0),0)</f>
        <v>0</v>
      </c>
      <c r="AA14" s="72" t="str">
        <f>IF(AND(ESQ_PROJ1[[#This Row],[Ib]]&lt;=ESQ_PROJ1[[#This Row],[In]],ESQ_PROJ1[[#This Row],[In]]&lt;=ESQ_PROJ1[[#This Row],[Iz]]),"OK","VERIFICAR")</f>
        <v>VERIFICAR</v>
      </c>
      <c r="AB14" s="97">
        <f>IFERROR(SQRT((ESQ_PROJ1[[#This Row],[X]]-$AF$4)^2+(ESQ_PROJ1[[#This Row],[Y]]-$AF$5)^2),0)</f>
        <v>0</v>
      </c>
      <c r="AC14" s="9" t="str">
        <f>IF(ESQ_PROJ1[[#This Row],[CONDUTOR]]="","",VLOOKUP(ESQ_PROJ1[[#This Row],[CONDUTOR]],CONDUTORES,2,0))</f>
        <v/>
      </c>
      <c r="AE14" t="s">
        <v>272</v>
      </c>
    </row>
    <row r="15" spans="1:33" x14ac:dyDescent="0.3">
      <c r="A15" s="54" t="s">
        <v>317</v>
      </c>
      <c r="B15" s="134"/>
      <c r="C15" s="54" t="str">
        <f>IFERROR(IF(ESQ_PROJ1[[#This Row],[PONTO]]="RAMAL",B14,VLOOKUP(ESQ_PROJ1[[#This Row],[PONTO]],GERAL_PROJ[],2,0)),"")</f>
        <v/>
      </c>
      <c r="D15" s="54" t="str">
        <f>IFERROR(IF(ESQ_PROJ1[[#This Row],[PONTO]]="RAMAL",15,VLOOKUP(ESQ_PROJ1[[#This Row],[PONTO]],GERAL_PROJ[],3,0)),"")</f>
        <v/>
      </c>
      <c r="E15" s="154" t="str">
        <f>IFERROR(IF(ESQ_PROJ1[[#This Row],[PONTO]]="RAMAL","",VLOOKUP(ESQ_PROJ1[[#This Row],[PONTO]],GERAL[],7,0)),"")</f>
        <v/>
      </c>
      <c r="F15" s="163" t="str">
        <f>IFERROR(IF(ESQ_PROJ1[[#This Row],[PONTO]]="RAMAL","",VLOOKUP(ESQ_PROJ1[[#This Row],[PONTO]],GERAL_PROJ[],4,0)),"")</f>
        <v/>
      </c>
      <c r="G15" s="163" t="str">
        <f>IFERROR(IF(ESQ_PROJ1[[#This Row],[PONTO]]="RAMAL","",VLOOKUP(ESQ_PROJ1[[#This Row],[PONTO]],GERAL_PROJ[],5,0)),"")</f>
        <v/>
      </c>
      <c r="H15" s="55" t="str">
        <f>IFERROR(IF(ESQ_PROJ1[[#This Row],[PONTO]]="RAMAL",DMDI,VLOOKUP(ESQ_PROJ1[[#This Row],[PONTO]],GERAL_PROJ[],8,0)),"")</f>
        <v/>
      </c>
      <c r="I15" s="55" t="str">
        <f>IFERROR(IF(ESQ_PROJ1[[#This Row],[PONTO]]="RAMAL",ESQ_PROJ1[[#This Row],[KVA PONTO]],VLOOKUP(ESQ_PROJ1[[#This Row],[PONTO]],GERAL_PROJ[],9,0)),"")</f>
        <v/>
      </c>
      <c r="J15" s="55" t="str">
        <f>IFERROR(VLOOKUP(ESQ_PROJ1[[#This Row],[PONTO]],GERAL_PROJ[],12,0),"")</f>
        <v/>
      </c>
      <c r="K15" s="61" t="str">
        <f>IFERROR(ESQ_PROJ1[[#This Row],[Ib]],"")</f>
        <v/>
      </c>
      <c r="L15" s="117" t="str">
        <f>IFERROR(IFERROR(ESQ_PROJ1[[#This Row],[ACUMULADA]]/((IF(ESQ_PROJ1[[#This Row],[FASE]]="MONO",T_LINHA_MONO,IF(ESQ_PROJ1[[#This Row],[FASE]]="BIF",T_LINHA_TRF,T_LINHA_TRF*SQRT(3)))/1000)*VLOOKUP(ESQ_PROJ1[[#This Row],[CONDUTOR]],CABOS[],9,0))+30,W15+60*(X15/Z15)),"")</f>
        <v/>
      </c>
      <c r="M15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5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5" s="116" t="str">
        <f>IF(ESQ_PROJ1[[#This Row],[PONTO]]="","",IFERROR(SUMIF(ESQ_PROJ1[PONTO],ESQ_PROJ1[[#This Row],[TRECHO]],ESQ_PROJ1[Coluna1])+ESQ_PROJ1[[#This Row],[QT-PONTO]],""))</f>
        <v/>
      </c>
      <c r="P15" s="57" t="str">
        <f>IFERROR(ESQ_PROJ1[[#This Row],[Coluna1]]/T_LINHA_MONO,"")</f>
        <v/>
      </c>
      <c r="Q15" s="55" t="str">
        <f>IFERROR(T_LINHA_MONO*(1-ESQ_PROJ1[[#This Row],[QT %]]),"")</f>
        <v/>
      </c>
      <c r="R15" s="55" t="str">
        <f>IFERROR(T_LINHA_TRF*(1-ESQ_PROJ1[[#This Row],[QT %]]),"")</f>
        <v/>
      </c>
      <c r="S15" s="67" t="str">
        <f>IF(ESQ_PROJ1[[#This Row],[PROTECAO]]="OK","Protecao OK","Ajustar Disj/Condutor")</f>
        <v>Ajustar Disj/Condutor</v>
      </c>
      <c r="T15" s="72" t="str">
        <f>IF(ESQ_PROJ1[[#This Row],[ETA]]=1,"MONO",IF(ESQ_PROJ1[[#This Row],[ETA]]=2,"BIF","TRI"))</f>
        <v>TRI</v>
      </c>
      <c r="U15" s="72">
        <v>3</v>
      </c>
      <c r="V15" s="72" t="str">
        <f t="shared" si="0"/>
        <v>AEREO</v>
      </c>
      <c r="W15" s="72">
        <f>30</f>
        <v>30</v>
      </c>
      <c r="X15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5" s="72">
        <f>IFERROR(VLOOKUP(ESQ_PROJ1[[#This Row],[Ib]],TabelaDisjuntores[],2,TRUE),0)</f>
        <v>0</v>
      </c>
      <c r="Z15" s="72">
        <f>IFERROR(VLOOKUP(ESQ_PROJ1[[#This Row],[CONDUTOR]],CABOS[],2,0),0)</f>
        <v>0</v>
      </c>
      <c r="AA15" s="72" t="str">
        <f>IF(AND(ESQ_PROJ1[[#This Row],[Ib]]&lt;=ESQ_PROJ1[[#This Row],[In]],ESQ_PROJ1[[#This Row],[In]]&lt;=ESQ_PROJ1[[#This Row],[Iz]]),"OK","VERIFICAR")</f>
        <v>VERIFICAR</v>
      </c>
      <c r="AB15" s="97">
        <f>IFERROR(SQRT((ESQ_PROJ1[[#This Row],[X]]-$AF$4)^2+(ESQ_PROJ1[[#This Row],[Y]]-$AF$5)^2),0)</f>
        <v>0</v>
      </c>
      <c r="AC15" s="9" t="str">
        <f>IF(ESQ_PROJ1[[#This Row],[CONDUTOR]]="","",VLOOKUP(ESQ_PROJ1[[#This Row],[CONDUTOR]],CONDUTORES,2,0))</f>
        <v/>
      </c>
      <c r="AE15" t="s">
        <v>273</v>
      </c>
    </row>
    <row r="16" spans="1:33" ht="14.4" customHeight="1" x14ac:dyDescent="0.3">
      <c r="A16" s="172" t="s">
        <v>325</v>
      </c>
      <c r="B16" s="134"/>
      <c r="C16" s="54" t="str">
        <f>IFERROR(IF(ESQ_PROJ1[[#This Row],[PONTO]]="RAMAL",B15,VLOOKUP(ESQ_PROJ1[[#This Row],[PONTO]],GERAL_PROJ[],2,0)),"")</f>
        <v/>
      </c>
      <c r="D16" s="54" t="str">
        <f>IFERROR(IF(ESQ_PROJ1[[#This Row],[PONTO]]="RAMAL",15,VLOOKUP(ESQ_PROJ1[[#This Row],[PONTO]],GERAL_PROJ[],3,0)),"")</f>
        <v/>
      </c>
      <c r="E16" s="154" t="str">
        <f>IFERROR(IF(ESQ_PROJ1[[#This Row],[PONTO]]="RAMAL","",VLOOKUP(ESQ_PROJ1[[#This Row],[PONTO]],GERAL[],7,0)),"")</f>
        <v/>
      </c>
      <c r="F16" s="154" t="str">
        <f>IFERROR(IF(ESQ_PROJ1[[#This Row],[PONTO]]="RAMAL","",VLOOKUP(ESQ_PROJ1[[#This Row],[PONTO]],GERAL_PROJ[],4,0)),"")</f>
        <v/>
      </c>
      <c r="G16" s="154" t="str">
        <f>IFERROR(IF(ESQ_PROJ1[[#This Row],[PONTO]]="RAMAL","",VLOOKUP(ESQ_PROJ1[[#This Row],[PONTO]],GERAL_PROJ[],5,0)),"")</f>
        <v/>
      </c>
      <c r="H16" s="55" t="str">
        <f>IFERROR(IF(ESQ_PROJ1[[#This Row],[PONTO]]="RAMAL",DMDI,VLOOKUP(ESQ_PROJ1[[#This Row],[PONTO]],GERAL_PROJ[],8,0)),"")</f>
        <v/>
      </c>
      <c r="I16" s="55" t="str">
        <f>IFERROR(IF(ESQ_PROJ1[[#This Row],[PONTO]]="RAMAL",ESQ_PROJ1[[#This Row],[KVA PONTO]],VLOOKUP(ESQ_PROJ1[[#This Row],[PONTO]],GERAL_PROJ[],9,0)),"")</f>
        <v/>
      </c>
      <c r="J16" s="55" t="str">
        <f>IFERROR(VLOOKUP(ESQ_PROJ1[[#This Row],[PONTO]],GERAL_PROJ[],12,0),"")</f>
        <v/>
      </c>
      <c r="K16" s="61" t="str">
        <f>IFERROR(ESQ_PROJ1[[#This Row],[Ib]],"")</f>
        <v/>
      </c>
      <c r="L16" s="117" t="str">
        <f>IFERROR(IFERROR(ESQ_PROJ1[[#This Row],[ACUMULADA]]/((IF(ESQ_PROJ1[[#This Row],[FASE]]="MONO",T_LINHA_MONO,IF(ESQ_PROJ1[[#This Row],[FASE]]="BIF",T_LINHA_TRF,T_LINHA_TRF*SQRT(3)))/1000)*VLOOKUP(ESQ_PROJ1[[#This Row],[CONDUTOR]],CABOS[],9,0))+30,W16+60*(X16/Z16)),"")</f>
        <v/>
      </c>
      <c r="M16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6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6" s="116" t="str">
        <f>IF(ESQ_PROJ1[[#This Row],[PONTO]]="","",IFERROR(SUMIF(ESQ_PROJ1[PONTO],ESQ_PROJ1[[#This Row],[TRECHO]],ESQ_PROJ1[Coluna1])+ESQ_PROJ1[[#This Row],[QT-PONTO]],""))</f>
        <v/>
      </c>
      <c r="P16" s="57" t="str">
        <f>IFERROR(ESQ_PROJ1[[#This Row],[Coluna1]]/T_LINHA_MONO,"")</f>
        <v/>
      </c>
      <c r="Q16" s="55" t="str">
        <f>IFERROR(T_LINHA_MONO*(1-ESQ_PROJ1[[#This Row],[QT %]]),"")</f>
        <v/>
      </c>
      <c r="R16" s="55" t="str">
        <f>IFERROR(T_LINHA_TRF*(1-ESQ_PROJ1[[#This Row],[QT %]]),"")</f>
        <v/>
      </c>
      <c r="S16" s="67" t="str">
        <f>IF(ESQ_PROJ1[[#This Row],[PROTECAO]]="OK","Protecao OK","Ajustar Disj/Condutor")</f>
        <v>Ajustar Disj/Condutor</v>
      </c>
      <c r="T16" s="72" t="str">
        <f>IF(ESQ_PROJ1[[#This Row],[ETA]]=1,"MONO",IF(ESQ_PROJ1[[#This Row],[ETA]]=2,"BIF","TRI"))</f>
        <v>TRI</v>
      </c>
      <c r="U16" s="72">
        <v>3</v>
      </c>
      <c r="V16" s="72" t="str">
        <f t="shared" si="0"/>
        <v>AEREO</v>
      </c>
      <c r="W16" s="72">
        <f>30</f>
        <v>30</v>
      </c>
      <c r="X16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6" s="72">
        <f>IFERROR(VLOOKUP(ESQ_PROJ1[[#This Row],[Ib]],TabelaDisjuntores[],2,TRUE),0)</f>
        <v>0</v>
      </c>
      <c r="Z16" s="72">
        <f>IFERROR(VLOOKUP(ESQ_PROJ1[[#This Row],[CONDUTOR]],CABOS[],2,0),0)</f>
        <v>0</v>
      </c>
      <c r="AA16" s="72" t="str">
        <f>IF(AND(ESQ_PROJ1[[#This Row],[Ib]]&lt;=ESQ_PROJ1[[#This Row],[In]],ESQ_PROJ1[[#This Row],[In]]&lt;=ESQ_PROJ1[[#This Row],[Iz]]),"OK","VERIFICAR")</f>
        <v>VERIFICAR</v>
      </c>
      <c r="AB16" s="97">
        <f>IFERROR(SQRT((ESQ_PROJ1[[#This Row],[X]]-$AF$4)^2+(ESQ_PROJ1[[#This Row],[Y]]-$AF$5)^2),0)</f>
        <v>0</v>
      </c>
      <c r="AC16" s="9" t="str">
        <f>IF(ESQ_PROJ1[[#This Row],[CONDUTOR]]="","",VLOOKUP(ESQ_PROJ1[[#This Row],[CONDUTOR]],CONDUTORES,2,0))</f>
        <v/>
      </c>
      <c r="AE16" s="262" t="s">
        <v>274</v>
      </c>
      <c r="AF16" s="262"/>
      <c r="AG16" s="262"/>
    </row>
    <row r="17" spans="1:33" x14ac:dyDescent="0.3">
      <c r="A17" s="54" t="s">
        <v>324</v>
      </c>
      <c r="B17" s="134"/>
      <c r="C17" s="54" t="str">
        <f>IFERROR(IF(ESQ_PROJ1[[#This Row],[PONTO]]="RAMAL",B16,VLOOKUP(ESQ_PROJ1[[#This Row],[PONTO]],GERAL_PROJ[],2,0)),"")</f>
        <v/>
      </c>
      <c r="D17" s="54" t="str">
        <f>IFERROR(IF(ESQ_PROJ1[[#This Row],[PONTO]]="RAMAL",15,VLOOKUP(ESQ_PROJ1[[#This Row],[PONTO]],GERAL_PROJ[],3,0)),"")</f>
        <v/>
      </c>
      <c r="E17" s="154" t="str">
        <f>IFERROR(IF(ESQ_PROJ1[[#This Row],[PONTO]]="RAMAL","",VLOOKUP(ESQ_PROJ1[[#This Row],[PONTO]],GERAL[],7,0)),"")</f>
        <v/>
      </c>
      <c r="F17" s="154" t="str">
        <f>IFERROR(IF(ESQ_PROJ1[[#This Row],[PONTO]]="RAMAL","",VLOOKUP(ESQ_PROJ1[[#This Row],[PONTO]],GERAL_PROJ[],4,0)),"")</f>
        <v/>
      </c>
      <c r="G17" s="154" t="str">
        <f>IFERROR(IF(ESQ_PROJ1[[#This Row],[PONTO]]="RAMAL","",VLOOKUP(ESQ_PROJ1[[#This Row],[PONTO]],GERAL_PROJ[],5,0)),"")</f>
        <v/>
      </c>
      <c r="H17" s="55" t="str">
        <f>IFERROR(IF(ESQ_PROJ1[[#This Row],[PONTO]]="RAMAL",DMDI,VLOOKUP(ESQ_PROJ1[[#This Row],[PONTO]],GERAL_PROJ[],8,0)),"")</f>
        <v/>
      </c>
      <c r="I17" s="55" t="str">
        <f>IFERROR(IF(ESQ_PROJ1[[#This Row],[PONTO]]="RAMAL",ESQ_PROJ1[[#This Row],[KVA PONTO]],VLOOKUP(ESQ_PROJ1[[#This Row],[PONTO]],GERAL_PROJ[],9,0)),"")</f>
        <v/>
      </c>
      <c r="J17" s="55" t="str">
        <f>IFERROR(VLOOKUP(ESQ_PROJ1[[#This Row],[PONTO]],GERAL_PROJ[],12,0),"")</f>
        <v/>
      </c>
      <c r="K17" s="61" t="str">
        <f>IFERROR(ESQ_PROJ1[[#This Row],[Ib]],"")</f>
        <v/>
      </c>
      <c r="L17" s="117" t="str">
        <f>IFERROR(IFERROR(ESQ_PROJ1[[#This Row],[ACUMULADA]]/((IF(ESQ_PROJ1[[#This Row],[FASE]]="MONO",T_LINHA_MONO,IF(ESQ_PROJ1[[#This Row],[FASE]]="BIF",T_LINHA_TRF,T_LINHA_TRF*SQRT(3)))/1000)*VLOOKUP(ESQ_PROJ1[[#This Row],[CONDUTOR]],CABOS[],9,0))+30,W17+60*(X17/Z17)),"")</f>
        <v/>
      </c>
      <c r="M17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7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7" s="116" t="str">
        <f>IF(ESQ_PROJ1[[#This Row],[PONTO]]="","",IFERROR(SUMIF(ESQ_PROJ1[PONTO],ESQ_PROJ1[[#This Row],[TRECHO]],ESQ_PROJ1[Coluna1])+ESQ_PROJ1[[#This Row],[QT-PONTO]],""))</f>
        <v/>
      </c>
      <c r="P17" s="57" t="str">
        <f>IFERROR(ESQ_PROJ1[[#This Row],[Coluna1]]/T_LINHA_MONO,"")</f>
        <v/>
      </c>
      <c r="Q17" s="55" t="str">
        <f>IFERROR(T_LINHA_MONO*(1-ESQ_PROJ1[[#This Row],[QT %]]),"")</f>
        <v/>
      </c>
      <c r="R17" s="55" t="str">
        <f>IFERROR(T_LINHA_TRF*(1-ESQ_PROJ1[[#This Row],[QT %]]),"")</f>
        <v/>
      </c>
      <c r="S17" s="67" t="str">
        <f>IF(ESQ_PROJ1[[#This Row],[PROTECAO]]="OK","Protecao OK","Ajustar Disj/Condutor")</f>
        <v>Ajustar Disj/Condutor</v>
      </c>
      <c r="T17" s="72" t="str">
        <f>IF(ESQ_PROJ1[[#This Row],[ETA]]=1,"MONO",IF(ESQ_PROJ1[[#This Row],[ETA]]=2,"BIF","TRI"))</f>
        <v>TRI</v>
      </c>
      <c r="U17" s="72">
        <v>3</v>
      </c>
      <c r="V17" s="72" t="str">
        <f t="shared" si="0"/>
        <v>AEREO</v>
      </c>
      <c r="W17" s="72">
        <f>30</f>
        <v>30</v>
      </c>
      <c r="X17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7" s="72">
        <f>IFERROR(VLOOKUP(ESQ_PROJ1[[#This Row],[Ib]],TabelaDisjuntores[],2,TRUE),0)</f>
        <v>0</v>
      </c>
      <c r="Z17" s="72">
        <f>IFERROR(VLOOKUP(ESQ_PROJ1[[#This Row],[CONDUTOR]],CABOS[],2,0),0)</f>
        <v>0</v>
      </c>
      <c r="AA17" s="72" t="str">
        <f>IF(AND(ESQ_PROJ1[[#This Row],[Ib]]&lt;=ESQ_PROJ1[[#This Row],[In]],ESQ_PROJ1[[#This Row],[In]]&lt;=ESQ_PROJ1[[#This Row],[Iz]]),"OK","VERIFICAR")</f>
        <v>VERIFICAR</v>
      </c>
      <c r="AB17" s="97">
        <f>IFERROR(SQRT((ESQ_PROJ1[[#This Row],[X]]-$AF$4)^2+(ESQ_PROJ1[[#This Row],[Y]]-$AF$5)^2),0)</f>
        <v>0</v>
      </c>
      <c r="AC17" s="9" t="str">
        <f>IF(ESQ_PROJ1[[#This Row],[CONDUTOR]]="","",VLOOKUP(ESQ_PROJ1[[#This Row],[CONDUTOR]],CONDUTORES,2,0))</f>
        <v/>
      </c>
      <c r="AE17" s="262"/>
      <c r="AF17" s="262"/>
      <c r="AG17" s="262"/>
    </row>
    <row r="18" spans="1:33" x14ac:dyDescent="0.3">
      <c r="A18" s="172" t="s">
        <v>326</v>
      </c>
      <c r="B18" s="134"/>
      <c r="C18" s="54" t="str">
        <f>IFERROR(IF(ESQ_PROJ1[[#This Row],[PONTO]]="RAMAL",B17,VLOOKUP(ESQ_PROJ1[[#This Row],[PONTO]],GERAL_PROJ[],2,0)),"")</f>
        <v/>
      </c>
      <c r="D18" s="54" t="str">
        <f>IFERROR(IF(ESQ_PROJ1[[#This Row],[PONTO]]="RAMAL",15,VLOOKUP(ESQ_PROJ1[[#This Row],[PONTO]],GERAL_PROJ[],3,0)),"")</f>
        <v/>
      </c>
      <c r="E18" s="154" t="str">
        <f>IFERROR(IF(ESQ_PROJ1[[#This Row],[PONTO]]="RAMAL","",VLOOKUP(ESQ_PROJ1[[#This Row],[PONTO]],GERAL[],7,0)),"")</f>
        <v/>
      </c>
      <c r="F18" s="154" t="str">
        <f>IFERROR(IF(ESQ_PROJ1[[#This Row],[PONTO]]="RAMAL","",VLOOKUP(ESQ_PROJ1[[#This Row],[PONTO]],GERAL_PROJ[],4,0)),"")</f>
        <v/>
      </c>
      <c r="G18" s="154" t="str">
        <f>IFERROR(IF(ESQ_PROJ1[[#This Row],[PONTO]]="RAMAL","",VLOOKUP(ESQ_PROJ1[[#This Row],[PONTO]],GERAL_PROJ[],5,0)),"")</f>
        <v/>
      </c>
      <c r="H18" s="55" t="str">
        <f>IFERROR(IF(ESQ_PROJ1[[#This Row],[PONTO]]="RAMAL",DMDI,VLOOKUP(ESQ_PROJ1[[#This Row],[PONTO]],GERAL_PROJ[],8,0)),"")</f>
        <v/>
      </c>
      <c r="I18" s="55" t="str">
        <f>IFERROR(IF(ESQ_PROJ1[[#This Row],[PONTO]]="RAMAL",ESQ_PROJ1[[#This Row],[KVA PONTO]],VLOOKUP(ESQ_PROJ1[[#This Row],[PONTO]],GERAL_PROJ[],9,0)),"")</f>
        <v/>
      </c>
      <c r="J18" s="55" t="str">
        <f>IFERROR(VLOOKUP(ESQ_PROJ1[[#This Row],[PONTO]],GERAL_PROJ[],12,0),"")</f>
        <v/>
      </c>
      <c r="K18" s="61" t="str">
        <f>IFERROR(ESQ_PROJ1[[#This Row],[Ib]],"")</f>
        <v/>
      </c>
      <c r="L18" s="117" t="str">
        <f>IFERROR(IFERROR(ESQ_PROJ1[[#This Row],[ACUMULADA]]/((IF(ESQ_PROJ1[[#This Row],[FASE]]="MONO",T_LINHA_MONO,IF(ESQ_PROJ1[[#This Row],[FASE]]="BIF",T_LINHA_TRF,T_LINHA_TRF*SQRT(3)))/1000)*VLOOKUP(ESQ_PROJ1[[#This Row],[CONDUTOR]],CABOS[],9,0))+30,W18+60*(X18/Z18)),"")</f>
        <v/>
      </c>
      <c r="M18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8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8" s="116" t="str">
        <f>IF(ESQ_PROJ1[[#This Row],[PONTO]]="","",IFERROR(SUMIF(ESQ_PROJ1[PONTO],ESQ_PROJ1[[#This Row],[TRECHO]],ESQ_PROJ1[Coluna1])+ESQ_PROJ1[[#This Row],[QT-PONTO]],""))</f>
        <v/>
      </c>
      <c r="P18" s="57" t="str">
        <f>IFERROR(ESQ_PROJ1[[#This Row],[Coluna1]]/T_LINHA_MONO,"")</f>
        <v/>
      </c>
      <c r="Q18" s="55" t="str">
        <f>IFERROR(T_LINHA_MONO*(1-ESQ_PROJ1[[#This Row],[QT %]]),"")</f>
        <v/>
      </c>
      <c r="R18" s="55" t="str">
        <f>IFERROR(T_LINHA_TRF*(1-ESQ_PROJ1[[#This Row],[QT %]]),"")</f>
        <v/>
      </c>
      <c r="S18" s="67" t="str">
        <f>IF(ESQ_PROJ1[[#This Row],[PROTECAO]]="OK","Protecao OK","Ajustar Disj/Condutor")</f>
        <v>Ajustar Disj/Condutor</v>
      </c>
      <c r="T18" s="72" t="str">
        <f>IF(ESQ_PROJ1[[#This Row],[ETA]]=1,"MONO",IF(ESQ_PROJ1[[#This Row],[ETA]]=2,"BIF","TRI"))</f>
        <v>TRI</v>
      </c>
      <c r="U18" s="72">
        <v>3</v>
      </c>
      <c r="V18" s="72" t="str">
        <f t="shared" si="0"/>
        <v>AEREO</v>
      </c>
      <c r="W18" s="72">
        <f>30</f>
        <v>30</v>
      </c>
      <c r="X18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8" s="72">
        <f>IFERROR(VLOOKUP(ESQ_PROJ1[[#This Row],[Ib]],TabelaDisjuntores[],2,TRUE),0)</f>
        <v>0</v>
      </c>
      <c r="Z18" s="72">
        <f>IFERROR(VLOOKUP(ESQ_PROJ1[[#This Row],[CONDUTOR]],CABOS[],2,0),0)</f>
        <v>0</v>
      </c>
      <c r="AA18" s="72" t="str">
        <f>IF(AND(ESQ_PROJ1[[#This Row],[Ib]]&lt;=ESQ_PROJ1[[#This Row],[In]],ESQ_PROJ1[[#This Row],[In]]&lt;=ESQ_PROJ1[[#This Row],[Iz]]),"OK","VERIFICAR")</f>
        <v>VERIFICAR</v>
      </c>
      <c r="AB18" s="97">
        <f>IFERROR(SQRT((ESQ_PROJ1[[#This Row],[X]]-$AF$4)^2+(ESQ_PROJ1[[#This Row],[Y]]-$AF$5)^2),0)</f>
        <v>0</v>
      </c>
      <c r="AC18" s="9" t="str">
        <f>IF(ESQ_PROJ1[[#This Row],[CONDUTOR]]="","",VLOOKUP(ESQ_PROJ1[[#This Row],[CONDUTOR]],CONDUTORES,2,0))</f>
        <v/>
      </c>
      <c r="AE18" s="262"/>
      <c r="AF18" s="262"/>
      <c r="AG18" s="262"/>
    </row>
    <row r="19" spans="1:33" x14ac:dyDescent="0.3">
      <c r="A19" s="54" t="s">
        <v>327</v>
      </c>
      <c r="B19" s="134"/>
      <c r="C19" s="54" t="str">
        <f>IFERROR(IF(ESQ_PROJ1[[#This Row],[PONTO]]="RAMAL",B18,VLOOKUP(ESQ_PROJ1[[#This Row],[PONTO]],GERAL_PROJ[],2,0)),"")</f>
        <v/>
      </c>
      <c r="D19" s="54" t="str">
        <f>IFERROR(IF(ESQ_PROJ1[[#This Row],[PONTO]]="RAMAL",15,VLOOKUP(ESQ_PROJ1[[#This Row],[PONTO]],GERAL_PROJ[],3,0)),"")</f>
        <v/>
      </c>
      <c r="E19" s="154" t="str">
        <f>IFERROR(IF(ESQ_PROJ1[[#This Row],[PONTO]]="RAMAL","",VLOOKUP(ESQ_PROJ1[[#This Row],[PONTO]],GERAL[],7,0)),"")</f>
        <v/>
      </c>
      <c r="F19" s="154" t="str">
        <f>IFERROR(IF(ESQ_PROJ1[[#This Row],[PONTO]]="RAMAL","",VLOOKUP(ESQ_PROJ1[[#This Row],[PONTO]],GERAL_PROJ[],4,0)),"")</f>
        <v/>
      </c>
      <c r="G19" s="154" t="str">
        <f>IFERROR(IF(ESQ_PROJ1[[#This Row],[PONTO]]="RAMAL","",VLOOKUP(ESQ_PROJ1[[#This Row],[PONTO]],GERAL_PROJ[],5,0)),"")</f>
        <v/>
      </c>
      <c r="H19" s="55" t="str">
        <f>IFERROR(IF(ESQ_PROJ1[[#This Row],[PONTO]]="RAMAL",DMDI,VLOOKUP(ESQ_PROJ1[[#This Row],[PONTO]],GERAL_PROJ[],8,0)),"")</f>
        <v/>
      </c>
      <c r="I19" s="55" t="str">
        <f>IFERROR(IF(ESQ_PROJ1[[#This Row],[PONTO]]="RAMAL",ESQ_PROJ1[[#This Row],[KVA PONTO]],VLOOKUP(ESQ_PROJ1[[#This Row],[PONTO]],GERAL_PROJ[],9,0)),"")</f>
        <v/>
      </c>
      <c r="J19" s="55" t="str">
        <f>IFERROR(VLOOKUP(ESQ_PROJ1[[#This Row],[PONTO]],GERAL_PROJ[],12,0),"")</f>
        <v/>
      </c>
      <c r="K19" s="61" t="str">
        <f>IFERROR(ESQ_PROJ1[[#This Row],[Ib]],"")</f>
        <v/>
      </c>
      <c r="L19" s="117" t="str">
        <f>IFERROR(IFERROR(ESQ_PROJ1[[#This Row],[ACUMULADA]]/((IF(ESQ_PROJ1[[#This Row],[FASE]]="MONO",T_LINHA_MONO,IF(ESQ_PROJ1[[#This Row],[FASE]]="BIF",T_LINHA_TRF,T_LINHA_TRF*SQRT(3)))/1000)*VLOOKUP(ESQ_PROJ1[[#This Row],[CONDUTOR]],CABOS[],9,0))+30,W19+60*(X19/Z19)),"")</f>
        <v/>
      </c>
      <c r="M19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19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19" s="116" t="str">
        <f>IF(ESQ_PROJ1[[#This Row],[PONTO]]="","",IFERROR(SUMIF(ESQ_PROJ1[PONTO],ESQ_PROJ1[[#This Row],[TRECHO]],ESQ_PROJ1[Coluna1])+ESQ_PROJ1[[#This Row],[QT-PONTO]],""))</f>
        <v/>
      </c>
      <c r="P19" s="57" t="str">
        <f>IFERROR(ESQ_PROJ1[[#This Row],[Coluna1]]/T_LINHA_MONO,"")</f>
        <v/>
      </c>
      <c r="Q19" s="55" t="str">
        <f>IFERROR(T_LINHA_MONO*(1-ESQ_PROJ1[[#This Row],[QT %]]),"")</f>
        <v/>
      </c>
      <c r="R19" s="55" t="str">
        <f>IFERROR(T_LINHA_TRF*(1-ESQ_PROJ1[[#This Row],[QT %]]),"")</f>
        <v/>
      </c>
      <c r="S19" s="67" t="str">
        <f>IF(ESQ_PROJ1[[#This Row],[PROTECAO]]="OK","Protecao OK","Ajustar Disj/Condutor")</f>
        <v>Ajustar Disj/Condutor</v>
      </c>
      <c r="T19" s="72" t="str">
        <f>IF(ESQ_PROJ1[[#This Row],[ETA]]=1,"MONO",IF(ESQ_PROJ1[[#This Row],[ETA]]=2,"BIF","TRI"))</f>
        <v>TRI</v>
      </c>
      <c r="U19" s="72">
        <v>3</v>
      </c>
      <c r="V19" s="72" t="str">
        <f t="shared" si="0"/>
        <v>AEREO</v>
      </c>
      <c r="W19" s="72">
        <f>30</f>
        <v>30</v>
      </c>
      <c r="X19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19" s="72">
        <f>IFERROR(VLOOKUP(ESQ_PROJ1[[#This Row],[Ib]],TabelaDisjuntores[],2,TRUE),0)</f>
        <v>0</v>
      </c>
      <c r="Z19" s="72">
        <f>IFERROR(VLOOKUP(ESQ_PROJ1[[#This Row],[CONDUTOR]],CABOS[],2,0),0)</f>
        <v>0</v>
      </c>
      <c r="AA19" s="72" t="str">
        <f>IF(AND(ESQ_PROJ1[[#This Row],[Ib]]&lt;=ESQ_PROJ1[[#This Row],[In]],ESQ_PROJ1[[#This Row],[In]]&lt;=ESQ_PROJ1[[#This Row],[Iz]]),"OK","VERIFICAR")</f>
        <v>VERIFICAR</v>
      </c>
      <c r="AB19" s="97">
        <f>IFERROR(SQRT((ESQ_PROJ1[[#This Row],[X]]-$AF$4)^2+(ESQ_PROJ1[[#This Row],[Y]]-$AF$5)^2),0)</f>
        <v>0</v>
      </c>
      <c r="AC19" s="9" t="str">
        <f>IF(ESQ_PROJ1[[#This Row],[CONDUTOR]]="","",VLOOKUP(ESQ_PROJ1[[#This Row],[CONDUTOR]],CONDUTORES,2,0))</f>
        <v/>
      </c>
      <c r="AE19" s="262"/>
      <c r="AF19" s="262"/>
      <c r="AG19" s="262"/>
    </row>
    <row r="20" spans="1:33" x14ac:dyDescent="0.3">
      <c r="A20" s="172" t="s">
        <v>328</v>
      </c>
      <c r="B20" s="134"/>
      <c r="C20" s="54" t="str">
        <f>IFERROR(IF(ESQ_PROJ1[[#This Row],[PONTO]]="RAMAL",B19,VLOOKUP(ESQ_PROJ1[[#This Row],[PONTO]],GERAL_PROJ[],2,0)),"")</f>
        <v/>
      </c>
      <c r="D20" s="54" t="str">
        <f>IFERROR(IF(ESQ_PROJ1[[#This Row],[PONTO]]="RAMAL",15,VLOOKUP(ESQ_PROJ1[[#This Row],[PONTO]],GERAL_PROJ[],3,0)),"")</f>
        <v/>
      </c>
      <c r="E20" s="154" t="str">
        <f>IFERROR(IF(ESQ_PROJ1[[#This Row],[PONTO]]="RAMAL","",VLOOKUP(ESQ_PROJ1[[#This Row],[PONTO]],GERAL[],7,0)),"")</f>
        <v/>
      </c>
      <c r="F20" s="154" t="str">
        <f>IFERROR(IF(ESQ_PROJ1[[#This Row],[PONTO]]="RAMAL","",VLOOKUP(ESQ_PROJ1[[#This Row],[PONTO]],GERAL_PROJ[],4,0)),"")</f>
        <v/>
      </c>
      <c r="G20" s="154" t="str">
        <f>IFERROR(IF(ESQ_PROJ1[[#This Row],[PONTO]]="RAMAL","",VLOOKUP(ESQ_PROJ1[[#This Row],[PONTO]],GERAL_PROJ[],5,0)),"")</f>
        <v/>
      </c>
      <c r="H20" s="55" t="str">
        <f>IFERROR(IF(ESQ_PROJ1[[#This Row],[PONTO]]="RAMAL",DMDI,VLOOKUP(ESQ_PROJ1[[#This Row],[PONTO]],GERAL_PROJ[],8,0)),"")</f>
        <v/>
      </c>
      <c r="I20" s="55" t="str">
        <f>IFERROR(IF(ESQ_PROJ1[[#This Row],[PONTO]]="RAMAL",ESQ_PROJ1[[#This Row],[KVA PONTO]],VLOOKUP(ESQ_PROJ1[[#This Row],[PONTO]],GERAL_PROJ[],9,0)),"")</f>
        <v/>
      </c>
      <c r="J20" s="55" t="str">
        <f>IFERROR(VLOOKUP(ESQ_PROJ1[[#This Row],[PONTO]],GERAL_PROJ[],12,0),"")</f>
        <v/>
      </c>
      <c r="K20" s="61" t="str">
        <f>IFERROR(ESQ_PROJ1[[#This Row],[Ib]],"")</f>
        <v/>
      </c>
      <c r="L20" s="117" t="str">
        <f>IFERROR(IFERROR(ESQ_PROJ1[[#This Row],[ACUMULADA]]/((IF(ESQ_PROJ1[[#This Row],[FASE]]="MONO",T_LINHA_MONO,IF(ESQ_PROJ1[[#This Row],[FASE]]="BIF",T_LINHA_TRF,T_LINHA_TRF*SQRT(3)))/1000)*VLOOKUP(ESQ_PROJ1[[#This Row],[CONDUTOR]],CABOS[],9,0))+30,W20+60*(X20/Z20)),"")</f>
        <v/>
      </c>
      <c r="M20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20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20" s="116" t="str">
        <f>IF(ESQ_PROJ1[[#This Row],[PONTO]]="","",IFERROR(SUMIF(ESQ_PROJ1[PONTO],ESQ_PROJ1[[#This Row],[TRECHO]],ESQ_PROJ1[Coluna1])+ESQ_PROJ1[[#This Row],[QT-PONTO]],""))</f>
        <v/>
      </c>
      <c r="P20" s="57" t="str">
        <f>IFERROR(ESQ_PROJ1[[#This Row],[Coluna1]]/T_LINHA_MONO,"")</f>
        <v/>
      </c>
      <c r="Q20" s="55" t="str">
        <f>IFERROR(T_LINHA_MONO*(1-ESQ_PROJ1[[#This Row],[QT %]]),"")</f>
        <v/>
      </c>
      <c r="R20" s="55" t="str">
        <f>IFERROR(T_LINHA_TRF*(1-ESQ_PROJ1[[#This Row],[QT %]]),"")</f>
        <v/>
      </c>
      <c r="S20" s="67" t="str">
        <f>IF(ESQ_PROJ1[[#This Row],[PROTECAO]]="OK","Protecao OK","Ajustar Disj/Condutor")</f>
        <v>Ajustar Disj/Condutor</v>
      </c>
      <c r="T20" s="72" t="str">
        <f>IF(ESQ_PROJ1[[#This Row],[ETA]]=1,"MONO",IF(ESQ_PROJ1[[#This Row],[ETA]]=2,"BIF","TRI"))</f>
        <v>TRI</v>
      </c>
      <c r="U20" s="72">
        <v>3</v>
      </c>
      <c r="V20" s="72" t="str">
        <f t="shared" si="0"/>
        <v>AEREO</v>
      </c>
      <c r="W20" s="72">
        <f>30</f>
        <v>30</v>
      </c>
      <c r="X20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20" s="72">
        <f>IFERROR(VLOOKUP(ESQ_PROJ1[[#This Row],[Ib]],TabelaDisjuntores[],2,TRUE),0)</f>
        <v>0</v>
      </c>
      <c r="Z20" s="72">
        <f>IFERROR(VLOOKUP(ESQ_PROJ1[[#This Row],[CONDUTOR]],CABOS[],2,0),0)</f>
        <v>0</v>
      </c>
      <c r="AA20" s="72" t="str">
        <f>IF(AND(ESQ_PROJ1[[#This Row],[Ib]]&lt;=ESQ_PROJ1[[#This Row],[In]],ESQ_PROJ1[[#This Row],[In]]&lt;=ESQ_PROJ1[[#This Row],[Iz]]),"OK","VERIFICAR")</f>
        <v>VERIFICAR</v>
      </c>
      <c r="AB20" s="97">
        <f>IFERROR(SQRT((ESQ_PROJ1[[#This Row],[X]]-$AF$4)^2+(ESQ_PROJ1[[#This Row],[Y]]-$AF$5)^2),0)</f>
        <v>0</v>
      </c>
      <c r="AC20" s="9" t="str">
        <f>IF(ESQ_PROJ1[[#This Row],[CONDUTOR]]="","",VLOOKUP(ESQ_PROJ1[[#This Row],[CONDUTOR]],CONDUTORES,2,0))</f>
        <v/>
      </c>
    </row>
    <row r="21" spans="1:33" x14ac:dyDescent="0.3">
      <c r="A21" s="54" t="s">
        <v>329</v>
      </c>
      <c r="B21" s="134"/>
      <c r="C21" s="54" t="str">
        <f>IFERROR(IF(ESQ_PROJ1[[#This Row],[PONTO]]="RAMAL",B20,VLOOKUP(ESQ_PROJ1[[#This Row],[PONTO]],GERAL_PROJ[],2,0)),"")</f>
        <v/>
      </c>
      <c r="D21" s="54" t="str">
        <f>IFERROR(IF(ESQ_PROJ1[[#This Row],[PONTO]]="RAMAL",15,VLOOKUP(ESQ_PROJ1[[#This Row],[PONTO]],GERAL_PROJ[],3,0)),"")</f>
        <v/>
      </c>
      <c r="E21" s="154" t="str">
        <f>IFERROR(IF(ESQ_PROJ1[[#This Row],[PONTO]]="RAMAL","",VLOOKUP(ESQ_PROJ1[[#This Row],[PONTO]],GERAL[],7,0)),"")</f>
        <v/>
      </c>
      <c r="F21" s="154" t="str">
        <f>IFERROR(IF(ESQ_PROJ1[[#This Row],[PONTO]]="RAMAL","",VLOOKUP(ESQ_PROJ1[[#This Row],[PONTO]],GERAL_PROJ[],4,0)),"")</f>
        <v/>
      </c>
      <c r="G21" s="154" t="str">
        <f>IFERROR(IF(ESQ_PROJ1[[#This Row],[PONTO]]="RAMAL","",VLOOKUP(ESQ_PROJ1[[#This Row],[PONTO]],GERAL_PROJ[],5,0)),"")</f>
        <v/>
      </c>
      <c r="H21" s="55" t="str">
        <f>IFERROR(IF(ESQ_PROJ1[[#This Row],[PONTO]]="RAMAL",DMDI,VLOOKUP(ESQ_PROJ1[[#This Row],[PONTO]],GERAL_PROJ[],8,0)),"")</f>
        <v/>
      </c>
      <c r="I21" s="55" t="str">
        <f>IFERROR(IF(ESQ_PROJ1[[#This Row],[PONTO]]="RAMAL",ESQ_PROJ1[[#This Row],[KVA PONTO]],VLOOKUP(ESQ_PROJ1[[#This Row],[PONTO]],GERAL_PROJ[],9,0)),"")</f>
        <v/>
      </c>
      <c r="J21" s="55" t="str">
        <f>IFERROR(VLOOKUP(ESQ_PROJ1[[#This Row],[PONTO]],GERAL_PROJ[],12,0),"")</f>
        <v/>
      </c>
      <c r="K21" s="61" t="str">
        <f>IFERROR(ESQ_PROJ1[[#This Row],[Ib]],"")</f>
        <v/>
      </c>
      <c r="L21" s="117" t="str">
        <f>IFERROR(IFERROR(ESQ_PROJ1[[#This Row],[ACUMULADA]]/((IF(ESQ_PROJ1[[#This Row],[FASE]]="MONO",T_LINHA_MONO,IF(ESQ_PROJ1[[#This Row],[FASE]]="BIF",T_LINHA_TRF,T_LINHA_TRF*SQRT(3)))/1000)*VLOOKUP(ESQ_PROJ1[[#This Row],[CONDUTOR]],CABOS[],9,0))+30,W21+60*(X21/Z21)),"")</f>
        <v/>
      </c>
      <c r="M21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21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21" s="116" t="str">
        <f>IF(ESQ_PROJ1[[#This Row],[PONTO]]="","",IFERROR(SUMIF(ESQ_PROJ1[PONTO],ESQ_PROJ1[[#This Row],[TRECHO]],ESQ_PROJ1[Coluna1])+ESQ_PROJ1[[#This Row],[QT-PONTO]],""))</f>
        <v/>
      </c>
      <c r="P21" s="57" t="str">
        <f>IFERROR(ESQ_PROJ1[[#This Row],[Coluna1]]/T_LINHA_MONO,"")</f>
        <v/>
      </c>
      <c r="Q21" s="55" t="str">
        <f>IFERROR(T_LINHA_MONO*(1-ESQ_PROJ1[[#This Row],[QT %]]),"")</f>
        <v/>
      </c>
      <c r="R21" s="55" t="str">
        <f>IFERROR(T_LINHA_TRF*(1-ESQ_PROJ1[[#This Row],[QT %]]),"")</f>
        <v/>
      </c>
      <c r="S21" s="67" t="str">
        <f>IF(ESQ_PROJ1[[#This Row],[PROTECAO]]="OK","Protecao OK","Ajustar Disj/Condutor")</f>
        <v>Ajustar Disj/Condutor</v>
      </c>
      <c r="T21" s="72" t="str">
        <f>IF(ESQ_PROJ1[[#This Row],[ETA]]=1,"MONO",IF(ESQ_PROJ1[[#This Row],[ETA]]=2,"BIF","TRI"))</f>
        <v>TRI</v>
      </c>
      <c r="U21" s="72">
        <v>3</v>
      </c>
      <c r="V21" s="72" t="str">
        <f t="shared" si="0"/>
        <v>AEREO</v>
      </c>
      <c r="W21" s="72">
        <f>30</f>
        <v>30</v>
      </c>
      <c r="X21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21" s="72">
        <f>IFERROR(VLOOKUP(ESQ_PROJ1[[#This Row],[Ib]],TabelaDisjuntores[],2,TRUE),0)</f>
        <v>0</v>
      </c>
      <c r="Z21" s="72">
        <f>IFERROR(VLOOKUP(ESQ_PROJ1[[#This Row],[CONDUTOR]],CABOS[],2,0),0)</f>
        <v>0</v>
      </c>
      <c r="AA21" s="72" t="str">
        <f>IF(AND(ESQ_PROJ1[[#This Row],[Ib]]&lt;=ESQ_PROJ1[[#This Row],[In]],ESQ_PROJ1[[#This Row],[In]]&lt;=ESQ_PROJ1[[#This Row],[Iz]]),"OK","VERIFICAR")</f>
        <v>VERIFICAR</v>
      </c>
      <c r="AB21" s="97">
        <f>IFERROR(SQRT((ESQ_PROJ1[[#This Row],[X]]-$AF$4)^2+(ESQ_PROJ1[[#This Row],[Y]]-$AF$5)^2),0)</f>
        <v>0</v>
      </c>
      <c r="AC21" s="9" t="str">
        <f>IF(ESQ_PROJ1[[#This Row],[CONDUTOR]]="","",VLOOKUP(ESQ_PROJ1[[#This Row],[CONDUTOR]],CONDUTORES,2,0))</f>
        <v/>
      </c>
      <c r="AE21" s="146" t="str">
        <f>IF(J23="","FALTA CONDUTOR NO RAMAL","")</f>
        <v/>
      </c>
      <c r="AF21" s="146"/>
      <c r="AG21" s="146"/>
    </row>
    <row r="22" spans="1:33" x14ac:dyDescent="0.3">
      <c r="A22" s="172"/>
      <c r="B22" s="134"/>
      <c r="C22" s="54" t="str">
        <f>IFERROR(IF(ESQ_PROJ1[[#This Row],[PONTO]]="RAMAL",B21,VLOOKUP(ESQ_PROJ1[[#This Row],[PONTO]],GERAL_PROJ[],2,0)),"")</f>
        <v/>
      </c>
      <c r="D22" s="54" t="str">
        <f>IFERROR(IF(ESQ_PROJ1[[#This Row],[PONTO]]="RAMAL",15,VLOOKUP(ESQ_PROJ1[[#This Row],[PONTO]],GERAL_PROJ[],3,0)),"")</f>
        <v/>
      </c>
      <c r="E22" s="154" t="str">
        <f>IFERROR(IF(ESQ_PROJ1[[#This Row],[PONTO]]="RAMAL","",VLOOKUP(ESQ_PROJ1[[#This Row],[PONTO]],GERAL[],7,0)),"")</f>
        <v/>
      </c>
      <c r="F22" s="154" t="str">
        <f>IFERROR(IF(ESQ_PROJ1[[#This Row],[PONTO]]="RAMAL","",VLOOKUP(ESQ_PROJ1[[#This Row],[PONTO]],GERAL_PROJ[],4,0)),"")</f>
        <v/>
      </c>
      <c r="G22" s="154" t="str">
        <f>IFERROR(IF(ESQ_PROJ1[[#This Row],[PONTO]]="RAMAL","",VLOOKUP(ESQ_PROJ1[[#This Row],[PONTO]],GERAL_PROJ[],5,0)),"")</f>
        <v/>
      </c>
      <c r="H22" s="55" t="str">
        <f>IFERROR(IF(ESQ_PROJ1[[#This Row],[PONTO]]="RAMAL",DMDI,VLOOKUP(ESQ_PROJ1[[#This Row],[PONTO]],GERAL_PROJ[],8,0)),"")</f>
        <v/>
      </c>
      <c r="I22" s="55" t="str">
        <f>IFERROR(IF(ESQ_PROJ1[[#This Row],[PONTO]]="RAMAL",ESQ_PROJ1[[#This Row],[KVA PONTO]],VLOOKUP(ESQ_PROJ1[[#This Row],[PONTO]],GERAL_PROJ[],9,0)),"")</f>
        <v/>
      </c>
      <c r="J22" s="55" t="str">
        <f>IFERROR(VLOOKUP(ESQ_PROJ1[[#This Row],[PONTO]],GERAL_PROJ[],12,0),"")</f>
        <v/>
      </c>
      <c r="K22" s="61" t="str">
        <f>IFERROR(ESQ_PROJ1[[#This Row],[Ib]],"")</f>
        <v/>
      </c>
      <c r="L22" s="117" t="str">
        <f>IFERROR(IFERROR(ESQ_PROJ1[[#This Row],[ACUMULADA]]/((IF(ESQ_PROJ1[[#This Row],[FASE]]="MONO",T_LINHA_MONO,IF(ESQ_PROJ1[[#This Row],[FASE]]="BIF",T_LINHA_TRF,T_LINHA_TRF*SQRT(3)))/1000)*VLOOKUP(ESQ_PROJ1[[#This Row],[CONDUTOR]],CABOS[],9,0))+30,W22+60*(X22/Z22)),"")</f>
        <v/>
      </c>
      <c r="M22" s="68" t="str">
        <f>IFERROR((VLOOKUP(ESQ_PROJ1[[#This Row],[CONDUTOR]],CABOS[],3,0)/VLOOKUP(ESQ_PROJ1[[#This Row],[CONDUTOR]],CABOS[],6,0))*(1+VLOOKUP(ESQ_PROJ1[[#This Row],[CONDUTOR]],CABOS[],5,0)*(ESQ_PROJ1[[#This Row],[T]]-20)),"")</f>
        <v/>
      </c>
      <c r="N22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22" s="116" t="str">
        <f>IF(ESQ_PROJ1[[#This Row],[PONTO]]="","",IFERROR(SUMIF(ESQ_PROJ1[PONTO],ESQ_PROJ1[[#This Row],[TRECHO]],ESQ_PROJ1[Coluna1])+ESQ_PROJ1[[#This Row],[QT-PONTO]],""))</f>
        <v/>
      </c>
      <c r="P22" s="57" t="str">
        <f>IFERROR(ESQ_PROJ1[[#This Row],[Coluna1]]/T_LINHA_MONO,"")</f>
        <v/>
      </c>
      <c r="Q22" s="55" t="str">
        <f>IFERROR(T_LINHA_MONO*(1-ESQ_PROJ1[[#This Row],[QT %]]),"")</f>
        <v/>
      </c>
      <c r="R22" s="55" t="str">
        <f>IFERROR(T_LINHA_TRF*(1-ESQ_PROJ1[[#This Row],[QT %]]),"")</f>
        <v/>
      </c>
      <c r="S22" s="67" t="str">
        <f>IF(ESQ_PROJ1[[#This Row],[PROTECAO]]="OK","Protecao OK","Ajustar Disj/Condutor")</f>
        <v>Ajustar Disj/Condutor</v>
      </c>
      <c r="T22" s="72" t="str">
        <f>IF(ESQ_PROJ1[[#This Row],[ETA]]=1,"MONO",IF(ESQ_PROJ1[[#This Row],[ETA]]=2,"BIF","TRI"))</f>
        <v>TRI</v>
      </c>
      <c r="U22" s="72">
        <v>3</v>
      </c>
      <c r="V22" s="72" t="str">
        <f t="shared" si="0"/>
        <v>AEREO</v>
      </c>
      <c r="W22" s="72">
        <f>30</f>
        <v>30</v>
      </c>
      <c r="X22" s="72" t="str">
        <f>IFERROR(IF(ESQ_PROJ1[[#This Row],[FASE]]="MONO",ESQ_PROJ1[[#This Row],[ACUMULADA]]*1000/(T_LINHA_TRF*ESQ_PROJ1[[#This Row],[ETA]]),ESQ_PROJ1[[#This Row],[ACUMULADA]]*1000/(SQRT(3)*$R$7*ESQ_PROJ1[[#This Row],[ETA]])),"")</f>
        <v/>
      </c>
      <c r="Y22" s="72">
        <f>IFERROR(VLOOKUP(ESQ_PROJ1[[#This Row],[Ib]],TabelaDisjuntores[],2,TRUE),0)</f>
        <v>0</v>
      </c>
      <c r="Z22" s="72">
        <f>IFERROR(VLOOKUP(ESQ_PROJ1[[#This Row],[CONDUTOR]],CABOS[],2,0),0)</f>
        <v>0</v>
      </c>
      <c r="AA22" s="72" t="str">
        <f>IF(AND(ESQ_PROJ1[[#This Row],[Ib]]&lt;=ESQ_PROJ1[[#This Row],[In]],ESQ_PROJ1[[#This Row],[In]]&lt;=ESQ_PROJ1[[#This Row],[Iz]]),"OK","VERIFICAR")</f>
        <v>VERIFICAR</v>
      </c>
      <c r="AB22" s="97">
        <f>IFERROR(SQRT((ESQ_PROJ1[[#This Row],[X]]-$AF$4)^2+(ESQ_PROJ1[[#This Row],[Y]]-$AF$5)^2),0)</f>
        <v>0</v>
      </c>
      <c r="AC22" s="9" t="str">
        <f>IF(ESQ_PROJ1[[#This Row],[CONDUTOR]]="","",VLOOKUP(ESQ_PROJ1[[#This Row],[CONDUTOR]],CONDUTORES,2,0))</f>
        <v/>
      </c>
    </row>
    <row r="23" spans="1:33" x14ac:dyDescent="0.3">
      <c r="A23" s="172" t="s">
        <v>323</v>
      </c>
      <c r="B23" s="70" t="s">
        <v>275</v>
      </c>
      <c r="C23" s="130"/>
      <c r="D23" s="54">
        <v>30</v>
      </c>
      <c r="E23" s="154" t="str">
        <f>IFERROR(IF(ESQ_PROJ1[[#This Row],[PONTO]]="RAMAL","",VLOOKUP(ESQ_PROJ1[[#This Row],[PONTO]],GERAL[],7,0)),"")</f>
        <v/>
      </c>
      <c r="F23" s="154" t="str">
        <f>IFERROR(IF(ESQ_PROJ1[[#This Row],[PONTO]]="RAMAL","",VLOOKUP(ESQ_PROJ1[[#This Row],[PONTO]],GERAL_PROJ[],4,0)),"")</f>
        <v/>
      </c>
      <c r="G23" s="154" t="str">
        <f>IFERROR(IF(ESQ_PROJ1[[#This Row],[PONTO]]="RAMAL","",VLOOKUP(ESQ_PROJ1[[#This Row],[PONTO]],GERAL_PROJ[],5,0)),"")</f>
        <v/>
      </c>
      <c r="H23" s="55">
        <f>IFERROR(IF(ESQ_PROJ1[[#This Row],[PONTO]]="RAMAL",DMDI,VLOOKUP(ESQ_PROJ1[[#This Row],[PONTO]],GERAL_PROJ[],8,0)),"")</f>
        <v>1.88</v>
      </c>
      <c r="I23" s="55">
        <f>IFERROR(IF(ESQ_PROJ1[[#This Row],[PONTO]]="RAMAL",ESQ_PROJ1[[#This Row],[KVA PONTO]],VLOOKUP(ESQ_PROJ1[[#This Row],[PONTO]],GERAL_PROJ[],9,0)),"")</f>
        <v>1.88</v>
      </c>
      <c r="J23" s="135" t="s">
        <v>97</v>
      </c>
      <c r="K23" s="61">
        <f>IFERROR(ESQ_PROJ1[[#This Row],[Ib]],"")</f>
        <v>1.6445734940552976</v>
      </c>
      <c r="L23" s="117">
        <f>IFERROR(IFERROR(ESQ_PROJ1[[#This Row],[ACUMULADA]]/((IF(ESQ_PROJ1[[#This Row],[FASE]]="MONO",T_LINHA_MONO,IF(ESQ_PROJ1[[#This Row],[FASE]]="BIF",T_LINHA_TRF,T_LINHA_TRF*SQRT(3)))/1000)*VLOOKUP(ESQ_PROJ1[[#This Row],[CONDUTOR]],CABOS[],9,0))+30,W23+60*(X23/Z23)),"")</f>
        <v>34.698781411586566</v>
      </c>
      <c r="M23" s="68">
        <f>IFERROR((VLOOKUP(ESQ_PROJ1[[#This Row],[CONDUTOR]],CABOS[],3,0)/VLOOKUP(ESQ_PROJ1[[#This Row],[CONDUTOR]],CABOS[],6,0))*(1+VLOOKUP(ESQ_PROJ1[[#This Row],[CONDUTOR]],CABOS[],5,0)*(ESQ_PROJ1[[#This Row],[T]]-20)),"")</f>
        <v>2.0636037487625933</v>
      </c>
      <c r="N23" s="62" t="str">
        <f>IFERROR(IF(ESQ_PROJ1[[#This Row],[FASE]]="MONO",6,IF(ESQ_PROJ1[[#This Row],[FASE]]="BIF",2,1))*ESQ_PROJ1[[#This Row],[ACUMULADA]]*(SQRT(ESQ_PROJ1[[#This Row],[R CORR]]^2+VLOOKUP(ESQ_PROJ1[[#This Row],[CONDUTOR]],CABOS[],4,0)^2)/(($R$7^2)/100))*ESQ_PROJ1[[#This Row],[M]]*T_LINHA_MONO/100+IF(ESQ_PROJ1[[#This Row],[TRECHO]]=0,T_LINHA_MONO*QT_MTTR2,0),"")</f>
        <v/>
      </c>
      <c r="O23" s="116" t="str">
        <f>IF(ESQ_PROJ1[[#This Row],[PONTO]]="","",IFERROR(SUMIF(ESQ_PROJ1[PONTO],ESQ_PROJ1[[#This Row],[TRECHO]],ESQ_PROJ1[Coluna1])+ESQ_PROJ1[[#This Row],[QT-PONTO]],""))</f>
        <v/>
      </c>
      <c r="P23" s="57" t="str">
        <f>IFERROR(ESQ_PROJ1[[#This Row],[Coluna1]]/T_LINHA_MONO,"")</f>
        <v/>
      </c>
      <c r="Q23" s="55" t="str">
        <f>IFERROR(T_LINHA_MONO*(1-ESQ_PROJ1[[#This Row],[QT %]]),"")</f>
        <v/>
      </c>
      <c r="R23" s="55" t="str">
        <f>IFERROR(T_LINHA_TRF*(1-ESQ_PROJ1[[#This Row],[QT %]]),"")</f>
        <v/>
      </c>
      <c r="S23" s="67" t="str">
        <f>IF(ESQ_PROJ1[[#This Row],[PROTECAO]]="OK","Protecao OK","Ajustar Disj/Condutor")</f>
        <v>Ajustar Disj/Condutor</v>
      </c>
      <c r="T23" s="72" t="str">
        <f>IF(ESQ_PROJ1[[#This Row],[ETA]]=1,"MONO",IF(ESQ_PROJ1[[#This Row],[ETA]]=2,"BIF","TRI"))</f>
        <v>TRI</v>
      </c>
      <c r="U23" s="72">
        <v>3</v>
      </c>
      <c r="V23" s="72" t="str">
        <f t="shared" si="0"/>
        <v>AEREO</v>
      </c>
      <c r="W23" s="72">
        <f>30</f>
        <v>30</v>
      </c>
      <c r="X23" s="72">
        <f>IFERROR(IF(ESQ_PROJ1[[#This Row],[FASE]]="MONO",ESQ_PROJ1[[#This Row],[ACUMULADA]]*1000/(T_LINHA_TRF*ESQ_PROJ1[[#This Row],[ETA]]),ESQ_PROJ1[[#This Row],[ACUMULADA]]*1000/(SQRT(3)*$R$7*ESQ_PROJ1[[#This Row],[ETA]])),"")</f>
        <v>1.6445734940552976</v>
      </c>
      <c r="Y23" s="72">
        <f>IFERROR(VLOOKUP(ESQ_PROJ1[[#This Row],[Ib]],TabelaDisjuntores[],2,TRUE),0)</f>
        <v>0</v>
      </c>
      <c r="Z23" s="72">
        <f>IFERROR(VLOOKUP(ESQ_PROJ1[[#This Row],[CONDUTOR]],CABOS[],2,0),0)</f>
        <v>63</v>
      </c>
      <c r="AA23" s="72" t="str">
        <f>IF(AND(ESQ_PROJ1[[#This Row],[Ib]]&lt;=ESQ_PROJ1[[#This Row],[In]],ESQ_PROJ1[[#This Row],[In]]&lt;=ESQ_PROJ1[[#This Row],[Iz]]),"OK","VERIFICAR")</f>
        <v>VERIFICAR</v>
      </c>
      <c r="AB23" s="97">
        <f>IFERROR(SQRT((ESQ_PROJ1[[#This Row],[X]]-$AF$4)^2+(ESQ_PROJ1[[#This Row],[Y]]-$AF$5)^2),0)</f>
        <v>0</v>
      </c>
      <c r="AC23" s="9">
        <f>IF(ESQ_PROJ1[[#This Row],[CONDUTOR]]="","",VLOOKUP(ESQ_PROJ1[[#This Row],[CONDUTOR]],CONDUTORES,2,0))</f>
        <v>63</v>
      </c>
      <c r="AE23" t="s">
        <v>276</v>
      </c>
    </row>
  </sheetData>
  <mergeCells count="25">
    <mergeCell ref="A5:A6"/>
    <mergeCell ref="E5:E6"/>
    <mergeCell ref="AC5:AC6"/>
    <mergeCell ref="AE16:AG19"/>
    <mergeCell ref="AE2:AF3"/>
    <mergeCell ref="C2:C3"/>
    <mergeCell ref="H5:H6"/>
    <mergeCell ref="F2:F3"/>
    <mergeCell ref="N5:N6"/>
    <mergeCell ref="P5:P6"/>
    <mergeCell ref="B2:B3"/>
    <mergeCell ref="D2:D3"/>
    <mergeCell ref="G2:G3"/>
    <mergeCell ref="K5:K6"/>
    <mergeCell ref="AB5:AB6"/>
    <mergeCell ref="B5:B6"/>
    <mergeCell ref="I5:I6"/>
    <mergeCell ref="U5:U6"/>
    <mergeCell ref="C5:C6"/>
    <mergeCell ref="J5:J6"/>
    <mergeCell ref="F5:G5"/>
    <mergeCell ref="D5:D6"/>
    <mergeCell ref="O5:O6"/>
    <mergeCell ref="Q5:Q6"/>
    <mergeCell ref="S5:S6"/>
  </mergeCells>
  <conditionalFormatting sqref="S8:AA8 S9:S22 T9:AA23">
    <cfRule type="cellIs" dxfId="11" priority="2" operator="equal">
      <formula>"Condutor Suporta Amperagem"</formula>
    </cfRule>
    <cfRule type="cellIs" dxfId="10" priority="3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P8:U8 P9:U23" calculatedColumn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FA6766E-5F73-40EE-9783-67D1D4D31ED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4"/>
  <sheetViews>
    <sheetView zoomScaleNormal="100" workbookViewId="0">
      <pane ySplit="7" topLeftCell="A8" activePane="bottomLeft" state="frozen"/>
      <selection activeCell="A35" sqref="A35:Y35"/>
      <selection pane="bottomLeft" activeCell="E8" sqref="E8"/>
    </sheetView>
  </sheetViews>
  <sheetFormatPr defaultRowHeight="14.4" x14ac:dyDescent="0.3"/>
  <cols>
    <col min="2" max="2" width="11.6640625" bestFit="1" customWidth="1"/>
    <col min="3" max="3" width="12.6640625" customWidth="1"/>
    <col min="4" max="4" width="12.21875" customWidth="1"/>
    <col min="5" max="5" width="9.6640625" customWidth="1"/>
    <col min="6" max="6" width="10.44140625" bestFit="1" customWidth="1"/>
    <col min="7" max="7" width="11.5546875" bestFit="1" customWidth="1"/>
    <col min="8" max="8" width="9.21875" customWidth="1"/>
    <col min="9" max="9" width="12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7.5546875" hidden="1" customWidth="1"/>
    <col min="19" max="19" width="20.6640625" hidden="1" customWidth="1"/>
    <col min="20" max="20" width="9" hidden="1" customWidth="1"/>
    <col min="21" max="21" width="8" bestFit="1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bestFit="1" customWidth="1"/>
    <col min="30" max="30" width="4.6640625" customWidth="1"/>
    <col min="31" max="31" width="11.5546875" bestFit="1" customWidth="1"/>
    <col min="32" max="32" width="28.33203125" bestFit="1" customWidth="1"/>
  </cols>
  <sheetData>
    <row r="1" spans="1:33" x14ac:dyDescent="0.3">
      <c r="J1" s="118" t="s">
        <v>94</v>
      </c>
    </row>
    <row r="2" spans="1:33" x14ac:dyDescent="0.3">
      <c r="B2" s="259" t="s">
        <v>237</v>
      </c>
      <c r="C2" s="263" t="str">
        <f>Q23</f>
        <v/>
      </c>
      <c r="D2" s="260" t="str">
        <f>P23</f>
        <v/>
      </c>
      <c r="E2" s="170"/>
      <c r="F2" s="215"/>
      <c r="G2" s="215"/>
      <c r="H2" s="63"/>
      <c r="J2" s="118" t="s">
        <v>97</v>
      </c>
      <c r="AE2" s="204" t="s">
        <v>36</v>
      </c>
      <c r="AF2" s="205"/>
    </row>
    <row r="3" spans="1:33" x14ac:dyDescent="0.3">
      <c r="B3" s="209"/>
      <c r="C3" s="261"/>
      <c r="D3" s="261"/>
      <c r="F3" s="209"/>
      <c r="G3" s="209"/>
      <c r="H3" s="63"/>
      <c r="AE3" s="206"/>
      <c r="AF3" s="206"/>
    </row>
    <row r="4" spans="1:33" x14ac:dyDescent="0.3">
      <c r="AE4" s="11" t="s">
        <v>26</v>
      </c>
      <c r="AF4" s="13" t="str">
        <f>IFERROR(SUMPRODUCT(I8:I12,F8:F12)/SUM(I8:I12),"INSERIR DADOS")</f>
        <v>INSERIR DADOS</v>
      </c>
    </row>
    <row r="5" spans="1:33" ht="13.8" customHeight="1" x14ac:dyDescent="0.3">
      <c r="A5" s="259" t="s">
        <v>322</v>
      </c>
      <c r="B5" s="259" t="s">
        <v>13</v>
      </c>
      <c r="C5" s="220" t="s">
        <v>238</v>
      </c>
      <c r="D5" s="220" t="s">
        <v>330</v>
      </c>
      <c r="E5" s="220" t="s">
        <v>321</v>
      </c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 t="str">
        <f>IFERROR(SUMPRODUCT(I8:I12,G8:G12)/SUM(I8:I12),"INSERIR DADOS")</f>
        <v>INSERIR DADOS</v>
      </c>
    </row>
    <row r="6" spans="1:33" ht="34.200000000000003" customHeight="1" x14ac:dyDescent="0.3">
      <c r="A6" s="209"/>
      <c r="B6" s="209"/>
      <c r="C6" s="209"/>
      <c r="D6" s="209"/>
      <c r="E6" s="265"/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3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</row>
    <row r="8" spans="1:33" x14ac:dyDescent="0.3">
      <c r="A8" s="172" t="s">
        <v>311</v>
      </c>
      <c r="B8" s="54">
        <f>'GERAL PROJ'!A9</f>
        <v>0</v>
      </c>
      <c r="C8" s="54" t="str">
        <f>IFERROR(IF(Tabela71020[[#This Row],[PONTO]]="RAMAL",B7,VLOOKUP(Tabela71020[[#This Row],[PONTO]],GERAL_PROJ[],2,0)),"")</f>
        <v/>
      </c>
      <c r="D8" s="54" t="str">
        <f>IFERROR(IF(Tabela71020[[#This Row],[PONTO]]="RAMAL",15,VLOOKUP(Tabela71020[[#This Row],[PONTO]],GERAL_PROJ[],3,0)),"")</f>
        <v/>
      </c>
      <c r="E8" s="154" t="str">
        <f>IFERROR(IF(Tabela71020[[#This Row],[PONTO]]="RAMAL","",VLOOKUP(Tabela71020[[#This Row],[PONTO]],GERAL[],7,0)),"")</f>
        <v/>
      </c>
      <c r="F8" s="169" t="str">
        <f>IFERROR(IF(Tabela71020[[#This Row],[PONTO]]="RAMAL","",VLOOKUP(Tabela71020[[#This Row],[PONTO]],GERAL_PROJ[],4,0)),"")</f>
        <v/>
      </c>
      <c r="G8" s="169" t="str">
        <f>IFERROR(IF(Tabela71020[[#This Row],[PONTO]]="RAMAL","",VLOOKUP(Tabela71020[[#This Row],[PONTO]],GERAL_PROJ[],5,0)),"")</f>
        <v/>
      </c>
      <c r="H8" s="55" t="str">
        <f>IFERROR(IF(Tabela71020[[#This Row],[PONTO]]="RAMAL",DMDI,VLOOKUP(Tabela71020[[#This Row],[PONTO]],GERAL_PROJ[],8,0)),"")</f>
        <v/>
      </c>
      <c r="I8" s="55" t="str">
        <f>IFERROR(IF(Tabela71020[[#This Row],[PONTO]]="RAMAL",Tabela71020[[#This Row],[KVA PONTO]],VLOOKUP(Tabela71020[[#This Row],[PONTO]],GERAL_PROJ[],9,0)),"")</f>
        <v/>
      </c>
      <c r="J8" s="55" t="str">
        <f>IFERROR(VLOOKUP(Tabela71020[[#This Row],[PONTO]],GERAL_PROJ[],12,0),"")</f>
        <v/>
      </c>
      <c r="K8" s="61" t="str">
        <f>IFERROR(Tabela71020[[#This Row],[Ib]],"")</f>
        <v/>
      </c>
      <c r="L8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Row],[CONDUTOR]],CABOS[],9,0))+30,W8+60*(X8/Z8)),"")</f>
        <v/>
      </c>
      <c r="M8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8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8" s="116" t="str">
        <f>IF(Tabela71020[[#This Row],[PONTO]]="","",IFERROR(SUMIF(Tabela71020[PONTO],Tabela71020[[#This Row],[TRECHO]],Tabela71020[Coluna1])+Tabela71020[[#This Row],[QT-PONTO]],""))</f>
        <v/>
      </c>
      <c r="P8" s="56" t="str">
        <f>IFERROR(Tabela71020[[#This Row],[Coluna1]]/T_LINHA_MONO,"")</f>
        <v/>
      </c>
      <c r="Q8" s="55" t="str">
        <f>IFERROR(T_LINHA_MONO*(1-Tabela71020[[#This Row],[QT %]]),"")</f>
        <v/>
      </c>
      <c r="R8" s="55" t="str">
        <f>IFERROR(T_LINHA_TRF*(1-Tabela71020[[#This Row],[QT %]]),"")</f>
        <v/>
      </c>
      <c r="S8" s="67" t="str">
        <f>IF(Tabela71020[[#This Row],[PROTECAO]]="OK","Protecao OK","Ajustar Disj/Condutor")</f>
        <v>Ajustar Disj/Condutor</v>
      </c>
      <c r="T8" s="72" t="str">
        <f>IF(Tabela71020[[#This Row],[ETA]]=1,"MONO",IF(Tabela71020[[#This Row],[ETA]]=2,"BIF","TRI"))</f>
        <v>TRI</v>
      </c>
      <c r="U8" s="72">
        <v>3</v>
      </c>
      <c r="V8" s="72" t="str">
        <f t="shared" ref="V8:V23" si="0">"AEREO"</f>
        <v>AEREO</v>
      </c>
      <c r="W8" s="72">
        <f>30</f>
        <v>30</v>
      </c>
      <c r="X8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8" s="72">
        <f>IFERROR(VLOOKUP(Tabela71020[[#This Row],[Ib]],TabelaDisjuntores[],2,TRUE),0)</f>
        <v>0</v>
      </c>
      <c r="Z8" s="72">
        <f>IFERROR(VLOOKUP(Tabela71020[[#This Row],[CONDUTOR]],CABOS[],2,0),0)</f>
        <v>0</v>
      </c>
      <c r="AA8" s="72" t="str">
        <f>IF(AND(Tabela71020[[#This Row],[Ib]]&lt;=Tabela71020[[#This Row],[In]],Tabela71020[[#This Row],[In]]&lt;=Tabela71020[[#This Row],[Iz]]),"OK","VERIFICAR")</f>
        <v>VERIFICAR</v>
      </c>
      <c r="AB8" s="97">
        <f>IFERROR(SQRT((Tabela71020[[#This Row],[X]]-$AF$4)^2+(Tabela71020[[#This Row],[Y]]-$AF$5)^2),0)</f>
        <v>0</v>
      </c>
      <c r="AC8" s="9" t="str">
        <f>IFERROR(IF(Tabela71020[[#This Row],[CONDUTOR]]="","",VLOOKUP(Tabela71020[[#This Row],[CONDUTOR]],CONDUTORES,2,0)),"")</f>
        <v/>
      </c>
      <c r="AE8" t="s">
        <v>265</v>
      </c>
    </row>
    <row r="9" spans="1:33" x14ac:dyDescent="0.3">
      <c r="A9" s="54" t="s">
        <v>312</v>
      </c>
      <c r="B9" s="130"/>
      <c r="C9" s="54" t="str">
        <f>IFERROR(IF(Tabela71020[[#This Row],[PONTO]]="RAMAL",B8,VLOOKUP(Tabela71020[[#This Row],[PONTO]],GERAL_PROJ[],2,0)),"")</f>
        <v/>
      </c>
      <c r="D9" s="54" t="str">
        <f>IFERROR(IF(Tabela71020[[#This Row],[PONTO]]="RAMAL",15,VLOOKUP(Tabela71020[[#This Row],[PONTO]],GERAL_PROJ[],3,0)),"")</f>
        <v/>
      </c>
      <c r="E9" s="154" t="str">
        <f>IFERROR(IF(Tabela71020[[#This Row],[PONTO]]="RAMAL","",VLOOKUP(Tabela71020[[#This Row],[PONTO]],GERAL[],7,0)),"")</f>
        <v/>
      </c>
      <c r="F9" s="169" t="str">
        <f>IFERROR(IF(Tabela71020[[#This Row],[PONTO]]="RAMAL","",VLOOKUP(Tabela71020[[#This Row],[PONTO]],GERAL_PROJ[],4,0)),"")</f>
        <v/>
      </c>
      <c r="G9" s="169" t="str">
        <f>IFERROR(IF(Tabela71020[[#This Row],[PONTO]]="RAMAL","",VLOOKUP(Tabela71020[[#This Row],[PONTO]],GERAL_PROJ[],5,0)),"")</f>
        <v/>
      </c>
      <c r="H9" s="55" t="str">
        <f>IFERROR(IF(Tabela71020[[#This Row],[PONTO]]="RAMAL",DMDI,VLOOKUP(Tabela71020[[#This Row],[PONTO]],GERAL_PROJ[],8,0)),"")</f>
        <v/>
      </c>
      <c r="I9" s="55" t="str">
        <f>IFERROR(IF(Tabela71020[[#This Row],[PONTO]]="RAMAL",Tabela71020[[#This Row],[KVA PONTO]],VLOOKUP(Tabela71020[[#This Row],[PONTO]],GERAL_PROJ[],9,0)),"")</f>
        <v/>
      </c>
      <c r="J9" s="55" t="str">
        <f>IFERROR(VLOOKUP(Tabela71020[[#This Row],[PONTO]],GERAL_PROJ[],12,0),"")</f>
        <v/>
      </c>
      <c r="K9" s="61" t="str">
        <f>IFERROR(Tabela71020[[#This Row],[Ib]],"")</f>
        <v/>
      </c>
      <c r="L9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Row],[CONDUTOR]],CABOS[],9,0))+30,W9+60*(X9/Z9)),"")</f>
        <v/>
      </c>
      <c r="M9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9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9" s="116" t="str">
        <f>IF(Tabela71020[[#This Row],[PONTO]]="","",IFERROR(SUMIF(Tabela71020[PONTO],Tabela71020[[#This Row],[TRECHO]],Tabela71020[Coluna1])+Tabela71020[[#This Row],[QT-PONTO]],""))</f>
        <v/>
      </c>
      <c r="P9" s="57" t="str">
        <f>IFERROR(Tabela71020[[#This Row],[Coluna1]]/T_LINHA_MONO,"")</f>
        <v/>
      </c>
      <c r="Q9" s="55" t="str">
        <f>IFERROR(T_LINHA_MONO*(1-Tabela71020[[#This Row],[QT %]]),"")</f>
        <v/>
      </c>
      <c r="R9" s="55" t="str">
        <f>IFERROR(T_LINHA_TRF*(1-Tabela71020[[#This Row],[QT %]]),"")</f>
        <v/>
      </c>
      <c r="S9" s="67" t="str">
        <f>IF(Tabela71020[[#This Row],[PROTECAO]]="OK","Protecao OK","Ajustar Disj/Condutor")</f>
        <v>Ajustar Disj/Condutor</v>
      </c>
      <c r="T9" s="72" t="str">
        <f>IF(Tabela71020[[#This Row],[ETA]]=1,"MONO",IF(Tabela71020[[#This Row],[ETA]]=2,"BIF","TRI"))</f>
        <v>TRI</v>
      </c>
      <c r="U9" s="72">
        <v>3</v>
      </c>
      <c r="V9" s="72" t="str">
        <f t="shared" si="0"/>
        <v>AEREO</v>
      </c>
      <c r="W9" s="72">
        <f>30</f>
        <v>30</v>
      </c>
      <c r="X9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9" s="72">
        <f>IFERROR(VLOOKUP(Tabela71020[[#This Row],[Ib]],TabelaDisjuntores[],2,TRUE),0)</f>
        <v>0</v>
      </c>
      <c r="Z9" s="72">
        <f>IFERROR(VLOOKUP(Tabela71020[[#This Row],[CONDUTOR]],CABOS[],2,0),0)</f>
        <v>0</v>
      </c>
      <c r="AA9" s="72" t="str">
        <f>IF(AND(Tabela71020[[#This Row],[Ib]]&lt;=Tabela71020[[#This Row],[In]],Tabela71020[[#This Row],[In]]&lt;=Tabela71020[[#This Row],[Iz]]),"OK","VERIFICAR")</f>
        <v>VERIFICAR</v>
      </c>
      <c r="AB9" s="97">
        <f>IFERROR(SQRT((Tabela71020[[#This Row],[X]]-$AF$4)^2+(Tabela71020[[#This Row],[Y]]-$AF$5)^2),0)</f>
        <v>0</v>
      </c>
      <c r="AC9" s="9" t="str">
        <f>IFERROR(IF(Tabela71020[[#This Row],[CONDUTOR]]="","",VLOOKUP(Tabela71020[[#This Row],[CONDUTOR]],CONDUTORES,2,0)),"")</f>
        <v/>
      </c>
    </row>
    <row r="10" spans="1:33" x14ac:dyDescent="0.3">
      <c r="A10" s="172" t="s">
        <v>313</v>
      </c>
      <c r="B10" s="130"/>
      <c r="C10" s="54" t="str">
        <f>IFERROR(IF(Tabela71020[[#This Row],[PONTO]]="RAMAL",B9,VLOOKUP(Tabela71020[[#This Row],[PONTO]],GERAL_PROJ[],2,0)),"")</f>
        <v/>
      </c>
      <c r="D10" s="54" t="str">
        <f>IFERROR(IF(Tabela71020[[#This Row],[PONTO]]="RAMAL",15,VLOOKUP(Tabela71020[[#This Row],[PONTO]],GERAL_PROJ[],3,0)),"")</f>
        <v/>
      </c>
      <c r="E10" s="154" t="str">
        <f>IFERROR(IF(Tabela71020[[#This Row],[PONTO]]="RAMAL","",VLOOKUP(Tabela71020[[#This Row],[PONTO]],GERAL[],7,0)),"")</f>
        <v/>
      </c>
      <c r="F10" s="169" t="str">
        <f>IFERROR(IF(Tabela71020[[#This Row],[PONTO]]="RAMAL","",VLOOKUP(Tabela71020[[#This Row],[PONTO]],GERAL_PROJ[],4,0)),"")</f>
        <v/>
      </c>
      <c r="G10" s="169" t="str">
        <f>IFERROR(IF(Tabela71020[[#This Row],[PONTO]]="RAMAL","",VLOOKUP(Tabela71020[[#This Row],[PONTO]],GERAL_PROJ[],5,0)),"")</f>
        <v/>
      </c>
      <c r="H10" s="55" t="str">
        <f>IFERROR(IF(Tabela71020[[#This Row],[PONTO]]="RAMAL",DMDI,VLOOKUP(Tabela71020[[#This Row],[PONTO]],GERAL_PROJ[],8,0)),"")</f>
        <v/>
      </c>
      <c r="I10" s="55" t="str">
        <f>IFERROR(IF(Tabela71020[[#This Row],[PONTO]]="RAMAL",Tabela71020[[#This Row],[KVA PONTO]],VLOOKUP(Tabela71020[[#This Row],[PONTO]],GERAL_PROJ[],9,0)),"")</f>
        <v/>
      </c>
      <c r="J10" s="55" t="str">
        <f>IFERROR(VLOOKUP(Tabela71020[[#This Row],[PONTO]],GERAL_PROJ[],12,0),"")</f>
        <v/>
      </c>
      <c r="K10" s="61" t="str">
        <f>IFERROR(Tabela71020[[#This Row],[Ib]],"")</f>
        <v/>
      </c>
      <c r="L10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Row],[CONDUTOR]],CABOS[],9,0))+30,W10+60*(X10/Z10)),"")</f>
        <v/>
      </c>
      <c r="M10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0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0" s="116" t="str">
        <f>IF(Tabela71020[[#This Row],[PONTO]]="","",IFERROR(SUMIF(Tabela71020[PONTO],Tabela71020[[#This Row],[TRECHO]],Tabela71020[Coluna1])+Tabela71020[[#This Row],[QT-PONTO]],""))</f>
        <v/>
      </c>
      <c r="P10" s="57" t="str">
        <f>IFERROR(Tabela71020[[#This Row],[Coluna1]]/T_LINHA_MONO,"")</f>
        <v/>
      </c>
      <c r="Q10" s="55" t="str">
        <f>IFERROR(T_LINHA_MONO*(1-Tabela71020[[#This Row],[QT %]]),"")</f>
        <v/>
      </c>
      <c r="R10" s="55" t="str">
        <f>IFERROR(T_LINHA_TRF*(1-Tabela71020[[#This Row],[QT %]]),"")</f>
        <v/>
      </c>
      <c r="S10" s="67" t="str">
        <f>IF(Tabela71020[[#This Row],[PROTECAO]]="OK","Protecao OK","Ajustar Disj/Condutor")</f>
        <v>Ajustar Disj/Condutor</v>
      </c>
      <c r="T10" s="72" t="str">
        <f>IF(Tabela71020[[#This Row],[ETA]]=1,"MONO",IF(Tabela71020[[#This Row],[ETA]]=2,"BIF","TRI"))</f>
        <v>TRI</v>
      </c>
      <c r="U10" s="72">
        <v>3</v>
      </c>
      <c r="V10" s="72" t="str">
        <f t="shared" si="0"/>
        <v>AEREO</v>
      </c>
      <c r="W10" s="72">
        <f>30</f>
        <v>30</v>
      </c>
      <c r="X10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0" s="72">
        <f>IFERROR(VLOOKUP(Tabela71020[[#This Row],[Ib]],TabelaDisjuntores[],2,TRUE),0)</f>
        <v>0</v>
      </c>
      <c r="Z10" s="72">
        <f>IFERROR(VLOOKUP(Tabela71020[[#This Row],[CONDUTOR]],CABOS[],2,0),0)</f>
        <v>0</v>
      </c>
      <c r="AA10" s="72" t="str">
        <f>IF(AND(Tabela71020[[#This Row],[Ib]]&lt;=Tabela71020[[#This Row],[In]],Tabela71020[[#This Row],[In]]&lt;=Tabela71020[[#This Row],[Iz]]),"OK","VERIFICAR")</f>
        <v>VERIFICAR</v>
      </c>
      <c r="AB10" s="97">
        <f>IFERROR(SQRT((Tabela71020[[#This Row],[X]]-$AF$4)^2+(Tabela71020[[#This Row],[Y]]-$AF$5)^2),0)</f>
        <v>0</v>
      </c>
      <c r="AC10" s="9" t="str">
        <f>IFERROR(IF(Tabela71020[[#This Row],[CONDUTOR]]="","",VLOOKUP(Tabela71020[[#This Row],[CONDUTOR]],CONDUTORES,2,0)),"")</f>
        <v/>
      </c>
      <c r="AE10" t="s">
        <v>15</v>
      </c>
      <c r="AF10" t="s">
        <v>266</v>
      </c>
    </row>
    <row r="11" spans="1:33" x14ac:dyDescent="0.3">
      <c r="A11" s="54" t="s">
        <v>314</v>
      </c>
      <c r="B11" s="130"/>
      <c r="C11" s="54" t="str">
        <f>IFERROR(IF(Tabela71020[[#This Row],[PONTO]]="RAMAL",B10,VLOOKUP(Tabela71020[[#This Row],[PONTO]],GERAL_PROJ[],2,0)),"")</f>
        <v/>
      </c>
      <c r="D11" s="54" t="str">
        <f>IFERROR(IF(Tabela71020[[#This Row],[PONTO]]="RAMAL",15,VLOOKUP(Tabela71020[[#This Row],[PONTO]],GERAL_PROJ[],3,0)),"")</f>
        <v/>
      </c>
      <c r="E11" s="154" t="str">
        <f>IFERROR(IF(Tabela71020[[#This Row],[PONTO]]="RAMAL","",VLOOKUP(Tabela71020[[#This Row],[PONTO]],GERAL[],7,0)),"")</f>
        <v/>
      </c>
      <c r="F11" s="169" t="str">
        <f>IFERROR(IF(Tabela71020[[#This Row],[PONTO]]="RAMAL","",VLOOKUP(Tabela71020[[#This Row],[PONTO]],GERAL_PROJ[],4,0)),"")</f>
        <v/>
      </c>
      <c r="G11" s="169" t="str">
        <f>IFERROR(IF(Tabela71020[[#This Row],[PONTO]]="RAMAL","",VLOOKUP(Tabela71020[[#This Row],[PONTO]],GERAL_PROJ[],5,0)),"")</f>
        <v/>
      </c>
      <c r="H11" s="55" t="str">
        <f>IFERROR(IF(Tabela71020[[#This Row],[PONTO]]="RAMAL",DMDI,VLOOKUP(Tabela71020[[#This Row],[PONTO]],GERAL_PROJ[],8,0)),"")</f>
        <v/>
      </c>
      <c r="I11" s="55" t="str">
        <f>IFERROR(IF(Tabela71020[[#This Row],[PONTO]]="RAMAL",Tabela71020[[#This Row],[KVA PONTO]],VLOOKUP(Tabela71020[[#This Row],[PONTO]],GERAL_PROJ[],9,0)),"")</f>
        <v/>
      </c>
      <c r="J11" s="55" t="str">
        <f>IFERROR(VLOOKUP(Tabela71020[[#This Row],[PONTO]],GERAL_PROJ[],12,0),"")</f>
        <v/>
      </c>
      <c r="K11" s="61" t="str">
        <f>IFERROR(Tabela71020[[#This Row],[Ib]],"")</f>
        <v/>
      </c>
      <c r="L11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Row],[CONDUTOR]],CABOS[],9,0))+30,W11+60*(X11/Z11)),"")</f>
        <v/>
      </c>
      <c r="M11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1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1" s="116" t="str">
        <f>IF(Tabela71020[[#This Row],[PONTO]]="","",IFERROR(SUMIF(Tabela71020[PONTO],Tabela71020[[#This Row],[TRECHO]],Tabela71020[Coluna1])+Tabela71020[[#This Row],[QT-PONTO]],""))</f>
        <v/>
      </c>
      <c r="P11" s="57" t="str">
        <f>IFERROR(Tabela71020[[#This Row],[Coluna1]]/T_LINHA_MONO,"")</f>
        <v/>
      </c>
      <c r="Q11" s="55" t="str">
        <f>IFERROR(T_LINHA_MONO*(1-Tabela71020[[#This Row],[QT %]]),"")</f>
        <v/>
      </c>
      <c r="R11" s="55" t="str">
        <f>IFERROR(T_LINHA_TRF*(1-Tabela71020[[#This Row],[QT %]]),"")</f>
        <v/>
      </c>
      <c r="S11" s="67" t="str">
        <f>IF(Tabela71020[[#This Row],[PROTECAO]]="OK","Protecao OK","Ajustar Disj/Condutor")</f>
        <v>Ajustar Disj/Condutor</v>
      </c>
      <c r="T11" s="72" t="str">
        <f>IF(Tabela71020[[#This Row],[ETA]]=1,"MONO",IF(Tabela71020[[#This Row],[ETA]]=2,"BIF","TRI"))</f>
        <v>TRI</v>
      </c>
      <c r="U11" s="72">
        <v>3</v>
      </c>
      <c r="V11" s="72" t="str">
        <f t="shared" si="0"/>
        <v>AEREO</v>
      </c>
      <c r="W11" s="72">
        <f>30</f>
        <v>30</v>
      </c>
      <c r="X11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1" s="72">
        <f>IFERROR(VLOOKUP(Tabela71020[[#This Row],[Ib]],TabelaDisjuntores[],2,TRUE),0)</f>
        <v>0</v>
      </c>
      <c r="Z11" s="72">
        <f>IFERROR(VLOOKUP(Tabela71020[[#This Row],[CONDUTOR]],CABOS[],2,0),0)</f>
        <v>0</v>
      </c>
      <c r="AA11" s="72" t="str">
        <f>IF(AND(Tabela71020[[#This Row],[Ib]]&lt;=Tabela71020[[#This Row],[In]],Tabela71020[[#This Row],[In]]&lt;=Tabela71020[[#This Row],[Iz]]),"OK","VERIFICAR")</f>
        <v>VERIFICAR</v>
      </c>
      <c r="AB11" s="97">
        <f>IFERROR(SQRT((Tabela71020[[#This Row],[X]]-$AF$4)^2+(Tabela71020[[#This Row],[Y]]-$AF$5)^2),0)</f>
        <v>0</v>
      </c>
      <c r="AC11" s="9" t="str">
        <f>IFERROR(IF(Tabela71020[[#This Row],[CONDUTOR]]="","",VLOOKUP(Tabela71020[[#This Row],[CONDUTOR]],CONDUTORES,2,0)),"")</f>
        <v/>
      </c>
      <c r="AE11" t="s">
        <v>267</v>
      </c>
      <c r="AF11" t="s">
        <v>268</v>
      </c>
    </row>
    <row r="12" spans="1:33" x14ac:dyDescent="0.3">
      <c r="A12" s="172" t="s">
        <v>319</v>
      </c>
      <c r="B12" s="130"/>
      <c r="C12" s="54" t="str">
        <f>IFERROR(IF(Tabela71020[[#This Row],[PONTO]]="RAMAL",B11,VLOOKUP(Tabela71020[[#This Row],[PONTO]],GERAL_PROJ[],2,0)),"")</f>
        <v/>
      </c>
      <c r="D12" s="54" t="str">
        <f>IFERROR(IF(Tabela71020[[#This Row],[PONTO]]="RAMAL",15,VLOOKUP(Tabela71020[[#This Row],[PONTO]],GERAL_PROJ[],3,0)),"")</f>
        <v/>
      </c>
      <c r="E12" s="154" t="str">
        <f>IFERROR(IF(Tabela71020[[#This Row],[PONTO]]="RAMAL","",VLOOKUP(Tabela71020[[#This Row],[PONTO]],GERAL[],7,0)),"")</f>
        <v/>
      </c>
      <c r="F12" s="169" t="str">
        <f>IFERROR(IF(Tabela71020[[#This Row],[PONTO]]="RAMAL","",VLOOKUP(Tabela71020[[#This Row],[PONTO]],GERAL_PROJ[],4,0)),"")</f>
        <v/>
      </c>
      <c r="G12" s="169" t="str">
        <f>IFERROR(IF(Tabela71020[[#This Row],[PONTO]]="RAMAL","",VLOOKUP(Tabela71020[[#This Row],[PONTO]],GERAL_PROJ[],5,0)),"")</f>
        <v/>
      </c>
      <c r="H12" s="55" t="str">
        <f>IFERROR(IF(Tabela71020[[#This Row],[PONTO]]="RAMAL",DMDI,VLOOKUP(Tabela71020[[#This Row],[PONTO]],GERAL_PROJ[],8,0)),"")</f>
        <v/>
      </c>
      <c r="I12" s="55" t="str">
        <f>IFERROR(IF(Tabela71020[[#This Row],[PONTO]]="RAMAL",Tabela71020[[#This Row],[KVA PONTO]],VLOOKUP(Tabela71020[[#This Row],[PONTO]],GERAL_PROJ[],9,0)),"")</f>
        <v/>
      </c>
      <c r="J12" s="55" t="str">
        <f>IFERROR(VLOOKUP(Tabela71020[[#This Row],[PONTO]],GERAL_PROJ[],12,0),"")</f>
        <v/>
      </c>
      <c r="K12" s="61" t="str">
        <f>IFERROR(Tabela71020[[#This Row],[Ib]],"")</f>
        <v/>
      </c>
      <c r="L12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Row],[CONDUTOR]],CABOS[],9,0))+30,W12+60*(X12/Z12)),"")</f>
        <v/>
      </c>
      <c r="M12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2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2" s="116" t="str">
        <f>IF(Tabela71020[[#This Row],[PONTO]]="","",IFERROR(SUMIF(Tabela71020[PONTO],Tabela71020[[#This Row],[TRECHO]],Tabela71020[Coluna1])+Tabela71020[[#This Row],[QT-PONTO]],""))</f>
        <v/>
      </c>
      <c r="P12" s="57" t="str">
        <f>IFERROR(Tabela71020[[#This Row],[Coluna1]]/T_LINHA_MONO,"")</f>
        <v/>
      </c>
      <c r="Q12" s="55" t="str">
        <f>IFERROR(T_LINHA_MONO*(1-Tabela71020[[#This Row],[QT %]]),"")</f>
        <v/>
      </c>
      <c r="R12" s="55" t="str">
        <f>IFERROR(T_LINHA_TRF*(1-Tabela71020[[#This Row],[QT %]]),"")</f>
        <v/>
      </c>
      <c r="S12" s="67" t="str">
        <f>IF(Tabela71020[[#This Row],[PROTECAO]]="OK","Protecao OK","Ajustar Disj/Condutor")</f>
        <v>Ajustar Disj/Condutor</v>
      </c>
      <c r="T12" s="72" t="str">
        <f>IF(Tabela71020[[#This Row],[ETA]]=1,"MONO",IF(Tabela71020[[#This Row],[ETA]]=2,"BIF","TRI"))</f>
        <v>TRI</v>
      </c>
      <c r="U12" s="72">
        <v>3</v>
      </c>
      <c r="V12" s="72" t="str">
        <f t="shared" si="0"/>
        <v>AEREO</v>
      </c>
      <c r="W12" s="72">
        <f>30</f>
        <v>30</v>
      </c>
      <c r="X12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2" s="72">
        <f>IFERROR(VLOOKUP(Tabela71020[[#This Row],[Ib]],TabelaDisjuntores[],2,TRUE),0)</f>
        <v>0</v>
      </c>
      <c r="Z12" s="72">
        <f>IFERROR(VLOOKUP(Tabela71020[[#This Row],[CONDUTOR]],CABOS[],2,0),0)</f>
        <v>0</v>
      </c>
      <c r="AA12" s="72" t="str">
        <f>IF(AND(Tabela71020[[#This Row],[Ib]]&lt;=Tabela71020[[#This Row],[In]],Tabela71020[[#This Row],[In]]&lt;=Tabela71020[[#This Row],[Iz]]),"OK","VERIFICAR")</f>
        <v>VERIFICAR</v>
      </c>
      <c r="AB12" s="97">
        <f>IFERROR(SQRT((Tabela71020[[#This Row],[X]]-$AF$4)^2+(Tabela71020[[#This Row],[Y]]-$AF$5)^2),0)</f>
        <v>0</v>
      </c>
      <c r="AC12" s="9" t="str">
        <f>IFERROR(IF(Tabela71020[[#This Row],[CONDUTOR]]="","",VLOOKUP(Tabela71020[[#This Row],[CONDUTOR]],CONDUTORES,2,0)),"")</f>
        <v/>
      </c>
      <c r="AE12" t="s">
        <v>33</v>
      </c>
      <c r="AF12" t="s">
        <v>269</v>
      </c>
    </row>
    <row r="13" spans="1:33" x14ac:dyDescent="0.3">
      <c r="A13" s="54" t="s">
        <v>315</v>
      </c>
      <c r="B13" s="130"/>
      <c r="C13" s="54" t="str">
        <f>IFERROR(IF(Tabela71020[[#This Row],[PONTO]]="RAMAL",B12,VLOOKUP(Tabela71020[[#This Row],[PONTO]],GERAL_PROJ[],2,0)),"")</f>
        <v/>
      </c>
      <c r="D13" s="54" t="str">
        <f>IFERROR(IF(Tabela71020[[#This Row],[PONTO]]="RAMAL",15,VLOOKUP(Tabela71020[[#This Row],[PONTO]],GERAL_PROJ[],3,0)),"")</f>
        <v/>
      </c>
      <c r="E13" s="154" t="str">
        <f>IFERROR(IF(Tabela71020[[#This Row],[PONTO]]="RAMAL","",VLOOKUP(Tabela71020[[#This Row],[PONTO]],GERAL[],7,0)),"")</f>
        <v/>
      </c>
      <c r="F13" s="169" t="str">
        <f>IFERROR(IF(Tabela71020[[#This Row],[PONTO]]="RAMAL","",VLOOKUP(Tabela71020[[#This Row],[PONTO]],GERAL_PROJ[],4,0)),"")</f>
        <v/>
      </c>
      <c r="G13" s="169" t="str">
        <f>IFERROR(IF(Tabela71020[[#This Row],[PONTO]]="RAMAL","",VLOOKUP(Tabela71020[[#This Row],[PONTO]],GERAL_PROJ[],5,0)),"")</f>
        <v/>
      </c>
      <c r="H13" s="55" t="str">
        <f>IFERROR(IF(Tabela71020[[#This Row],[PONTO]]="RAMAL",DMDI,VLOOKUP(Tabela71020[[#This Row],[PONTO]],GERAL_PROJ[],8,0)),"")</f>
        <v/>
      </c>
      <c r="I13" s="55" t="str">
        <f>IFERROR(IF(Tabela71020[[#This Row],[PONTO]]="RAMAL",Tabela71020[[#This Row],[KVA PONTO]],VLOOKUP(Tabela71020[[#This Row],[PONTO]],GERAL_PROJ[],9,0)),"")</f>
        <v/>
      </c>
      <c r="J13" s="55" t="str">
        <f>IFERROR(VLOOKUP(Tabela71020[[#This Row],[PONTO]],GERAL_PROJ[],12,0),"")</f>
        <v/>
      </c>
      <c r="K13" s="61" t="str">
        <f>IFERROR(Tabela71020[[#This Row],[Ib]],"")</f>
        <v/>
      </c>
      <c r="L13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Row],[CONDUTOR]],CABOS[],9,0))+30,W13+60*(X13/Z13)),"")</f>
        <v/>
      </c>
      <c r="M13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3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3" s="116" t="str">
        <f>IF(Tabela71020[[#This Row],[PONTO]]="","",IFERROR(SUMIF(Tabela71020[PONTO],Tabela71020[[#This Row],[TRECHO]],Tabela71020[Coluna1])+Tabela71020[[#This Row],[QT-PONTO]],""))</f>
        <v/>
      </c>
      <c r="P13" s="57" t="str">
        <f>IFERROR(Tabela71020[[#This Row],[Coluna1]]/T_LINHA_MONO,"")</f>
        <v/>
      </c>
      <c r="Q13" s="55" t="str">
        <f>IFERROR(T_LINHA_MONO*(1-Tabela71020[[#This Row],[QT %]]),"")</f>
        <v/>
      </c>
      <c r="R13" s="55" t="str">
        <f>IFERROR(T_LINHA_TRF*(1-Tabela71020[[#This Row],[QT %]]),"")</f>
        <v/>
      </c>
      <c r="S13" s="67" t="str">
        <f>IF(Tabela71020[[#This Row],[PROTECAO]]="OK","Protecao OK","Ajustar Disj/Condutor")</f>
        <v>Ajustar Disj/Condutor</v>
      </c>
      <c r="T13" s="72" t="str">
        <f>IF(Tabela71020[[#This Row],[ETA]]=1,"MONO",IF(Tabela71020[[#This Row],[ETA]]=2,"BIF","TRI"))</f>
        <v>TRI</v>
      </c>
      <c r="U13" s="72">
        <v>3</v>
      </c>
      <c r="V13" s="72" t="str">
        <f t="shared" si="0"/>
        <v>AEREO</v>
      </c>
      <c r="W13" s="72">
        <f>30</f>
        <v>30</v>
      </c>
      <c r="X13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3" s="72">
        <f>IFERROR(VLOOKUP(Tabela71020[[#This Row],[Ib]],TabelaDisjuntores[],2,TRUE),0)</f>
        <v>0</v>
      </c>
      <c r="Z13" s="72">
        <f>IFERROR(VLOOKUP(Tabela71020[[#This Row],[CONDUTOR]],CABOS[],2,0),0)</f>
        <v>0</v>
      </c>
      <c r="AA13" s="72" t="str">
        <f>IF(AND(Tabela71020[[#This Row],[Ib]]&lt;=Tabela71020[[#This Row],[In]],Tabela71020[[#This Row],[In]]&lt;=Tabela71020[[#This Row],[Iz]]),"OK","VERIFICAR")</f>
        <v>VERIFICAR</v>
      </c>
      <c r="AB13" s="97">
        <f>IFERROR(SQRT((Tabela71020[[#This Row],[X]]-$AF$4)^2+(Tabela71020[[#This Row],[Y]]-$AF$5)^2),0)</f>
        <v>0</v>
      </c>
      <c r="AC13" s="9" t="str">
        <f>IFERROR(IF(Tabela71020[[#This Row],[CONDUTOR]]="","",VLOOKUP(Tabela71020[[#This Row],[CONDUTOR]],CONDUTORES,2,0)),"")</f>
        <v/>
      </c>
      <c r="AE13" t="s">
        <v>270</v>
      </c>
      <c r="AF13" t="s">
        <v>271</v>
      </c>
    </row>
    <row r="14" spans="1:33" x14ac:dyDescent="0.3">
      <c r="A14" s="172" t="s">
        <v>316</v>
      </c>
      <c r="B14" s="130"/>
      <c r="C14" s="54" t="str">
        <f>IFERROR(IF(Tabela71020[[#This Row],[PONTO]]="RAMAL",B13,VLOOKUP(Tabela71020[[#This Row],[PONTO]],GERAL_PROJ[],2,0)),"")</f>
        <v/>
      </c>
      <c r="D14" s="54" t="str">
        <f>IFERROR(IF(Tabela71020[[#This Row],[PONTO]]="RAMAL",15,VLOOKUP(Tabela71020[[#This Row],[PONTO]],GERAL_PROJ[],3,0)),"")</f>
        <v/>
      </c>
      <c r="E14" s="154" t="str">
        <f>IFERROR(IF(Tabela71020[[#This Row],[PONTO]]="RAMAL","",VLOOKUP(Tabela71020[[#This Row],[PONTO]],GERAL[],7,0)),"")</f>
        <v/>
      </c>
      <c r="F14" s="169" t="str">
        <f>IFERROR(IF(Tabela71020[[#This Row],[PONTO]]="RAMAL","",VLOOKUP(Tabela71020[[#This Row],[PONTO]],GERAL_PROJ[],4,0)),"")</f>
        <v/>
      </c>
      <c r="G14" s="169" t="str">
        <f>IFERROR(IF(Tabela71020[[#This Row],[PONTO]]="RAMAL","",VLOOKUP(Tabela71020[[#This Row],[PONTO]],GERAL_PROJ[],5,0)),"")</f>
        <v/>
      </c>
      <c r="H14" s="55" t="str">
        <f>IFERROR(IF(Tabela71020[[#This Row],[PONTO]]="RAMAL",DMDI,VLOOKUP(Tabela71020[[#This Row],[PONTO]],GERAL_PROJ[],8,0)),"")</f>
        <v/>
      </c>
      <c r="I14" s="55" t="str">
        <f>IFERROR(IF(Tabela71020[[#This Row],[PONTO]]="RAMAL",Tabela71020[[#This Row],[KVA PONTO]],VLOOKUP(Tabela71020[[#This Row],[PONTO]],GERAL_PROJ[],9,0)),"")</f>
        <v/>
      </c>
      <c r="J14" s="55" t="str">
        <f>IFERROR(VLOOKUP(Tabela71020[[#This Row],[PONTO]],GERAL_PROJ[],12,0),"")</f>
        <v/>
      </c>
      <c r="K14" s="61" t="str">
        <f>IFERROR(Tabela71020[[#This Row],[Ib]],"")</f>
        <v/>
      </c>
      <c r="L14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Row],[CONDUTOR]],CABOS[],9,0))+30,W14+60*(X14/Z14)),"")</f>
        <v/>
      </c>
      <c r="M14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4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4" s="116" t="str">
        <f>IF(Tabela71020[[#This Row],[PONTO]]="","",IFERROR(SUMIF(Tabela71020[PONTO],Tabela71020[[#This Row],[TRECHO]],Tabela71020[Coluna1])+Tabela71020[[#This Row],[QT-PONTO]],""))</f>
        <v/>
      </c>
      <c r="P14" s="57" t="str">
        <f>IFERROR(Tabela71020[[#This Row],[Coluna1]]/T_LINHA_MONO,"")</f>
        <v/>
      </c>
      <c r="Q14" s="55" t="str">
        <f>IFERROR(T_LINHA_MONO*(1-Tabela71020[[#This Row],[QT %]]),"")</f>
        <v/>
      </c>
      <c r="R14" s="55" t="str">
        <f>IFERROR(T_LINHA_TRF*(1-Tabela71020[[#This Row],[QT %]]),"")</f>
        <v/>
      </c>
      <c r="S14" s="67" t="str">
        <f>IF(Tabela71020[[#This Row],[PROTECAO]]="OK","Protecao OK","Ajustar Disj/Condutor")</f>
        <v>Ajustar Disj/Condutor</v>
      </c>
      <c r="T14" s="72" t="str">
        <f>IF(Tabela71020[[#This Row],[ETA]]=1,"MONO",IF(Tabela71020[[#This Row],[ETA]]=2,"BIF","TRI"))</f>
        <v>TRI</v>
      </c>
      <c r="U14" s="72">
        <v>3</v>
      </c>
      <c r="V14" s="72" t="str">
        <f t="shared" si="0"/>
        <v>AEREO</v>
      </c>
      <c r="W14" s="72">
        <f>30</f>
        <v>30</v>
      </c>
      <c r="X14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4" s="72">
        <f>IFERROR(VLOOKUP(Tabela71020[[#This Row],[Ib]],TabelaDisjuntores[],2,TRUE),0)</f>
        <v>0</v>
      </c>
      <c r="Z14" s="72">
        <f>IFERROR(VLOOKUP(Tabela71020[[#This Row],[CONDUTOR]],CABOS[],2,0),0)</f>
        <v>0</v>
      </c>
      <c r="AA14" s="72" t="str">
        <f>IF(AND(Tabela71020[[#This Row],[Ib]]&lt;=Tabela71020[[#This Row],[In]],Tabela71020[[#This Row],[In]]&lt;=Tabela71020[[#This Row],[Iz]]),"OK","VERIFICAR")</f>
        <v>VERIFICAR</v>
      </c>
      <c r="AB14" s="97">
        <f>IFERROR(SQRT((Tabela71020[[#This Row],[X]]-$AF$4)^2+(Tabela71020[[#This Row],[Y]]-$AF$5)^2),0)</f>
        <v>0</v>
      </c>
      <c r="AC14" s="9" t="str">
        <f>IFERROR(IF(Tabela71020[[#This Row],[CONDUTOR]]="","",VLOOKUP(Tabela71020[[#This Row],[CONDUTOR]],CONDUTORES,2,0)),"")</f>
        <v/>
      </c>
    </row>
    <row r="15" spans="1:33" x14ac:dyDescent="0.3">
      <c r="A15" s="54" t="s">
        <v>317</v>
      </c>
      <c r="B15" s="130"/>
      <c r="C15" s="54" t="str">
        <f>IFERROR(IF(Tabela71020[[#This Row],[PONTO]]="RAMAL",B14,VLOOKUP(Tabela71020[[#This Row],[PONTO]],GERAL_PROJ[],2,0)),"")</f>
        <v/>
      </c>
      <c r="D15" s="54" t="str">
        <f>IFERROR(IF(Tabela71020[[#This Row],[PONTO]]="RAMAL",15,VLOOKUP(Tabela71020[[#This Row],[PONTO]],GERAL_PROJ[],3,0)),"")</f>
        <v/>
      </c>
      <c r="E15" s="154" t="str">
        <f>IFERROR(IF(Tabela71020[[#This Row],[PONTO]]="RAMAL","",VLOOKUP(Tabela71020[[#This Row],[PONTO]],GERAL[],7,0)),"")</f>
        <v/>
      </c>
      <c r="F15" s="169" t="str">
        <f>IFERROR(IF(Tabela71020[[#This Row],[PONTO]]="RAMAL","",VLOOKUP(Tabela71020[[#This Row],[PONTO]],GERAL_PROJ[],4,0)),"")</f>
        <v/>
      </c>
      <c r="G15" s="169" t="str">
        <f>IFERROR(IF(Tabela71020[[#This Row],[PONTO]]="RAMAL","",VLOOKUP(Tabela71020[[#This Row],[PONTO]],GERAL_PROJ[],5,0)),"")</f>
        <v/>
      </c>
      <c r="H15" s="55" t="str">
        <f>IFERROR(IF(Tabela71020[[#This Row],[PONTO]]="RAMAL",DMDI,VLOOKUP(Tabela71020[[#This Row],[PONTO]],GERAL_PROJ[],8,0)),"")</f>
        <v/>
      </c>
      <c r="I15" s="55" t="str">
        <f>IFERROR(IF(Tabela71020[[#This Row],[PONTO]]="RAMAL",Tabela71020[[#This Row],[KVA PONTO]],VLOOKUP(Tabela71020[[#This Row],[PONTO]],GERAL_PROJ[],9,0)),"")</f>
        <v/>
      </c>
      <c r="J15" s="55" t="str">
        <f>IFERROR(VLOOKUP(Tabela71020[[#This Row],[PONTO]],GERAL_PROJ[],12,0),"")</f>
        <v/>
      </c>
      <c r="K15" s="61" t="str">
        <f>IFERROR(Tabela71020[[#This Row],[Ib]],"")</f>
        <v/>
      </c>
      <c r="L15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Row],[CONDUTOR]],CABOS[],9,0))+30,W15+60*(X15/Z15)),"")</f>
        <v/>
      </c>
      <c r="M15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5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5" s="116" t="str">
        <f>IF(Tabela71020[[#This Row],[PONTO]]="","",IFERROR(SUMIF(Tabela71020[PONTO],Tabela71020[[#This Row],[TRECHO]],Tabela71020[Coluna1])+Tabela71020[[#This Row],[QT-PONTO]],""))</f>
        <v/>
      </c>
      <c r="P15" s="57" t="str">
        <f>IFERROR(Tabela71020[[#This Row],[Coluna1]]/T_LINHA_MONO,"")</f>
        <v/>
      </c>
      <c r="Q15" s="55" t="str">
        <f>IFERROR(T_LINHA_MONO*(1-Tabela71020[[#This Row],[QT %]]),"")</f>
        <v/>
      </c>
      <c r="R15" s="55" t="str">
        <f>IFERROR(T_LINHA_TRF*(1-Tabela71020[[#This Row],[QT %]]),"")</f>
        <v/>
      </c>
      <c r="S15" s="67" t="str">
        <f>IF(Tabela71020[[#This Row],[PROTECAO]]="OK","Protecao OK","Ajustar Disj/Condutor")</f>
        <v>Ajustar Disj/Condutor</v>
      </c>
      <c r="T15" s="72" t="str">
        <f>IF(Tabela71020[[#This Row],[ETA]]=1,"MONO",IF(Tabela71020[[#This Row],[ETA]]=2,"BIF","TRI"))</f>
        <v>TRI</v>
      </c>
      <c r="U15" s="72">
        <v>3</v>
      </c>
      <c r="V15" s="72" t="str">
        <f t="shared" si="0"/>
        <v>AEREO</v>
      </c>
      <c r="W15" s="72">
        <f>30</f>
        <v>30</v>
      </c>
      <c r="X15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5" s="72">
        <f>IFERROR(VLOOKUP(Tabela71020[[#This Row],[Ib]],TabelaDisjuntores[],2,TRUE),0)</f>
        <v>0</v>
      </c>
      <c r="Z15" s="72">
        <f>IFERROR(VLOOKUP(Tabela71020[[#This Row],[CONDUTOR]],CABOS[],2,0),0)</f>
        <v>0</v>
      </c>
      <c r="AA15" s="72" t="str">
        <f>IF(AND(Tabela71020[[#This Row],[Ib]]&lt;=Tabela71020[[#This Row],[In]],Tabela71020[[#This Row],[In]]&lt;=Tabela71020[[#This Row],[Iz]]),"OK","VERIFICAR")</f>
        <v>VERIFICAR</v>
      </c>
      <c r="AB15" s="97">
        <f>IFERROR(SQRT((Tabela71020[[#This Row],[X]]-$AF$4)^2+(Tabela71020[[#This Row],[Y]]-$AF$5)^2),0)</f>
        <v>0</v>
      </c>
      <c r="AC15" s="9" t="str">
        <f>IFERROR(IF(Tabela71020[[#This Row],[CONDUTOR]]="","",VLOOKUP(Tabela71020[[#This Row],[CONDUTOR]],CONDUTORES,2,0)),"")</f>
        <v/>
      </c>
      <c r="AE15" t="s">
        <v>272</v>
      </c>
    </row>
    <row r="16" spans="1:33" ht="14.4" customHeight="1" x14ac:dyDescent="0.3">
      <c r="A16" s="172" t="s">
        <v>325</v>
      </c>
      <c r="B16" s="130"/>
      <c r="C16" s="54" t="str">
        <f>IFERROR(IF(Tabela71020[[#This Row],[PONTO]]="RAMAL",B15,VLOOKUP(Tabela71020[[#This Row],[PONTO]],GERAL_PROJ[],2,0)),"")</f>
        <v/>
      </c>
      <c r="D16" s="54" t="str">
        <f>IFERROR(IF(Tabela71020[[#This Row],[PONTO]]="RAMAL",15,VLOOKUP(Tabela71020[[#This Row],[PONTO]],GERAL_PROJ[],3,0)),"")</f>
        <v/>
      </c>
      <c r="E16" s="154" t="str">
        <f>IFERROR(IF(Tabela71020[[#This Row],[PONTO]]="RAMAL","",VLOOKUP(Tabela71020[[#This Row],[PONTO]],GERAL[],7,0)),"")</f>
        <v/>
      </c>
      <c r="F16" s="156" t="str">
        <f>IFERROR(IF(Tabela71020[[#This Row],[PONTO]]="RAMAL","",VLOOKUP(Tabela71020[[#This Row],[PONTO]],GERAL_PROJ[],4,0)),"")</f>
        <v/>
      </c>
      <c r="G16" s="156" t="str">
        <f>IFERROR(IF(Tabela71020[[#This Row],[PONTO]]="RAMAL","",VLOOKUP(Tabela71020[[#This Row],[PONTO]],GERAL_PROJ[],5,0)),"")</f>
        <v/>
      </c>
      <c r="H16" s="55" t="str">
        <f>IFERROR(IF(Tabela71020[[#This Row],[PONTO]]="RAMAL",DMDI,VLOOKUP(Tabela71020[[#This Row],[PONTO]],GERAL_PROJ[],8,0)),"")</f>
        <v/>
      </c>
      <c r="I16" s="55" t="str">
        <f>IFERROR(IF(Tabela71020[[#This Row],[PONTO]]="RAMAL",Tabela71020[[#This Row],[KVA PONTO]],VLOOKUP(Tabela71020[[#This Row],[PONTO]],GERAL_PROJ[],9,0)),"")</f>
        <v/>
      </c>
      <c r="J16" s="55" t="str">
        <f>IFERROR(VLOOKUP(Tabela71020[[#This Row],[PONTO]],GERAL_PROJ[],12,0),"")</f>
        <v/>
      </c>
      <c r="K16" s="61" t="str">
        <f>IFERROR(Tabela71020[[#This Row],[Ib]],"")</f>
        <v/>
      </c>
      <c r="L16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Row],[CONDUTOR]],CABOS[],9,0))+30,W16+60*(X16/Z16)),"")</f>
        <v/>
      </c>
      <c r="M16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6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6" s="116" t="str">
        <f>IF(Tabela71020[[#This Row],[PONTO]]="","",IFERROR(SUMIF(Tabela71020[PONTO],Tabela71020[[#This Row],[TRECHO]],Tabela71020[Coluna1])+Tabela71020[[#This Row],[QT-PONTO]],""))</f>
        <v/>
      </c>
      <c r="P16" s="57" t="str">
        <f>IFERROR(Tabela71020[[#This Row],[Coluna1]]/T_LINHA_MONO,"")</f>
        <v/>
      </c>
      <c r="Q16" s="55" t="str">
        <f>IFERROR(T_LINHA_MONO*(1-Tabela71020[[#This Row],[QT %]]),"")</f>
        <v/>
      </c>
      <c r="R16" s="55" t="str">
        <f>IFERROR(T_LINHA_TRF*(1-Tabela71020[[#This Row],[QT %]]),"")</f>
        <v/>
      </c>
      <c r="S16" s="67" t="str">
        <f>IF(Tabela71020[[#This Row],[PROTECAO]]="OK","Protecao OK","Ajustar Disj/Condutor")</f>
        <v>Ajustar Disj/Condutor</v>
      </c>
      <c r="T16" s="72" t="str">
        <f>IF(Tabela71020[[#This Row],[ETA]]=1,"MONO",IF(Tabela71020[[#This Row],[ETA]]=2,"BIF","TRI"))</f>
        <v>TRI</v>
      </c>
      <c r="U16" s="72">
        <v>3</v>
      </c>
      <c r="V16" s="72" t="str">
        <f t="shared" si="0"/>
        <v>AEREO</v>
      </c>
      <c r="W16" s="72">
        <f>30</f>
        <v>30</v>
      </c>
      <c r="X16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6" s="72">
        <f>IFERROR(VLOOKUP(Tabela71020[[#This Row],[Ib]],TabelaDisjuntores[],2,TRUE),0)</f>
        <v>0</v>
      </c>
      <c r="Z16" s="72">
        <f>IFERROR(VLOOKUP(Tabela71020[[#This Row],[CONDUTOR]],CABOS[],2,0),0)</f>
        <v>0</v>
      </c>
      <c r="AA16" s="72" t="str">
        <f>IF(AND(Tabela71020[[#This Row],[Ib]]&lt;=Tabela71020[[#This Row],[In]],Tabela71020[[#This Row],[In]]&lt;=Tabela71020[[#This Row],[Iz]]),"OK","VERIFICAR")</f>
        <v>VERIFICAR</v>
      </c>
      <c r="AB16" s="97">
        <f>IFERROR(SQRT((Tabela71020[[#This Row],[X]]-$AF$4)^2+(Tabela71020[[#This Row],[Y]]-$AF$5)^2),0)</f>
        <v>0</v>
      </c>
      <c r="AC16" s="9" t="str">
        <f>IFERROR(IF(Tabela71020[[#This Row],[CONDUTOR]]="","",VLOOKUP(Tabela71020[[#This Row],[CONDUTOR]],CONDUTORES,2,0)),"")</f>
        <v/>
      </c>
      <c r="AE16" s="262" t="s">
        <v>274</v>
      </c>
      <c r="AF16" s="262"/>
      <c r="AG16" s="262"/>
    </row>
    <row r="17" spans="1:33" x14ac:dyDescent="0.3">
      <c r="A17" s="54" t="s">
        <v>324</v>
      </c>
      <c r="B17" s="130"/>
      <c r="C17" s="54" t="str">
        <f>IFERROR(IF(Tabela71020[[#This Row],[PONTO]]="RAMAL",B16,VLOOKUP(Tabela71020[[#This Row],[PONTO]],GERAL_PROJ[],2,0)),"")</f>
        <v/>
      </c>
      <c r="D17" s="54" t="str">
        <f>IFERROR(IF(Tabela71020[[#This Row],[PONTO]]="RAMAL",15,VLOOKUP(Tabela71020[[#This Row],[PONTO]],GERAL_PROJ[],3,0)),"")</f>
        <v/>
      </c>
      <c r="E17" s="154" t="str">
        <f>IFERROR(IF(Tabela71020[[#This Row],[PONTO]]="RAMAL","",VLOOKUP(Tabela71020[[#This Row],[PONTO]],GERAL[],7,0)),"")</f>
        <v/>
      </c>
      <c r="F17" s="156" t="str">
        <f>IFERROR(IF(Tabela71020[[#This Row],[PONTO]]="RAMAL","",VLOOKUP(Tabela71020[[#This Row],[PONTO]],GERAL_PROJ[],4,0)),"")</f>
        <v/>
      </c>
      <c r="G17" s="156" t="str">
        <f>IFERROR(IF(Tabela71020[[#This Row],[PONTO]]="RAMAL","",VLOOKUP(Tabela71020[[#This Row],[PONTO]],GERAL_PROJ[],5,0)),"")</f>
        <v/>
      </c>
      <c r="H17" s="55" t="str">
        <f>IFERROR(IF(Tabela71020[[#This Row],[PONTO]]="RAMAL",DMDI,VLOOKUP(Tabela71020[[#This Row],[PONTO]],GERAL_PROJ[],8,0)),"")</f>
        <v/>
      </c>
      <c r="I17" s="55" t="str">
        <f>IFERROR(IF(Tabela71020[[#This Row],[PONTO]]="RAMAL",Tabela71020[[#This Row],[KVA PONTO]],VLOOKUP(Tabela71020[[#This Row],[PONTO]],GERAL_PROJ[],9,0)),"")</f>
        <v/>
      </c>
      <c r="J17" s="55" t="str">
        <f>IFERROR(VLOOKUP(Tabela71020[[#This Row],[PONTO]],GERAL_PROJ[],12,0),"")</f>
        <v/>
      </c>
      <c r="K17" s="61" t="str">
        <f>IFERROR(Tabela71020[[#This Row],[Ib]],"")</f>
        <v/>
      </c>
      <c r="L17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Row],[CONDUTOR]],CABOS[],9,0))+30,W17+60*(X17/Z17)),"")</f>
        <v/>
      </c>
      <c r="M17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7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7" s="116" t="str">
        <f>IF(Tabela71020[[#This Row],[PONTO]]="","",IFERROR(SUMIF(Tabela71020[PONTO],Tabela71020[[#This Row],[TRECHO]],Tabela71020[Coluna1])+Tabela71020[[#This Row],[QT-PONTO]],""))</f>
        <v/>
      </c>
      <c r="P17" s="57" t="str">
        <f>IFERROR(Tabela71020[[#This Row],[Coluna1]]/T_LINHA_MONO,"")</f>
        <v/>
      </c>
      <c r="Q17" s="55" t="str">
        <f>IFERROR(T_LINHA_MONO*(1-Tabela71020[[#This Row],[QT %]]),"")</f>
        <v/>
      </c>
      <c r="R17" s="55" t="str">
        <f>IFERROR(T_LINHA_TRF*(1-Tabela71020[[#This Row],[QT %]]),"")</f>
        <v/>
      </c>
      <c r="S17" s="67" t="str">
        <f>IF(Tabela71020[[#This Row],[PROTECAO]]="OK","Protecao OK","Ajustar Disj/Condutor")</f>
        <v>Ajustar Disj/Condutor</v>
      </c>
      <c r="T17" s="72" t="str">
        <f>IF(Tabela71020[[#This Row],[ETA]]=1,"MONO",IF(Tabela71020[[#This Row],[ETA]]=2,"BIF","TRI"))</f>
        <v>TRI</v>
      </c>
      <c r="U17" s="72">
        <v>3</v>
      </c>
      <c r="V17" s="72" t="str">
        <f t="shared" si="0"/>
        <v>AEREO</v>
      </c>
      <c r="W17" s="72">
        <f>30</f>
        <v>30</v>
      </c>
      <c r="X17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7" s="72">
        <f>IFERROR(VLOOKUP(Tabela71020[[#This Row],[Ib]],TabelaDisjuntores[],2,TRUE),0)</f>
        <v>0</v>
      </c>
      <c r="Z17" s="72">
        <f>IFERROR(VLOOKUP(Tabela71020[[#This Row],[CONDUTOR]],CABOS[],2,0),0)</f>
        <v>0</v>
      </c>
      <c r="AA17" s="72" t="str">
        <f>IF(AND(Tabela71020[[#This Row],[Ib]]&lt;=Tabela71020[[#This Row],[In]],Tabela71020[[#This Row],[In]]&lt;=Tabela71020[[#This Row],[Iz]]),"OK","VERIFICAR")</f>
        <v>VERIFICAR</v>
      </c>
      <c r="AB17" s="97">
        <f>IFERROR(SQRT((Tabela71020[[#This Row],[X]]-$AF$4)^2+(Tabela71020[[#This Row],[Y]]-$AF$5)^2),0)</f>
        <v>0</v>
      </c>
      <c r="AC17" s="9" t="str">
        <f>IFERROR(IF(Tabela71020[[#This Row],[CONDUTOR]]="","",VLOOKUP(Tabela71020[[#This Row],[CONDUTOR]],CONDUTORES,2,0)),"")</f>
        <v/>
      </c>
      <c r="AE17" s="262"/>
      <c r="AF17" s="262"/>
      <c r="AG17" s="262"/>
    </row>
    <row r="18" spans="1:33" x14ac:dyDescent="0.3">
      <c r="A18" s="172" t="s">
        <v>326</v>
      </c>
      <c r="B18" s="134"/>
      <c r="C18" s="54" t="str">
        <f>IFERROR(IF(Tabela71020[[#This Row],[PONTO]]="RAMAL",B17,VLOOKUP(Tabela71020[[#This Row],[PONTO]],GERAL_PROJ[],2,0)),"")</f>
        <v/>
      </c>
      <c r="D18" s="54" t="str">
        <f>IFERROR(IF(Tabela71020[[#This Row],[PONTO]]="RAMAL",15,VLOOKUP(Tabela71020[[#This Row],[PONTO]],GERAL_PROJ[],3,0)),"")</f>
        <v/>
      </c>
      <c r="E18" s="154" t="str">
        <f>IFERROR(IF(Tabela71020[[#This Row],[PONTO]]="RAMAL","",VLOOKUP(Tabela71020[[#This Row],[PONTO]],GERAL[],7,0)),"")</f>
        <v/>
      </c>
      <c r="F18" s="156" t="str">
        <f>IFERROR(IF(Tabela71020[[#This Row],[PONTO]]="RAMAL","",VLOOKUP(Tabela71020[[#This Row],[PONTO]],GERAL_PROJ[],4,0)),"")</f>
        <v/>
      </c>
      <c r="G18" s="156" t="str">
        <f>IFERROR(IF(Tabela71020[[#This Row],[PONTO]]="RAMAL","",VLOOKUP(Tabela71020[[#This Row],[PONTO]],GERAL_PROJ[],5,0)),"")</f>
        <v/>
      </c>
      <c r="H18" s="55" t="str">
        <f>IFERROR(IF(Tabela71020[[#This Row],[PONTO]]="RAMAL",DMDI,VLOOKUP(Tabela71020[[#This Row],[PONTO]],GERAL_PROJ[],8,0)),"")</f>
        <v/>
      </c>
      <c r="I18" s="55" t="str">
        <f>IFERROR(IF(Tabela71020[[#This Row],[PONTO]]="RAMAL",Tabela71020[[#This Row],[KVA PONTO]],VLOOKUP(Tabela71020[[#This Row],[PONTO]],GERAL_PROJ[],9,0)),"")</f>
        <v/>
      </c>
      <c r="J18" s="55" t="str">
        <f>IFERROR(VLOOKUP(Tabela71020[[#This Row],[PONTO]],GERAL_PROJ[],12,0),"")</f>
        <v/>
      </c>
      <c r="K18" s="61" t="str">
        <f>IFERROR(Tabela71020[[#This Row],[Ib]],"")</f>
        <v/>
      </c>
      <c r="L18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Row],[CONDUTOR]],CABOS[],9,0))+30,W18+60*(X18/Z18)),"")</f>
        <v/>
      </c>
      <c r="M18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8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8" s="116" t="str">
        <f>IF(Tabela71020[[#This Row],[PONTO]]="","",IFERROR(SUMIF(Tabela71020[PONTO],Tabela71020[[#This Row],[TRECHO]],Tabela71020[Coluna1])+Tabela71020[[#This Row],[QT-PONTO]],""))</f>
        <v/>
      </c>
      <c r="P18" s="57" t="str">
        <f>IFERROR(Tabela71020[[#This Row],[Coluna1]]/T_LINHA_MONO,"")</f>
        <v/>
      </c>
      <c r="Q18" s="55" t="str">
        <f>IFERROR(T_LINHA_MONO*(1-Tabela71020[[#This Row],[QT %]]),"")</f>
        <v/>
      </c>
      <c r="R18" s="55" t="str">
        <f>IFERROR(T_LINHA_TRF*(1-Tabela71020[[#This Row],[QT %]]),"")</f>
        <v/>
      </c>
      <c r="S18" s="67" t="str">
        <f>IF(Tabela71020[[#This Row],[PROTECAO]]="OK","Protecao OK","Ajustar Disj/Condutor")</f>
        <v>Ajustar Disj/Condutor</v>
      </c>
      <c r="T18" s="72" t="str">
        <f>IF(Tabela71020[[#This Row],[ETA]]=1,"MONO",IF(Tabela71020[[#This Row],[ETA]]=2,"BIF","TRI"))</f>
        <v>TRI</v>
      </c>
      <c r="U18" s="72">
        <v>3</v>
      </c>
      <c r="V18" s="72" t="str">
        <f t="shared" si="0"/>
        <v>AEREO</v>
      </c>
      <c r="W18" s="72">
        <f>30</f>
        <v>30</v>
      </c>
      <c r="X18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8" s="72">
        <f>IFERROR(VLOOKUP(Tabela71020[[#This Row],[Ib]],TabelaDisjuntores[],2,TRUE),0)</f>
        <v>0</v>
      </c>
      <c r="Z18" s="72">
        <f>IFERROR(VLOOKUP(Tabela71020[[#This Row],[CONDUTOR]],CABOS[],2,0),0)</f>
        <v>0</v>
      </c>
      <c r="AA18" s="72" t="str">
        <f>IF(AND(Tabela71020[[#This Row],[Ib]]&lt;=Tabela71020[[#This Row],[In]],Tabela71020[[#This Row],[In]]&lt;=Tabela71020[[#This Row],[Iz]]),"OK","VERIFICAR")</f>
        <v>VERIFICAR</v>
      </c>
      <c r="AB18" s="97">
        <f>IFERROR(SQRT((Tabela71020[[#This Row],[X]]-$AF$4)^2+(Tabela71020[[#This Row],[Y]]-$AF$5)^2),0)</f>
        <v>0</v>
      </c>
      <c r="AC18" s="9" t="str">
        <f>IFERROR(IF(Tabela71020[[#This Row],[CONDUTOR]]="","",VLOOKUP(Tabela71020[[#This Row],[CONDUTOR]],CONDUTORES,2,0)),"")</f>
        <v/>
      </c>
      <c r="AE18" s="262"/>
      <c r="AF18" s="262"/>
      <c r="AG18" s="262"/>
    </row>
    <row r="19" spans="1:33" x14ac:dyDescent="0.3">
      <c r="A19" s="54" t="s">
        <v>327</v>
      </c>
      <c r="B19" s="134"/>
      <c r="C19" s="54" t="str">
        <f>IFERROR(IF(Tabela71020[[#This Row],[PONTO]]="RAMAL",B18,VLOOKUP(Tabela71020[[#This Row],[PONTO]],GERAL_PROJ[],2,0)),"")</f>
        <v/>
      </c>
      <c r="D19" s="54" t="str">
        <f>IFERROR(IF(Tabela71020[[#This Row],[PONTO]]="RAMAL",15,VLOOKUP(Tabela71020[[#This Row],[PONTO]],GERAL_PROJ[],3,0)),"")</f>
        <v/>
      </c>
      <c r="E19" s="154" t="str">
        <f>IFERROR(IF(Tabela71020[[#This Row],[PONTO]]="RAMAL","",VLOOKUP(Tabela71020[[#This Row],[PONTO]],GERAL[],7,0)),"")</f>
        <v/>
      </c>
      <c r="F19" s="156" t="str">
        <f>IFERROR(IF(Tabela71020[[#This Row],[PONTO]]="RAMAL","",VLOOKUP(Tabela71020[[#This Row],[PONTO]],GERAL_PROJ[],4,0)),"")</f>
        <v/>
      </c>
      <c r="G19" s="156" t="str">
        <f>IFERROR(IF(Tabela71020[[#This Row],[PONTO]]="RAMAL","",VLOOKUP(Tabela71020[[#This Row],[PONTO]],GERAL_PROJ[],5,0)),"")</f>
        <v/>
      </c>
      <c r="H19" s="55" t="str">
        <f>IFERROR(IF(Tabela71020[[#This Row],[PONTO]]="RAMAL",DMDI,VLOOKUP(Tabela71020[[#This Row],[PONTO]],GERAL_PROJ[],8,0)),"")</f>
        <v/>
      </c>
      <c r="I19" s="55" t="str">
        <f>IFERROR(IF(Tabela71020[[#This Row],[PONTO]]="RAMAL",Tabela71020[[#This Row],[KVA PONTO]],VLOOKUP(Tabela71020[[#This Row],[PONTO]],GERAL_PROJ[],9,0)),"")</f>
        <v/>
      </c>
      <c r="J19" s="55" t="str">
        <f>IFERROR(VLOOKUP(Tabela71020[[#This Row],[PONTO]],GERAL_PROJ[],12,0),"")</f>
        <v/>
      </c>
      <c r="K19" s="61" t="str">
        <f>IFERROR(Tabela71020[[#This Row],[Ib]],"")</f>
        <v/>
      </c>
      <c r="L19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Row],[CONDUTOR]],CABOS[],9,0))+30,W19+60*(X19/Z19)),"")</f>
        <v/>
      </c>
      <c r="M19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19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19" s="116" t="str">
        <f>IF(Tabela71020[[#This Row],[PONTO]]="","",IFERROR(SUMIF(Tabela71020[PONTO],Tabela71020[[#This Row],[TRECHO]],Tabela71020[Coluna1])+Tabela71020[[#This Row],[QT-PONTO]],""))</f>
        <v/>
      </c>
      <c r="P19" s="57" t="str">
        <f>IFERROR(Tabela71020[[#This Row],[Coluna1]]/T_LINHA_MONO,"")</f>
        <v/>
      </c>
      <c r="Q19" s="55" t="str">
        <f>IFERROR(T_LINHA_MONO*(1-Tabela71020[[#This Row],[QT %]]),"")</f>
        <v/>
      </c>
      <c r="R19" s="55" t="str">
        <f>IFERROR(T_LINHA_TRF*(1-Tabela71020[[#This Row],[QT %]]),"")</f>
        <v/>
      </c>
      <c r="S19" s="67" t="str">
        <f>IF(Tabela71020[[#This Row],[PROTECAO]]="OK","Protecao OK","Ajustar Disj/Condutor")</f>
        <v>Ajustar Disj/Condutor</v>
      </c>
      <c r="T19" s="72" t="str">
        <f>IF(Tabela71020[[#This Row],[ETA]]=1,"MONO",IF(Tabela71020[[#This Row],[ETA]]=2,"BIF","TRI"))</f>
        <v>TRI</v>
      </c>
      <c r="U19" s="72">
        <v>3</v>
      </c>
      <c r="V19" s="72" t="str">
        <f t="shared" si="0"/>
        <v>AEREO</v>
      </c>
      <c r="W19" s="72">
        <f>30</f>
        <v>30</v>
      </c>
      <c r="X19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19" s="72">
        <f>IFERROR(VLOOKUP(Tabela71020[[#This Row],[Ib]],TabelaDisjuntores[],2,TRUE),0)</f>
        <v>0</v>
      </c>
      <c r="Z19" s="72">
        <f>IFERROR(VLOOKUP(Tabela71020[[#This Row],[CONDUTOR]],CABOS[],2,0),0)</f>
        <v>0</v>
      </c>
      <c r="AA19" s="72" t="str">
        <f>IF(AND(Tabela71020[[#This Row],[Ib]]&lt;=Tabela71020[[#This Row],[In]],Tabela71020[[#This Row],[In]]&lt;=Tabela71020[[#This Row],[Iz]]),"OK","VERIFICAR")</f>
        <v>VERIFICAR</v>
      </c>
      <c r="AB19" s="97">
        <f>IFERROR(SQRT((Tabela71020[[#This Row],[X]]-$AF$4)^2+(Tabela71020[[#This Row],[Y]]-$AF$5)^2),0)</f>
        <v>0</v>
      </c>
      <c r="AC19" s="9" t="str">
        <f>IFERROR(IF(Tabela71020[[#This Row],[CONDUTOR]]="","",VLOOKUP(Tabela71020[[#This Row],[CONDUTOR]],CONDUTORES,2,0)),"")</f>
        <v/>
      </c>
      <c r="AE19" s="262"/>
      <c r="AF19" s="262"/>
      <c r="AG19" s="262"/>
    </row>
    <row r="20" spans="1:33" x14ac:dyDescent="0.3">
      <c r="A20" s="172" t="s">
        <v>328</v>
      </c>
      <c r="B20" s="134"/>
      <c r="C20" s="54" t="str">
        <f>IFERROR(IF(Tabela71020[[#This Row],[PONTO]]="RAMAL",B19,VLOOKUP(Tabela71020[[#This Row],[PONTO]],GERAL_PROJ[],2,0)),"")</f>
        <v/>
      </c>
      <c r="D20" s="54" t="str">
        <f>IFERROR(IF(Tabela71020[[#This Row],[PONTO]]="RAMAL",15,VLOOKUP(Tabela71020[[#This Row],[PONTO]],GERAL_PROJ[],3,0)),"")</f>
        <v/>
      </c>
      <c r="E20" s="154" t="str">
        <f>IFERROR(IF(Tabela71020[[#This Row],[PONTO]]="RAMAL","",VLOOKUP(Tabela71020[[#This Row],[PONTO]],GERAL[],7,0)),"")</f>
        <v/>
      </c>
      <c r="F20" s="156" t="str">
        <f>IFERROR(IF(Tabela71020[[#This Row],[PONTO]]="RAMAL","",VLOOKUP(Tabela71020[[#This Row],[PONTO]],GERAL_PROJ[],4,0)),"")</f>
        <v/>
      </c>
      <c r="G20" s="156" t="str">
        <f>IFERROR(IF(Tabela71020[[#This Row],[PONTO]]="RAMAL","",VLOOKUP(Tabela71020[[#This Row],[PONTO]],GERAL_PROJ[],5,0)),"")</f>
        <v/>
      </c>
      <c r="H20" s="55" t="str">
        <f>IFERROR(IF(Tabela71020[[#This Row],[PONTO]]="RAMAL",DMDI,VLOOKUP(Tabela71020[[#This Row],[PONTO]],GERAL_PROJ[],8,0)),"")</f>
        <v/>
      </c>
      <c r="I20" s="55" t="str">
        <f>IFERROR(IF(Tabela71020[[#This Row],[PONTO]]="RAMAL",Tabela71020[[#This Row],[KVA PONTO]],VLOOKUP(Tabela71020[[#This Row],[PONTO]],GERAL_PROJ[],9,0)),"")</f>
        <v/>
      </c>
      <c r="J20" s="55" t="str">
        <f>IFERROR(VLOOKUP(Tabela71020[[#This Row],[PONTO]],GERAL_PROJ[],12,0),"")</f>
        <v/>
      </c>
      <c r="K20" s="61" t="str">
        <f>IFERROR(Tabela71020[[#This Row],[Ib]],"")</f>
        <v/>
      </c>
      <c r="L20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Row],[CONDUTOR]],CABOS[],9,0))+30,W20+60*(X20/Z20)),"")</f>
        <v/>
      </c>
      <c r="M20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20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20" s="116" t="str">
        <f>IF(Tabela71020[[#This Row],[PONTO]]="","",IFERROR(SUMIF(Tabela71020[PONTO],Tabela71020[[#This Row],[TRECHO]],Tabela71020[Coluna1])+Tabela71020[[#This Row],[QT-PONTO]],""))</f>
        <v/>
      </c>
      <c r="P20" s="57" t="str">
        <f>IFERROR(Tabela71020[[#This Row],[Coluna1]]/T_LINHA_MONO,"")</f>
        <v/>
      </c>
      <c r="Q20" s="55" t="str">
        <f>IFERROR(T_LINHA_MONO*(1-Tabela71020[[#This Row],[QT %]]),"")</f>
        <v/>
      </c>
      <c r="R20" s="55" t="str">
        <f>IFERROR(T_LINHA_TRF*(1-Tabela71020[[#This Row],[QT %]]),"")</f>
        <v/>
      </c>
      <c r="S20" s="67" t="str">
        <f>IF(Tabela71020[[#This Row],[PROTECAO]]="OK","Protecao OK","Ajustar Disj/Condutor")</f>
        <v>Ajustar Disj/Condutor</v>
      </c>
      <c r="T20" s="72" t="str">
        <f>IF(Tabela71020[[#This Row],[ETA]]=1,"MONO",IF(Tabela71020[[#This Row],[ETA]]=2,"BIF","TRI"))</f>
        <v>TRI</v>
      </c>
      <c r="U20" s="72">
        <v>3</v>
      </c>
      <c r="V20" s="72" t="str">
        <f t="shared" si="0"/>
        <v>AEREO</v>
      </c>
      <c r="W20" s="72">
        <f>30</f>
        <v>30</v>
      </c>
      <c r="X20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20" s="72">
        <f>IFERROR(VLOOKUP(Tabela71020[[#This Row],[Ib]],TabelaDisjuntores[],2,TRUE),0)</f>
        <v>0</v>
      </c>
      <c r="Z20" s="72">
        <f>IFERROR(VLOOKUP(Tabela71020[[#This Row],[CONDUTOR]],CABOS[],2,0),0)</f>
        <v>0</v>
      </c>
      <c r="AA20" s="72" t="str">
        <f>IF(AND(Tabela71020[[#This Row],[Ib]]&lt;=Tabela71020[[#This Row],[In]],Tabela71020[[#This Row],[In]]&lt;=Tabela71020[[#This Row],[Iz]]),"OK","VERIFICAR")</f>
        <v>VERIFICAR</v>
      </c>
      <c r="AB20" s="97">
        <f>IFERROR(SQRT((Tabela71020[[#This Row],[X]]-$AF$4)^2+(Tabela71020[[#This Row],[Y]]-$AF$5)^2),0)</f>
        <v>0</v>
      </c>
      <c r="AC20" s="9" t="str">
        <f>IFERROR(IF(Tabela71020[[#This Row],[CONDUTOR]]="","",VLOOKUP(Tabela71020[[#This Row],[CONDUTOR]],CONDUTORES,2,0)),"")</f>
        <v/>
      </c>
    </row>
    <row r="21" spans="1:33" x14ac:dyDescent="0.3">
      <c r="A21" s="54" t="s">
        <v>329</v>
      </c>
      <c r="B21" s="134"/>
      <c r="C21" s="54" t="str">
        <f>IFERROR(IF(Tabela71020[[#This Row],[PONTO]]="RAMAL",B20,VLOOKUP(Tabela71020[[#This Row],[PONTO]],GERAL_PROJ[],2,0)),"")</f>
        <v/>
      </c>
      <c r="D21" s="54" t="str">
        <f>IFERROR(IF(Tabela71020[[#This Row],[PONTO]]="RAMAL",15,VLOOKUP(Tabela71020[[#This Row],[PONTO]],GERAL_PROJ[],3,0)),"")</f>
        <v/>
      </c>
      <c r="E21" s="154" t="str">
        <f>IFERROR(IF(Tabela71020[[#This Row],[PONTO]]="RAMAL","",VLOOKUP(Tabela71020[[#This Row],[PONTO]],GERAL[],7,0)),"")</f>
        <v/>
      </c>
      <c r="F21" s="156" t="str">
        <f>IFERROR(IF(Tabela71020[[#This Row],[PONTO]]="RAMAL","",VLOOKUP(Tabela71020[[#This Row],[PONTO]],GERAL_PROJ[],4,0)),"")</f>
        <v/>
      </c>
      <c r="G21" s="156" t="str">
        <f>IFERROR(IF(Tabela71020[[#This Row],[PONTO]]="RAMAL","",VLOOKUP(Tabela71020[[#This Row],[PONTO]],GERAL_PROJ[],5,0)),"")</f>
        <v/>
      </c>
      <c r="H21" s="55" t="str">
        <f>IFERROR(IF(Tabela71020[[#This Row],[PONTO]]="RAMAL",DMDI,VLOOKUP(Tabela71020[[#This Row],[PONTO]],GERAL_PROJ[],8,0)),"")</f>
        <v/>
      </c>
      <c r="I21" s="55" t="str">
        <f>IFERROR(IF(Tabela71020[[#This Row],[PONTO]]="RAMAL",Tabela71020[[#This Row],[KVA PONTO]],VLOOKUP(Tabela71020[[#This Row],[PONTO]],GERAL_PROJ[],9,0)),"")</f>
        <v/>
      </c>
      <c r="J21" s="55" t="str">
        <f>IFERROR(VLOOKUP(Tabela71020[[#This Row],[PONTO]],GERAL_PROJ[],12,0),"")</f>
        <v/>
      </c>
      <c r="K21" s="61" t="str">
        <f>IFERROR(Tabela71020[[#This Row],[Ib]],"")</f>
        <v/>
      </c>
      <c r="L21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Row],[CONDUTOR]],CABOS[],9,0))+30,W21+60*(X21/Z21)),"")</f>
        <v/>
      </c>
      <c r="M21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21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21" s="116" t="str">
        <f>IF(Tabela71020[[#This Row],[PONTO]]="","",IFERROR(SUMIF(Tabela71020[PONTO],Tabela71020[[#This Row],[TRECHO]],Tabela71020[Coluna1])+Tabela71020[[#This Row],[QT-PONTO]],""))</f>
        <v/>
      </c>
      <c r="P21" s="57" t="str">
        <f>IFERROR(Tabela71020[[#This Row],[Coluna1]]/T_LINHA_MONO,"")</f>
        <v/>
      </c>
      <c r="Q21" s="55" t="str">
        <f>IFERROR(T_LINHA_MONO*(1-Tabela71020[[#This Row],[QT %]]),"")</f>
        <v/>
      </c>
      <c r="R21" s="55" t="str">
        <f>IFERROR(T_LINHA_TRF*(1-Tabela71020[[#This Row],[QT %]]),"")</f>
        <v/>
      </c>
      <c r="S21" s="67" t="str">
        <f>IF(Tabela71020[[#This Row],[PROTECAO]]="OK","Protecao OK","Ajustar Disj/Condutor")</f>
        <v>Ajustar Disj/Condutor</v>
      </c>
      <c r="T21" s="72" t="str">
        <f>IF(Tabela71020[[#This Row],[ETA]]=1,"MONO",IF(Tabela71020[[#This Row],[ETA]]=2,"BIF","TRI"))</f>
        <v>TRI</v>
      </c>
      <c r="U21" s="72">
        <v>3</v>
      </c>
      <c r="V21" s="72" t="str">
        <f t="shared" si="0"/>
        <v>AEREO</v>
      </c>
      <c r="W21" s="72">
        <f>30</f>
        <v>30</v>
      </c>
      <c r="X21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21" s="72">
        <f>IFERROR(VLOOKUP(Tabela71020[[#This Row],[Ib]],TabelaDisjuntores[],2,TRUE),0)</f>
        <v>0</v>
      </c>
      <c r="Z21" s="72">
        <f>IFERROR(VLOOKUP(Tabela71020[[#This Row],[CONDUTOR]],CABOS[],2,0),0)</f>
        <v>0</v>
      </c>
      <c r="AA21" s="72" t="str">
        <f>IF(AND(Tabela71020[[#This Row],[Ib]]&lt;=Tabela71020[[#This Row],[In]],Tabela71020[[#This Row],[In]]&lt;=Tabela71020[[#This Row],[Iz]]),"OK","VERIFICAR")</f>
        <v>VERIFICAR</v>
      </c>
      <c r="AB21" s="97">
        <f>IFERROR(SQRT((Tabela71020[[#This Row],[X]]-$AF$4)^2+(Tabela71020[[#This Row],[Y]]-$AF$5)^2),0)</f>
        <v>0</v>
      </c>
      <c r="AC21" s="9" t="str">
        <f>IFERROR(IF(Tabela71020[[#This Row],[CONDUTOR]]="","",VLOOKUP(Tabela71020[[#This Row],[CONDUTOR]],CONDUTORES,2,0)),"")</f>
        <v/>
      </c>
      <c r="AE21" s="146"/>
      <c r="AF21" s="146"/>
      <c r="AG21" s="146"/>
    </row>
    <row r="22" spans="1:33" x14ac:dyDescent="0.3">
      <c r="A22" s="172"/>
      <c r="B22" s="134"/>
      <c r="C22" s="54" t="str">
        <f>IFERROR(IF(Tabela71020[[#This Row],[PONTO]]="RAMAL",B21,VLOOKUP(Tabela71020[[#This Row],[PONTO]],GERAL_PROJ[],2,0)),"")</f>
        <v/>
      </c>
      <c r="D22" s="54" t="str">
        <f>IFERROR(IF(Tabela71020[[#This Row],[PONTO]]="RAMAL",15,VLOOKUP(Tabela71020[[#This Row],[PONTO]],GERAL_PROJ[],3,0)),"")</f>
        <v/>
      </c>
      <c r="E22" s="154" t="str">
        <f>IFERROR(IF(Tabela71020[[#This Row],[PONTO]]="RAMAL","",VLOOKUP(Tabela71020[[#This Row],[PONTO]],GERAL[],7,0)),"")</f>
        <v/>
      </c>
      <c r="F22" s="156" t="str">
        <f>IFERROR(IF(Tabela71020[[#This Row],[PONTO]]="RAMAL","",VLOOKUP(Tabela71020[[#This Row],[PONTO]],GERAL_PROJ[],4,0)),"")</f>
        <v/>
      </c>
      <c r="G22" s="156" t="str">
        <f>IFERROR(IF(Tabela71020[[#This Row],[PONTO]]="RAMAL","",VLOOKUP(Tabela71020[[#This Row],[PONTO]],GERAL_PROJ[],5,0)),"")</f>
        <v/>
      </c>
      <c r="H22" s="55" t="str">
        <f>IFERROR(IF(Tabela71020[[#This Row],[PONTO]]="RAMAL",DMDI,VLOOKUP(Tabela71020[[#This Row],[PONTO]],GERAL_PROJ[],8,0)),"")</f>
        <v/>
      </c>
      <c r="I22" s="55" t="str">
        <f>IFERROR(IF(Tabela71020[[#This Row],[PONTO]]="RAMAL",Tabela71020[[#This Row],[KVA PONTO]],VLOOKUP(Tabela71020[[#This Row],[PONTO]],GERAL_PROJ[],9,0)),"")</f>
        <v/>
      </c>
      <c r="J22" s="55" t="str">
        <f>IFERROR(VLOOKUP(Tabela71020[[#This Row],[PONTO]],GERAL_PROJ[],12,0),"")</f>
        <v/>
      </c>
      <c r="K22" s="61" t="str">
        <f>IFERROR(Tabela71020[[#This Row],[Ib]],"")</f>
        <v/>
      </c>
      <c r="L22" s="117" t="str">
        <f>IFERROR(IFERROR(Tabela71020[[#This Row],[ACUMULADA]]/((IF(Tabela71020[[#This Row],[FASE]]="MONO",T_LINHA_MONO,IF(Tabela71020[[#This Row],[FASE]]="BIF",T_LINHA_TRF,T_LINHA_TRF*SQRT(3)))/1000)*VLOOKUP(Tabela71020[[#This Row],[CONDUTOR]],CABOS[],9,0))+30,W22+60*(X22/Z22)),"")</f>
        <v/>
      </c>
      <c r="M22" s="68" t="str">
        <f>IFERROR((VLOOKUP(Tabela71020[[#This Row],[CONDUTOR]],CABOS[],3,0)/VLOOKUP(Tabela71020[[#This Row],[CONDUTOR]],CABOS[],6,0))*(1+VLOOKUP(Tabela71020[[#This Row],[CONDUTOR]],CABOS[],5,0)*(Tabela71020[[#This Row],[T]]-20)),"")</f>
        <v/>
      </c>
      <c r="N22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22" s="116" t="str">
        <f>IF(Tabela71020[[#This Row],[PONTO]]="","",IFERROR(SUMIF(Tabela71020[PONTO],Tabela71020[[#This Row],[TRECHO]],Tabela71020[Coluna1])+Tabela71020[[#This Row],[QT-PONTO]],""))</f>
        <v/>
      </c>
      <c r="P22" s="57" t="str">
        <f>IFERROR(Tabela71020[[#This Row],[Coluna1]]/T_LINHA_MONO,"")</f>
        <v/>
      </c>
      <c r="Q22" s="55" t="str">
        <f>IFERROR(T_LINHA_MONO*(1-Tabela71020[[#This Row],[QT %]]),"")</f>
        <v/>
      </c>
      <c r="R22" s="55" t="str">
        <f>IFERROR(T_LINHA_TRF*(1-Tabela71020[[#This Row],[QT %]]),"")</f>
        <v/>
      </c>
      <c r="S22" s="67" t="str">
        <f>IF(Tabela71020[[#This Row],[PROTECAO]]="OK","Protecao OK","Ajustar Disj/Condutor")</f>
        <v>Ajustar Disj/Condutor</v>
      </c>
      <c r="T22" s="72" t="str">
        <f>IF(Tabela71020[[#This Row],[ETA]]=1,"MONO",IF(Tabela71020[[#This Row],[ETA]]=2,"BIF","TRI"))</f>
        <v>TRI</v>
      </c>
      <c r="U22" s="72">
        <v>3</v>
      </c>
      <c r="V22" s="72" t="str">
        <f t="shared" si="0"/>
        <v>AEREO</v>
      </c>
      <c r="W22" s="72">
        <f>30</f>
        <v>30</v>
      </c>
      <c r="X22" s="72" t="str">
        <f>IFERROR(IF(Tabela71020[[#This Row],[FASE]]="MONO",Tabela71020[[#This Row],[ACUMULADA]]*1000/(T_LINHA_TRF*Tabela71020[[#This Row],[ETA]]),Tabela71020[[#This Row],[ACUMULADA]]*1000/(SQRT(3)*$R$7*Tabela71020[[#This Row],[ETA]])),"")</f>
        <v/>
      </c>
      <c r="Y22" s="72">
        <f>IFERROR(VLOOKUP(Tabela71020[[#This Row],[Ib]],TabelaDisjuntores[],2,TRUE),0)</f>
        <v>0</v>
      </c>
      <c r="Z22" s="72">
        <f>IFERROR(VLOOKUP(Tabela71020[[#This Row],[CONDUTOR]],CABOS[],2,0),0)</f>
        <v>0</v>
      </c>
      <c r="AA22" s="72" t="str">
        <f>IF(AND(Tabela71020[[#This Row],[Ib]]&lt;=Tabela71020[[#This Row],[In]],Tabela71020[[#This Row],[In]]&lt;=Tabela71020[[#This Row],[Iz]]),"OK","VERIFICAR")</f>
        <v>VERIFICAR</v>
      </c>
      <c r="AB22" s="97">
        <f>IFERROR(SQRT((Tabela71020[[#This Row],[X]]-$AF$4)^2+(Tabela71020[[#This Row],[Y]]-$AF$5)^2),0)</f>
        <v>0</v>
      </c>
      <c r="AC22" s="9" t="str">
        <f>IFERROR(IF(Tabela71020[[#This Row],[CONDUTOR]]="","",VLOOKUP(Tabela71020[[#This Row],[CONDUTOR]],CONDUTORES,2,0)),"")</f>
        <v/>
      </c>
      <c r="AE22" t="str">
        <f>IF(J23="","FALTA CONDUTOR NO RAMAL","")</f>
        <v/>
      </c>
    </row>
    <row r="23" spans="1:33" x14ac:dyDescent="0.3">
      <c r="A23" s="172" t="s">
        <v>323</v>
      </c>
      <c r="B23" s="70" t="s">
        <v>275</v>
      </c>
      <c r="C23" s="130"/>
      <c r="D23" s="54">
        <v>15</v>
      </c>
      <c r="E23" s="154" t="str">
        <f>IFERROR(IF(Tabela71020[[#This Row],[PONTO]]="RAMAL","",VLOOKUP(Tabela71020[[#This Row],[PONTO]],GERAL[],7,0)),"")</f>
        <v/>
      </c>
      <c r="F23" s="156" t="str">
        <f>IFERROR(IF(Tabela71020[[#This Row],[PONTO]]="RAMAL","",VLOOKUP(Tabela71020[[#This Row],[PONTO]],GERAL_PROJ[],4,0)),"")</f>
        <v/>
      </c>
      <c r="G23" s="156" t="str">
        <f>IFERROR(IF(Tabela71020[[#This Row],[PONTO]]="RAMAL","",VLOOKUP(Tabela71020[[#This Row],[PONTO]],GERAL_PROJ[],5,0)),"")</f>
        <v/>
      </c>
      <c r="H23" s="55">
        <f>IFERROR(IF(Tabela71020[[#This Row],[PONTO]]="RAMAL",DMDI,VLOOKUP(Tabela71020[[#This Row],[PONTO]],GERAL_PROJ[],8,0)),"")</f>
        <v>1.88</v>
      </c>
      <c r="I23" s="55">
        <f>IFERROR(IF(Tabela71020[[#This Row],[PONTO]]="RAMAL",Tabela71020[[#This Row],[KVA PONTO]],VLOOKUP(Tabela71020[[#This Row],[PONTO]],GERAL_PROJ[],9,0)),"")</f>
        <v>1.88</v>
      </c>
      <c r="J23" s="135" t="s">
        <v>97</v>
      </c>
      <c r="K23" s="61">
        <f>IFERROR(Tabela71020[[#This Row],[Ib]],"")</f>
        <v>1.6445734940552976</v>
      </c>
      <c r="L23" s="117">
        <f>IFERROR(IFERROR(Tabela71020[[#This Row],[ACUMULADA]]/((IF(Tabela71020[[#This Row],[FASE]]="MONO",T_LINHA_MONO,IF(Tabela71020[[#This Row],[FASE]]="BIF",T_LINHA_TRF,T_LINHA_TRF*SQRT(3)))/1000)*VLOOKUP(Tabela71020[[#This Row],[CONDUTOR]],CABOS[],9,0))+30,W23+60*(X23/Z23)),"")</f>
        <v>34.698781411586566</v>
      </c>
      <c r="M23" s="68">
        <f>IFERROR((VLOOKUP(Tabela71020[[#This Row],[CONDUTOR]],CABOS[],3,0)/VLOOKUP(Tabela71020[[#This Row],[CONDUTOR]],CABOS[],6,0))*(1+VLOOKUP(Tabela71020[[#This Row],[CONDUTOR]],CABOS[],5,0)*(Tabela71020[[#This Row],[T]]-20)),"")</f>
        <v>2.0636037487625933</v>
      </c>
      <c r="N23" s="62" t="str">
        <f>IFERROR(IF(Tabela71020[[#This Row],[FASE]]="MONO",6,IF(Tabela71020[[#This Row],[FASE]]="BIF",2,1))*Tabela71020[[#This Row],[ACUMULADA]]*(SQRT(Tabela71020[[#This Row],[R CORR]]^2+VLOOKUP(Tabela71020[[#This Row],[CONDUTOR]],CABOS[],4,0)^2)/(($R$7^2)/100))*Tabela71020[[#This Row],[M]]*T_LINHA_MONO/100+IF(Tabela71020[[#This Row],[TRECHO]]=0,T_LINHA_MONO*QT_MTTR2,0),"")</f>
        <v/>
      </c>
      <c r="O23" s="116" t="str">
        <f>IF(Tabela71020[[#This Row],[PONTO]]="","",IFERROR(SUMIF(Tabela71020[PONTO],Tabela71020[[#This Row],[TRECHO]],Tabela71020[Coluna1])+Tabela71020[[#This Row],[QT-PONTO]],""))</f>
        <v/>
      </c>
      <c r="P23" s="57" t="str">
        <f>IFERROR(Tabela71020[[#This Row],[Coluna1]]/T_LINHA_MONO,"")</f>
        <v/>
      </c>
      <c r="Q23" s="55" t="str">
        <f>IFERROR(T_LINHA_MONO*(1-Tabela71020[[#This Row],[QT %]]),"")</f>
        <v/>
      </c>
      <c r="R23" s="55" t="str">
        <f>IFERROR(T_LINHA_TRF*(1-Tabela71020[[#This Row],[QT %]]),"")</f>
        <v/>
      </c>
      <c r="S23" s="67" t="str">
        <f>IF(Tabela71020[[#This Row],[PROTECAO]]="OK","Protecao OK","Ajustar Disj/Condutor")</f>
        <v>Ajustar Disj/Condutor</v>
      </c>
      <c r="T23" s="72" t="str">
        <f>IF(Tabela71020[[#This Row],[ETA]]=1,"MONO",IF(Tabela71020[[#This Row],[ETA]]=2,"BIF","TRI"))</f>
        <v>TRI</v>
      </c>
      <c r="U23" s="72">
        <v>3</v>
      </c>
      <c r="V23" s="72" t="str">
        <f t="shared" si="0"/>
        <v>AEREO</v>
      </c>
      <c r="W23" s="72">
        <f>30</f>
        <v>30</v>
      </c>
      <c r="X23" s="72">
        <f>IFERROR(IF(Tabela71020[[#This Row],[FASE]]="MONO",Tabela71020[[#This Row],[ACUMULADA]]*1000/(T_LINHA_TRF*Tabela71020[[#This Row],[ETA]]),Tabela71020[[#This Row],[ACUMULADA]]*1000/(SQRT(3)*$R$7*Tabela71020[[#This Row],[ETA]])),"")</f>
        <v>1.6445734940552976</v>
      </c>
      <c r="Y23" s="72">
        <f>IFERROR(VLOOKUP(Tabela71020[[#This Row],[Ib]],TabelaDisjuntores[],2,TRUE),0)</f>
        <v>0</v>
      </c>
      <c r="Z23" s="72">
        <f>IFERROR(VLOOKUP(Tabela71020[[#This Row],[CONDUTOR]],CABOS[],2,0),0)</f>
        <v>63</v>
      </c>
      <c r="AA23" s="72" t="str">
        <f>IF(AND(Tabela71020[[#This Row],[Ib]]&lt;=Tabela71020[[#This Row],[In]],Tabela71020[[#This Row],[In]]&lt;=Tabela71020[[#This Row],[Iz]]),"OK","VERIFICAR")</f>
        <v>VERIFICAR</v>
      </c>
      <c r="AB23" s="97">
        <f>IFERROR(SQRT((Tabela71020[[#This Row],[X]]-$AF$4)^2+(Tabela71020[[#This Row],[Y]]-$AF$5)^2),0)</f>
        <v>0</v>
      </c>
      <c r="AC23" s="9">
        <f>IFERROR(IF(Tabela71020[[#This Row],[CONDUTOR]]="","",VLOOKUP(Tabela71020[[#This Row],[CONDUTOR]],CONDUTORES,2,0)),"")</f>
        <v>63</v>
      </c>
    </row>
    <row r="24" spans="1:33" x14ac:dyDescent="0.3">
      <c r="AE24" t="s">
        <v>276</v>
      </c>
    </row>
  </sheetData>
  <mergeCells count="25">
    <mergeCell ref="A5:A6"/>
    <mergeCell ref="E5:E6"/>
    <mergeCell ref="AE16:AG19"/>
    <mergeCell ref="AE2:AF3"/>
    <mergeCell ref="C2:C3"/>
    <mergeCell ref="H5:H6"/>
    <mergeCell ref="F2:F3"/>
    <mergeCell ref="N5:N6"/>
    <mergeCell ref="P5:P6"/>
    <mergeCell ref="AC5:AC6"/>
    <mergeCell ref="B2:B3"/>
    <mergeCell ref="D2:D3"/>
    <mergeCell ref="G2:G3"/>
    <mergeCell ref="K5:K6"/>
    <mergeCell ref="AB5:AB6"/>
    <mergeCell ref="B5:B6"/>
    <mergeCell ref="I5:I6"/>
    <mergeCell ref="U5:U6"/>
    <mergeCell ref="C5:C6"/>
    <mergeCell ref="J5:J6"/>
    <mergeCell ref="F5:G5"/>
    <mergeCell ref="D5:D6"/>
    <mergeCell ref="O5:O6"/>
    <mergeCell ref="Q5:Q6"/>
    <mergeCell ref="S5:S6"/>
  </mergeCells>
  <conditionalFormatting sqref="S8:AA8 S9:S22 T9:AA23">
    <cfRule type="cellIs" dxfId="9" priority="2" operator="equal">
      <formula>"Condutor Suporta Amperagem"</formula>
    </cfRule>
    <cfRule type="cellIs" dxfId="8" priority="3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ignoredErrors>
    <ignoredError sqref="P8:U8 P9:T9 U9 P10:U23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57EE397-BFB3-4E69-9265-6201CD0F702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R454"/>
  <sheetViews>
    <sheetView showGridLines="0" zoomScale="85" zoomScaleNormal="85" workbookViewId="0">
      <pane ySplit="8" topLeftCell="A9" activePane="bottomLeft" state="frozen"/>
      <selection activeCell="A35" sqref="A35:Y35"/>
      <selection pane="bottomLeft" activeCell="L19" sqref="K19:L20"/>
    </sheetView>
  </sheetViews>
  <sheetFormatPr defaultColWidth="14.77734375" defaultRowHeight="14.4" x14ac:dyDescent="0.3"/>
  <cols>
    <col min="1" max="1" width="7.33203125" style="1" customWidth="1"/>
    <col min="2" max="2" width="11.88671875" style="1" customWidth="1"/>
    <col min="3" max="3" width="17.21875" style="1" bestFit="1" customWidth="1"/>
    <col min="4" max="4" width="11" style="1" customWidth="1"/>
    <col min="5" max="5" width="12.21875" style="1" customWidth="1"/>
    <col min="6" max="6" width="14.21875" style="1" customWidth="1"/>
    <col min="7" max="7" width="12.21875" style="1" customWidth="1"/>
    <col min="8" max="8" width="19.109375" style="2" customWidth="1"/>
    <col min="9" max="9" width="18.33203125" style="2" customWidth="1"/>
    <col min="10" max="10" width="14.77734375" style="2" hidden="1" customWidth="1"/>
    <col min="11" max="11" width="17.21875" customWidth="1"/>
    <col min="12" max="12" width="13.33203125" customWidth="1"/>
    <col min="13" max="13" width="15" bestFit="1" customWidth="1"/>
    <col min="14" max="14" width="5" customWidth="1"/>
    <col min="16" max="16" width="20.109375" customWidth="1"/>
    <col min="18" max="18" width="22.109375" customWidth="1"/>
  </cols>
  <sheetData>
    <row r="2" spans="1:18" x14ac:dyDescent="0.3">
      <c r="A2" s="223"/>
      <c r="B2" s="224"/>
      <c r="C2" s="224"/>
      <c r="D2" s="224"/>
      <c r="E2" s="224"/>
      <c r="F2" s="224"/>
      <c r="G2" s="224"/>
      <c r="H2" s="219" t="s">
        <v>0</v>
      </c>
      <c r="I2" s="225" t="str">
        <f>PROJ1!J2</f>
        <v>SIM</v>
      </c>
      <c r="K2" s="219" t="s">
        <v>1</v>
      </c>
      <c r="L2" s="208">
        <f>PROJ1!M2</f>
        <v>50</v>
      </c>
      <c r="M2" s="14" t="s">
        <v>2</v>
      </c>
      <c r="O2" s="14" t="s">
        <v>3</v>
      </c>
      <c r="P2" s="215" t="str">
        <f>IF(O5&gt;O3,"SOBRECARGA","")</f>
        <v>SOBRECARGA</v>
      </c>
      <c r="Q2" s="14" t="s">
        <v>4</v>
      </c>
      <c r="R2" s="14"/>
    </row>
    <row r="3" spans="1:18" x14ac:dyDescent="0.3">
      <c r="A3" s="224"/>
      <c r="B3" s="224"/>
      <c r="C3" s="224"/>
      <c r="D3" s="224"/>
      <c r="E3" s="224"/>
      <c r="F3" s="224"/>
      <c r="G3" s="224"/>
      <c r="H3" s="226"/>
      <c r="I3" s="226"/>
      <c r="K3" s="209"/>
      <c r="L3" s="209"/>
      <c r="M3" s="108" t="str">
        <f>P31</f>
        <v/>
      </c>
      <c r="O3" s="133">
        <v>112.5</v>
      </c>
      <c r="P3" s="209"/>
      <c r="Q3" s="111" t="s">
        <v>6</v>
      </c>
      <c r="R3" s="140"/>
    </row>
    <row r="4" spans="1:18" x14ac:dyDescent="0.3">
      <c r="A4" s="3"/>
      <c r="B4" s="3"/>
      <c r="C4" s="3"/>
      <c r="D4" s="4"/>
      <c r="E4" s="3"/>
      <c r="F4" s="3"/>
      <c r="G4" s="3"/>
      <c r="H4" s="226"/>
      <c r="I4" s="226"/>
      <c r="J4" s="10"/>
      <c r="K4" s="209"/>
      <c r="L4" s="209"/>
      <c r="M4" s="14" t="s">
        <v>7</v>
      </c>
      <c r="O4" s="14" t="s">
        <v>8</v>
      </c>
      <c r="P4" s="209"/>
      <c r="Q4" s="111" t="s">
        <v>9</v>
      </c>
      <c r="R4" s="140"/>
    </row>
    <row r="5" spans="1:18" x14ac:dyDescent="0.3">
      <c r="A5" s="92" t="s">
        <v>10</v>
      </c>
      <c r="B5" s="3"/>
      <c r="C5" s="3" t="s">
        <v>11</v>
      </c>
      <c r="D5" s="4"/>
      <c r="E5" s="3"/>
      <c r="F5" s="3"/>
      <c r="G5" s="3"/>
      <c r="J5" s="10"/>
      <c r="M5" s="108" t="str">
        <f>P32</f>
        <v/>
      </c>
      <c r="O5" s="90" t="str">
        <f>I9</f>
        <v/>
      </c>
      <c r="P5" s="14" t="s">
        <v>8</v>
      </c>
      <c r="Q5" s="111" t="s">
        <v>12</v>
      </c>
      <c r="R5" s="140"/>
    </row>
    <row r="6" spans="1:18" s="60" customFormat="1" ht="13.8" customHeight="1" x14ac:dyDescent="0.3">
      <c r="A6" s="220" t="s">
        <v>13</v>
      </c>
      <c r="B6" s="58" t="s">
        <v>14</v>
      </c>
      <c r="C6" s="58" t="s">
        <v>15</v>
      </c>
      <c r="D6" s="221" t="s">
        <v>16</v>
      </c>
      <c r="E6" s="222"/>
      <c r="F6" s="58"/>
      <c r="G6" s="58"/>
      <c r="H6" s="217" t="s">
        <v>17</v>
      </c>
      <c r="I6" s="217" t="s">
        <v>18</v>
      </c>
      <c r="J6" s="217" t="s">
        <v>19</v>
      </c>
      <c r="K6" s="227" t="s">
        <v>298</v>
      </c>
      <c r="L6" s="216" t="s">
        <v>299</v>
      </c>
      <c r="M6" s="14"/>
      <c r="O6" s="115" t="e">
        <f>O5/O3</f>
        <v>#VALUE!</v>
      </c>
      <c r="P6" s="14" t="s">
        <v>280</v>
      </c>
      <c r="Q6" s="111" t="s">
        <v>20</v>
      </c>
      <c r="R6" s="140"/>
    </row>
    <row r="7" spans="1:18" s="60" customFormat="1" ht="13.8" customHeight="1" x14ac:dyDescent="0.3">
      <c r="A7" s="218"/>
      <c r="B7" s="14" t="s">
        <v>21</v>
      </c>
      <c r="C7" s="14" t="s">
        <v>22</v>
      </c>
      <c r="D7" s="58" t="s">
        <v>23</v>
      </c>
      <c r="E7" s="58" t="s">
        <v>24</v>
      </c>
      <c r="F7" s="75"/>
      <c r="G7" s="75"/>
      <c r="H7" s="218"/>
      <c r="I7" s="218"/>
      <c r="J7" s="218"/>
      <c r="K7" s="228"/>
      <c r="L7" s="216"/>
      <c r="M7" s="14"/>
      <c r="O7" s="165" t="e">
        <f>O5/0.85</f>
        <v>#VALUE!</v>
      </c>
      <c r="P7" s="14" t="s">
        <v>281</v>
      </c>
    </row>
    <row r="8" spans="1:18" s="5" customFormat="1" ht="38.4" customHeight="1" x14ac:dyDescent="0.3">
      <c r="A8" s="142" t="s">
        <v>13</v>
      </c>
      <c r="B8" s="143" t="s">
        <v>14</v>
      </c>
      <c r="C8" s="143" t="s">
        <v>25</v>
      </c>
      <c r="D8" s="142" t="s">
        <v>26</v>
      </c>
      <c r="E8" s="142" t="s">
        <v>27</v>
      </c>
      <c r="F8" s="142" t="s">
        <v>28</v>
      </c>
      <c r="G8" s="142" t="s">
        <v>29</v>
      </c>
      <c r="H8" s="142" t="s">
        <v>30</v>
      </c>
      <c r="I8" s="142" t="s">
        <v>18</v>
      </c>
      <c r="J8" s="143" t="s">
        <v>31</v>
      </c>
      <c r="K8" s="142" t="s">
        <v>32</v>
      </c>
      <c r="L8" s="142" t="s">
        <v>33</v>
      </c>
      <c r="M8" s="142" t="s">
        <v>34</v>
      </c>
    </row>
    <row r="9" spans="1:18" s="6" customFormat="1" x14ac:dyDescent="0.3">
      <c r="A9" s="129"/>
      <c r="B9" s="129"/>
      <c r="C9" s="129"/>
      <c r="D9" s="144" t="str">
        <f>IFERROR(VLOOKUP(GERAL_PROJ2[[#This Row],[PONTO]],Tabela13[],2,0),"")</f>
        <v/>
      </c>
      <c r="E9" s="144" t="str">
        <f>IFERROR(VLOOKUP(GERAL_PROJ2[[#This Row],[PONTO]],Tabela13[],3,0),"")</f>
        <v/>
      </c>
      <c r="F9" s="109" t="str">
        <f>IFERROR(VLOOKUP(GERAL_PROJ2[[#This Row],[PONTO]],RAMAIS_ATUAL,24,0),"")</f>
        <v/>
      </c>
      <c r="G9" s="109" t="str">
        <f>IFERROR(SUMIF(GERAL_PROJ2[TRECHO],GERAL_PROJ2[[#This Row],[PONTO]],GERAL_PROJ2[CLT ACUMULADO])+GERAL_PROJ2[[#This Row],[CLIENTES]],"")</f>
        <v/>
      </c>
      <c r="H9" s="110" t="str">
        <f>IFERROR(VLOOKUP(GERAL_PROJ2[[#This Row],[PONTO]],RAMAIS_ATUAL,IF($I$2="SIM",25,23),0),"")</f>
        <v/>
      </c>
      <c r="I9" s="166" t="str">
        <f>IFERROR(  ( IF(  TRIM(UPPER($I$2))="SIM",  VLOOKUP(GERAL_PROJ2[[#This Row],[CLT ACUMULADO]],AUX_CLAN,4,FALSE),  SUMIF(GERAL_PROJ2[TRECHO],GERAL_PROJ2[[#This Row],[PONTO]],GERAL_PROJ2[ACUMULADA])+GERAL_PROJ2[[#This Row],[TOTAL DO TRECHO]]  ) )/ IF($L$6="SIM",0.85,1),"")</f>
        <v/>
      </c>
      <c r="J9" s="110" t="str">
        <f>IFERROR(SQRT((GERAL_PROJ2[[#This Row],[X]]-$P$11)^2+(GERAL_PROJ2[[#This Row],[Y]]-$P$12)^2),"")</f>
        <v/>
      </c>
      <c r="K9" s="129" t="s">
        <v>3</v>
      </c>
      <c r="L9" s="131" t="s">
        <v>35</v>
      </c>
      <c r="M9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>IGNORADO</v>
      </c>
      <c r="O9" s="204" t="s">
        <v>36</v>
      </c>
      <c r="P9" s="205"/>
      <c r="Q9" s="141"/>
      <c r="R9" s="141"/>
    </row>
    <row r="10" spans="1:18" x14ac:dyDescent="0.3">
      <c r="A10" s="130"/>
      <c r="B10" s="130"/>
      <c r="C10" s="130"/>
      <c r="D10" s="145" t="str">
        <f>IFERROR(VLOOKUP(GERAL_PROJ2[[#This Row],[PONTO]],Tabela13[],2,0),"")</f>
        <v/>
      </c>
      <c r="E10" s="145" t="str">
        <f>IFERROR(VLOOKUP(GERAL_PROJ2[[#This Row],[PONTO]],Tabela13[],3,0),"")</f>
        <v/>
      </c>
      <c r="F10" s="112" t="str">
        <f>IFERROR(VLOOKUP(GERAL_PROJ2[[#This Row],[PONTO]],RAMAIS_ATUAL,24,0),"")</f>
        <v/>
      </c>
      <c r="G10" s="112" t="str">
        <f>IFERROR(SUMIF(GERAL_PROJ2[TRECHO],GERAL_PROJ2[[#This Row],[PONTO]],GERAL_PROJ2[CLT ACUMULADO])+GERAL_PROJ2[[#This Row],[CLIENTES]],"")</f>
        <v/>
      </c>
      <c r="H10" s="55" t="str">
        <f>IFERROR(VLOOKUP(GERAL_PROJ2[[#This Row],[PONTO]],RAMAIS_ATUAL,IF($I$2="SIM",25,23),0),"")</f>
        <v/>
      </c>
      <c r="I10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0" s="55" t="str">
        <f>IFERROR(SQRT((GERAL_PROJ2[[#This Row],[X]]-$P$11)^2+(GERAL_PROJ2[[#This Row],[Y]]-$P$12)^2),"")</f>
        <v/>
      </c>
      <c r="K10" s="130"/>
      <c r="L10" s="132"/>
      <c r="M10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0" s="206"/>
      <c r="P10" s="206"/>
      <c r="Q10" s="141"/>
      <c r="R10" s="141"/>
    </row>
    <row r="11" spans="1:18" s="6" customFormat="1" x14ac:dyDescent="0.3">
      <c r="A11" s="130"/>
      <c r="B11" s="130"/>
      <c r="C11" s="130"/>
      <c r="D11" s="145" t="str">
        <f>IFERROR(VLOOKUP(GERAL_PROJ2[[#This Row],[PONTO]],Tabela13[],2,0),"")</f>
        <v/>
      </c>
      <c r="E11" s="145" t="str">
        <f>IFERROR(VLOOKUP(GERAL_PROJ2[[#This Row],[PONTO]],Tabela13[],3,0),"")</f>
        <v/>
      </c>
      <c r="F11" s="112" t="str">
        <f>IFERROR(VLOOKUP(GERAL_PROJ2[[#This Row],[PONTO]],RAMAIS_ATUAL,24,0),"")</f>
        <v/>
      </c>
      <c r="G11" s="112" t="str">
        <f>IFERROR(SUMIF(GERAL_PROJ2[TRECHO],GERAL_PROJ2[[#This Row],[PONTO]],GERAL_PROJ2[CLT ACUMULADO])+GERAL_PROJ2[[#This Row],[CLIENTES]],"")</f>
        <v/>
      </c>
      <c r="H11" s="55" t="str">
        <f>IFERROR(VLOOKUP(GERAL_PROJ2[[#This Row],[PONTO]],RAMAIS_ATUAL,IF($I$2="SIM",25,23),0),"")</f>
        <v/>
      </c>
      <c r="I11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1" s="55" t="str">
        <f>IFERROR(SQRT((GERAL_PROJ2[[#This Row],[X]]-$P$11)^2+(GERAL_PROJ2[[#This Row],[Y]]-$P$12)^2),"")</f>
        <v/>
      </c>
      <c r="K11" s="130"/>
      <c r="L11" s="132"/>
      <c r="M11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1" s="11" t="s">
        <v>26</v>
      </c>
      <c r="P11" s="13" t="str">
        <f>IFERROR(SUMPRODUCT(GERAL_PROJ2[TOTAL DO TRECHO],GERAL_PROJ2[X])/SUM(GERAL_PROJ2[TOTAL DO TRECHO]),"INSERIR DADOS")</f>
        <v>INSERIR DADOS</v>
      </c>
      <c r="Q11" s="141"/>
      <c r="R11" s="141"/>
    </row>
    <row r="12" spans="1:18" x14ac:dyDescent="0.3">
      <c r="A12" s="130"/>
      <c r="B12" s="130"/>
      <c r="C12" s="130"/>
      <c r="D12" s="145" t="str">
        <f>IFERROR(VLOOKUP(GERAL_PROJ2[[#This Row],[PONTO]],Tabela13[],2,0),"")</f>
        <v/>
      </c>
      <c r="E12" s="145" t="str">
        <f>IFERROR(VLOOKUP(GERAL_PROJ2[[#This Row],[PONTO]],Tabela13[],3,0),"")</f>
        <v/>
      </c>
      <c r="F12" s="112" t="str">
        <f>IFERROR(VLOOKUP(GERAL_PROJ2[[#This Row],[PONTO]],RAMAIS_ATUAL,24,0),"")</f>
        <v/>
      </c>
      <c r="G12" s="112" t="str">
        <f>IFERROR(SUMIF(GERAL_PROJ2[TRECHO],GERAL_PROJ2[[#This Row],[PONTO]],GERAL_PROJ2[CLT ACUMULADO])+GERAL_PROJ2[[#This Row],[CLIENTES]],"")</f>
        <v/>
      </c>
      <c r="H12" s="55" t="str">
        <f>IFERROR(VLOOKUP(GERAL_PROJ2[[#This Row],[PONTO]],RAMAIS_ATUAL,IF($I$2="SIM",25,23),0),"")</f>
        <v/>
      </c>
      <c r="I12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2" s="55" t="str">
        <f>IFERROR(SQRT((GERAL_PROJ2[[#This Row],[X]]-$P$11)^2+(GERAL_PROJ2[[#This Row],[Y]]-$P$12)^2),"")</f>
        <v/>
      </c>
      <c r="K12" s="130"/>
      <c r="L12" s="132"/>
      <c r="M12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2" s="12" t="s">
        <v>27</v>
      </c>
      <c r="P12" s="13" t="str">
        <f>IFERROR(SUMPRODUCT(GERAL_PROJ2[ACUMULADA],GERAL_PROJ2[Y])/SUM(GERAL_PROJ2[ACUMULADA]),"INSERIR DADOS")</f>
        <v>INSERIR DADOS</v>
      </c>
      <c r="Q12" s="141"/>
      <c r="R12" s="141"/>
    </row>
    <row r="13" spans="1:18" s="6" customFormat="1" x14ac:dyDescent="0.3">
      <c r="A13" s="130"/>
      <c r="B13" s="130"/>
      <c r="C13" s="130"/>
      <c r="D13" s="145" t="str">
        <f>IFERROR(VLOOKUP(GERAL_PROJ2[[#This Row],[PONTO]],Tabela13[],2,0),"")</f>
        <v/>
      </c>
      <c r="E13" s="145" t="str">
        <f>IFERROR(VLOOKUP(GERAL_PROJ2[[#This Row],[PONTO]],Tabela13[],3,0),"")</f>
        <v/>
      </c>
      <c r="F13" s="112" t="str">
        <f>IFERROR(VLOOKUP(GERAL_PROJ2[[#This Row],[PONTO]],RAMAIS_ATUAL,24,0),"")</f>
        <v/>
      </c>
      <c r="G13" s="112" t="str">
        <f>IFERROR(SUMIF(GERAL_PROJ2[TRECHO],GERAL_PROJ2[[#This Row],[PONTO]],GERAL_PROJ2[CLT ACUMULADO])+GERAL_PROJ2[[#This Row],[CLIENTES]],"")</f>
        <v/>
      </c>
      <c r="H13" s="55" t="str">
        <f>IFERROR(VLOOKUP(GERAL_PROJ2[[#This Row],[PONTO]],RAMAIS_ATUAL,IF($I$2="SIM",25,23),0),"")</f>
        <v/>
      </c>
      <c r="I13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3" s="55" t="str">
        <f>IFERROR(SQRT((GERAL_PROJ2[[#This Row],[X]]-$P$11)^2+(GERAL_PROJ2[[#This Row],[Y]]-$P$12)^2),"")</f>
        <v/>
      </c>
      <c r="K13" s="130"/>
      <c r="L13" s="132"/>
      <c r="M13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Q13" s="141"/>
      <c r="R13" s="141"/>
    </row>
    <row r="14" spans="1:18" x14ac:dyDescent="0.3">
      <c r="A14" s="130"/>
      <c r="B14" s="130"/>
      <c r="C14" s="130"/>
      <c r="D14" s="145" t="str">
        <f>IFERROR(VLOOKUP(GERAL_PROJ2[[#This Row],[PONTO]],Tabela13[],2,0),"")</f>
        <v/>
      </c>
      <c r="E14" s="145" t="str">
        <f>IFERROR(VLOOKUP(GERAL_PROJ2[[#This Row],[PONTO]],Tabela13[],3,0),"")</f>
        <v/>
      </c>
      <c r="F14" s="112" t="str">
        <f>IFERROR(VLOOKUP(GERAL_PROJ2[[#This Row],[PONTO]],RAMAIS_ATUAL,24,0),"")</f>
        <v/>
      </c>
      <c r="G14" s="112" t="str">
        <f>IFERROR(SUMIF(GERAL_PROJ2[TRECHO],GERAL_PROJ2[[#This Row],[PONTO]],GERAL_PROJ2[CLT ACUMULADO])+GERAL_PROJ2[[#This Row],[CLIENTES]],"")</f>
        <v/>
      </c>
      <c r="H14" s="55" t="str">
        <f>IFERROR(VLOOKUP(GERAL_PROJ2[[#This Row],[PONTO]],RAMAIS_ATUAL,IF($I$2="SIM",25,23),0),"")</f>
        <v/>
      </c>
      <c r="I14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4" s="55" t="str">
        <f>IFERROR(SQRT((GERAL_PROJ2[[#This Row],[X]]-$P$11)^2+(GERAL_PROJ2[[#This Row],[Y]]-$P$12)^2),"")</f>
        <v/>
      </c>
      <c r="K14" s="130"/>
      <c r="L14" s="132"/>
      <c r="M14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4" s="204" t="s">
        <v>37</v>
      </c>
      <c r="P14" s="205"/>
      <c r="Q14" s="141"/>
      <c r="R14" s="141"/>
    </row>
    <row r="15" spans="1:18" s="6" customFormat="1" x14ac:dyDescent="0.3">
      <c r="A15" s="130"/>
      <c r="B15" s="130"/>
      <c r="C15" s="130"/>
      <c r="D15" s="145" t="str">
        <f>IFERROR(VLOOKUP(GERAL_PROJ2[[#This Row],[PONTO]],Tabela13[],2,0),"")</f>
        <v/>
      </c>
      <c r="E15" s="145" t="str">
        <f>IFERROR(VLOOKUP(GERAL_PROJ2[[#This Row],[PONTO]],Tabela13[],3,0),"")</f>
        <v/>
      </c>
      <c r="F15" s="112" t="str">
        <f>IFERROR(VLOOKUP(GERAL_PROJ2[[#This Row],[PONTO]],RAMAIS_ATUAL,24,0),"")</f>
        <v/>
      </c>
      <c r="G15" s="112" t="str">
        <f>IFERROR(SUMIF(GERAL_PROJ2[TRECHO],GERAL_PROJ2[[#This Row],[PONTO]],GERAL_PROJ2[CLT ACUMULADO])+GERAL_PROJ2[[#This Row],[CLIENTES]],"")</f>
        <v/>
      </c>
      <c r="H15" s="55" t="str">
        <f>IFERROR(VLOOKUP(GERAL_PROJ2[[#This Row],[PONTO]],RAMAIS_ATUAL,IF($I$2="SIM",25,23),0),"")</f>
        <v/>
      </c>
      <c r="I15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5" s="55" t="str">
        <f>IFERROR(SQRT((GERAL_PROJ2[[#This Row],[X]]-$P$11)^2+(GERAL_PROJ2[[#This Row],[Y]]-$P$12)^2),"")</f>
        <v/>
      </c>
      <c r="K15" s="130"/>
      <c r="L15" s="132"/>
      <c r="M15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5" s="206"/>
      <c r="P15" s="206"/>
      <c r="Q15" s="141"/>
      <c r="R15" s="141"/>
    </row>
    <row r="16" spans="1:18" x14ac:dyDescent="0.3">
      <c r="A16" s="130"/>
      <c r="B16" s="130"/>
      <c r="C16" s="130"/>
      <c r="D16" s="145" t="str">
        <f>IFERROR(VLOOKUP(GERAL_PROJ2[[#This Row],[PONTO]],Tabela13[],2,0),"")</f>
        <v/>
      </c>
      <c r="E16" s="145" t="str">
        <f>IFERROR(VLOOKUP(GERAL_PROJ2[[#This Row],[PONTO]],Tabela13[],3,0),"")</f>
        <v/>
      </c>
      <c r="F16" s="112" t="str">
        <f>IFERROR(VLOOKUP(GERAL_PROJ2[[#This Row],[PONTO]],RAMAIS_ATUAL,24,0),"")</f>
        <v/>
      </c>
      <c r="G16" s="112" t="str">
        <f>IFERROR(SUMIF(GERAL_PROJ2[TRECHO],GERAL_PROJ2[[#This Row],[PONTO]],GERAL_PROJ2[CLT ACUMULADO])+GERAL_PROJ2[[#This Row],[CLIENTES]],"")</f>
        <v/>
      </c>
      <c r="H16" s="55" t="str">
        <f>IFERROR(VLOOKUP(GERAL_PROJ2[[#This Row],[PONTO]],RAMAIS_ATUAL,IF($I$2="SIM",25,23),0),"")</f>
        <v/>
      </c>
      <c r="I16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6" s="55" t="str">
        <f>IFERROR(SQRT((GERAL_PROJ2[[#This Row],[X]]-$P$11)^2+(GERAL_PROJ2[[#This Row],[Y]]-$P$12)^2),"")</f>
        <v/>
      </c>
      <c r="K16" s="130"/>
      <c r="L16" s="132"/>
      <c r="M16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6" s="210" t="e">
        <f>INDEX(GERAL_PROJ2[PONTO],MATCH(MIN(GERAL_PROJ2[SNAP]),GERAL_PROJ2[SNAP],0))</f>
        <v>#N/A</v>
      </c>
      <c r="P16" s="203"/>
    </row>
    <row r="17" spans="1:18" s="6" customFormat="1" x14ac:dyDescent="0.3">
      <c r="A17" s="130"/>
      <c r="B17" s="130"/>
      <c r="C17" s="130"/>
      <c r="D17" s="145" t="str">
        <f>IFERROR(VLOOKUP(GERAL_PROJ2[[#This Row],[PONTO]],Tabela13[],2,0),"")</f>
        <v/>
      </c>
      <c r="E17" s="145" t="str">
        <f>IFERROR(VLOOKUP(GERAL_PROJ2[[#This Row],[PONTO]],Tabela13[],3,0),"")</f>
        <v/>
      </c>
      <c r="F17" s="112" t="str">
        <f>IFERROR(VLOOKUP(GERAL_PROJ2[[#This Row],[PONTO]],RAMAIS_ATUAL,24,0),"")</f>
        <v/>
      </c>
      <c r="G17" s="112" t="str">
        <f>IFERROR(SUMIF(GERAL_PROJ2[TRECHO],GERAL_PROJ2[[#This Row],[PONTO]],GERAL_PROJ2[CLT ACUMULADO])+GERAL_PROJ2[[#This Row],[CLIENTES]],"")</f>
        <v/>
      </c>
      <c r="H17" s="55" t="str">
        <f>IFERROR(VLOOKUP(GERAL_PROJ2[[#This Row],[PONTO]],RAMAIS_ATUAL,IF($I$2="SIM",25,23),0),"")</f>
        <v/>
      </c>
      <c r="I17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7" s="55" t="str">
        <f>IFERROR(SQRT((GERAL_PROJ2[[#This Row],[X]]-$P$11)^2+(GERAL_PROJ2[[#This Row],[Y]]-$P$12)^2),"")</f>
        <v/>
      </c>
      <c r="K17" s="130"/>
      <c r="L17" s="132"/>
      <c r="M17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Q17" s="141"/>
      <c r="R17" s="141"/>
    </row>
    <row r="18" spans="1:18" x14ac:dyDescent="0.3">
      <c r="A18" s="130"/>
      <c r="B18" s="130"/>
      <c r="C18" s="130"/>
      <c r="D18" s="145" t="str">
        <f>IFERROR(VLOOKUP(GERAL_PROJ2[[#This Row],[PONTO]],Tabela13[],2,0),"")</f>
        <v/>
      </c>
      <c r="E18" s="145" t="str">
        <f>IFERROR(VLOOKUP(GERAL_PROJ2[[#This Row],[PONTO]],Tabela13[],3,0),"")</f>
        <v/>
      </c>
      <c r="F18" s="112" t="str">
        <f>IFERROR(VLOOKUP(GERAL_PROJ2[[#This Row],[PONTO]],RAMAIS_ATUAL,24,0),"")</f>
        <v/>
      </c>
      <c r="G18" s="112" t="str">
        <f>IFERROR(SUMIF(GERAL_PROJ2[TRECHO],GERAL_PROJ2[[#This Row],[PONTO]],GERAL_PROJ2[CLT ACUMULADO])+GERAL_PROJ2[[#This Row],[CLIENTES]],"")</f>
        <v/>
      </c>
      <c r="H18" s="55" t="str">
        <f>IFERROR(VLOOKUP(GERAL_PROJ2[[#This Row],[PONTO]],RAMAIS_ATUAL,IF($I$2="SIM",25,23),0),"")</f>
        <v/>
      </c>
      <c r="I18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8" s="55" t="str">
        <f>IFERROR(SQRT((GERAL_PROJ2[[#This Row],[X]]-$P$11)^2+(GERAL_PROJ2[[#This Row],[Y]]-$P$12)^2),"")</f>
        <v/>
      </c>
      <c r="K18" s="130"/>
      <c r="L18" s="132"/>
      <c r="M18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8" s="214" t="s">
        <v>44</v>
      </c>
      <c r="P18" s="205"/>
      <c r="Q18" s="141"/>
      <c r="R18" s="141"/>
    </row>
    <row r="19" spans="1:18" s="6" customFormat="1" x14ac:dyDescent="0.3">
      <c r="A19" s="130"/>
      <c r="B19" s="130"/>
      <c r="C19" s="130"/>
      <c r="D19" s="145" t="str">
        <f>IFERROR(VLOOKUP(GERAL_PROJ2[[#This Row],[PONTO]],Tabela13[],2,0),"")</f>
        <v/>
      </c>
      <c r="E19" s="145" t="str">
        <f>IFERROR(VLOOKUP(GERAL_PROJ2[[#This Row],[PONTO]],Tabela13[],3,0),"")</f>
        <v/>
      </c>
      <c r="F19" s="112" t="str">
        <f>IFERROR(VLOOKUP(GERAL_PROJ2[[#This Row],[PONTO]],RAMAIS_ATUAL,24,0),"")</f>
        <v/>
      </c>
      <c r="G19" s="112" t="str">
        <f>IFERROR(SUMIF(GERAL_PROJ2[TRECHO],GERAL_PROJ2[[#This Row],[PONTO]],GERAL_PROJ2[CLT ACUMULADO])+GERAL_PROJ2[[#This Row],[CLIENTES]],"")</f>
        <v/>
      </c>
      <c r="H19" s="55" t="str">
        <f>IFERROR(VLOOKUP(GERAL_PROJ2[[#This Row],[PONTO]],RAMAIS_ATUAL,IF($I$2="SIM",25,23),0),"")</f>
        <v/>
      </c>
      <c r="I19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19" s="55" t="str">
        <f>IFERROR(SQRT((GERAL_PROJ2[[#This Row],[X]]-$P$11)^2+(GERAL_PROJ2[[#This Row],[Y]]-$P$12)^2),"")</f>
        <v/>
      </c>
      <c r="K19" s="130"/>
      <c r="L19" s="132"/>
      <c r="M19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19" s="206"/>
      <c r="P19" s="206"/>
      <c r="Q19" s="141"/>
      <c r="R19" s="141"/>
    </row>
    <row r="20" spans="1:18" x14ac:dyDescent="0.3">
      <c r="A20" s="130"/>
      <c r="B20" s="130"/>
      <c r="C20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0" s="145" t="str">
        <f>IFERROR(VLOOKUP(GERAL_PROJ2[[#This Row],[PONTO]],Tabela13[],2,0),"")</f>
        <v/>
      </c>
      <c r="E20" s="145" t="str">
        <f>IFERROR(VLOOKUP(GERAL_PROJ2[[#This Row],[PONTO]],Tabela13[],3,0),"")</f>
        <v/>
      </c>
      <c r="F20" s="112" t="str">
        <f>IFERROR(VLOOKUP(GERAL_PROJ2[[#This Row],[PONTO]],RAMAIS_ATUAL,24,0),"")</f>
        <v/>
      </c>
      <c r="G20" s="112" t="str">
        <f>IFERROR(SUMIF(GERAL_PROJ2[TRECHO],GERAL_PROJ2[[#This Row],[PONTO]],GERAL_PROJ2[CLT ACUMULADO])+GERAL_PROJ2[[#This Row],[CLIENTES]],"")</f>
        <v/>
      </c>
      <c r="H20" s="55" t="str">
        <f>IFERROR(VLOOKUP(GERAL_PROJ2[[#This Row],[PONTO]],RAMAIS_ATUAL,IF($I$2="SIM",25,23),0),"")</f>
        <v/>
      </c>
      <c r="I20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0" s="55" t="str">
        <f>IFERROR(SQRT((GERAL_PROJ2[[#This Row],[X]]-$P$11)^2+(GERAL_PROJ2[[#This Row],[Y]]-$P$12)^2),"")</f>
        <v/>
      </c>
      <c r="K20" s="130"/>
      <c r="L20" s="132"/>
      <c r="M20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0" s="207">
        <f>O25/400</f>
        <v>0</v>
      </c>
      <c r="P20" s="203"/>
      <c r="Q20" s="141"/>
      <c r="R20" s="141"/>
    </row>
    <row r="21" spans="1:18" s="6" customFormat="1" x14ac:dyDescent="0.3">
      <c r="A21" s="130"/>
      <c r="B21" s="130"/>
      <c r="C21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1" s="145" t="str">
        <f>IFERROR(VLOOKUP(GERAL_PROJ2[[#This Row],[PONTO]],Tabela13[],2,0),"")</f>
        <v/>
      </c>
      <c r="E21" s="145" t="str">
        <f>IFERROR(VLOOKUP(GERAL_PROJ2[[#This Row],[PONTO]],Tabela13[],3,0),"")</f>
        <v/>
      </c>
      <c r="F21" s="112" t="str">
        <f>IFERROR(VLOOKUP(GERAL_PROJ2[[#This Row],[PONTO]],RAMAIS_ATUAL,24,0),"")</f>
        <v/>
      </c>
      <c r="G21" s="112" t="str">
        <f>IFERROR(SUMIF(GERAL_PROJ2[TRECHO],GERAL_PROJ2[[#This Row],[PONTO]],GERAL_PROJ2[CLT ACUMULADO])+GERAL_PROJ2[[#This Row],[CLIENTES]],"")</f>
        <v/>
      </c>
      <c r="H21" s="55" t="str">
        <f>IFERROR(VLOOKUP(GERAL_PROJ2[[#This Row],[PONTO]],RAMAIS_ATUAL,IF($I$2="SIM",25,23),0),"")</f>
        <v/>
      </c>
      <c r="I21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1" s="55" t="str">
        <f>IFERROR(SQRT((GERAL_PROJ2[[#This Row],[X]]-$P$11)^2+(GERAL_PROJ2[[#This Row],[Y]]-$P$12)^2),"")</f>
        <v/>
      </c>
      <c r="K21" s="130"/>
      <c r="L21" s="132"/>
      <c r="M21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1" s="212" t="s">
        <v>49</v>
      </c>
      <c r="P21" s="213"/>
      <c r="Q21" s="141"/>
      <c r="R21" s="141"/>
    </row>
    <row r="22" spans="1:18" x14ac:dyDescent="0.3">
      <c r="A22" s="130"/>
      <c r="B22" s="130"/>
      <c r="C22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2" s="145" t="str">
        <f>IFERROR(VLOOKUP(GERAL_PROJ2[[#This Row],[PONTO]],Tabela13[],2,0),"")</f>
        <v/>
      </c>
      <c r="E22" s="145" t="str">
        <f>IFERROR(VLOOKUP(GERAL_PROJ2[[#This Row],[PONTO]],Tabela13[],3,0),"")</f>
        <v/>
      </c>
      <c r="F22" s="112" t="str">
        <f>IFERROR(VLOOKUP(GERAL_PROJ2[[#This Row],[PONTO]],RAMAIS_ATUAL,24,0),"")</f>
        <v/>
      </c>
      <c r="G22" s="112" t="str">
        <f>IFERROR(SUMIF(GERAL_PROJ2[TRECHO],GERAL_PROJ2[[#This Row],[PONTO]],GERAL_PROJ2[CLT ACUMULADO])+GERAL_PROJ2[[#This Row],[CLIENTES]],"")</f>
        <v/>
      </c>
      <c r="H22" s="55" t="str">
        <f>IFERROR(VLOOKUP(GERAL_PROJ2[[#This Row],[PONTO]],RAMAIS_ATUAL,IF($I$2="SIM",25,23),0),"")</f>
        <v/>
      </c>
      <c r="I22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2" s="55" t="str">
        <f>IFERROR(SQRT((GERAL_PROJ2[[#This Row],[X]]-$P$11)^2+(GERAL_PROJ2[[#This Row],[Y]]-$P$12)^2),"")</f>
        <v/>
      </c>
      <c r="K22" s="130"/>
      <c r="L22" s="132"/>
      <c r="M22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Q22" s="141"/>
      <c r="R22" s="141"/>
    </row>
    <row r="23" spans="1:18" s="6" customFormat="1" x14ac:dyDescent="0.3">
      <c r="A23" s="130"/>
      <c r="B23" s="130"/>
      <c r="C23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3" s="145" t="str">
        <f>IFERROR(VLOOKUP(GERAL_PROJ2[[#This Row],[PONTO]],Tabela13[],2,0),"")</f>
        <v/>
      </c>
      <c r="E23" s="145" t="str">
        <f>IFERROR(VLOOKUP(GERAL_PROJ2[[#This Row],[PONTO]],Tabela13[],3,0),"")</f>
        <v/>
      </c>
      <c r="F23" s="112" t="str">
        <f>IFERROR(VLOOKUP(GERAL_PROJ2[[#This Row],[PONTO]],RAMAIS_ATUAL,24,0),"")</f>
        <v/>
      </c>
      <c r="G23" s="112" t="str">
        <f>IFERROR(SUMIF(GERAL_PROJ2[TRECHO],GERAL_PROJ2[[#This Row],[PONTO]],GERAL_PROJ2[CLT ACUMULADO])+GERAL_PROJ2[[#This Row],[CLIENTES]],"")</f>
        <v/>
      </c>
      <c r="H23" s="55" t="str">
        <f>IFERROR(VLOOKUP(GERAL_PROJ2[[#This Row],[PONTO]],RAMAIS_ATUAL,IF($I$2="SIM",25,23),0),"")</f>
        <v/>
      </c>
      <c r="I23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3" s="55" t="str">
        <f>IFERROR(SQRT((GERAL_PROJ2[[#This Row],[X]]-$P$11)^2+(GERAL_PROJ2[[#This Row],[Y]]-$P$12)^2),"")</f>
        <v/>
      </c>
      <c r="K23" s="130"/>
      <c r="L23" s="132"/>
      <c r="M23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3" s="204" t="s">
        <v>52</v>
      </c>
      <c r="P23" s="205"/>
      <c r="Q23" s="141"/>
      <c r="R23" s="141"/>
    </row>
    <row r="24" spans="1:18" x14ac:dyDescent="0.3">
      <c r="A24" s="130"/>
      <c r="B24" s="130"/>
      <c r="C24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4" s="145" t="str">
        <f>IFERROR(VLOOKUP(GERAL_PROJ2[[#This Row],[PONTO]],Tabela13[],2,0),"")</f>
        <v/>
      </c>
      <c r="E24" s="145" t="str">
        <f>IFERROR(VLOOKUP(GERAL_PROJ2[[#This Row],[PONTO]],Tabela13[],3,0),"")</f>
        <v/>
      </c>
      <c r="F24" s="112" t="str">
        <f>IFERROR(VLOOKUP(GERAL_PROJ2[[#This Row],[PONTO]],RAMAIS_ATUAL,24,0),"")</f>
        <v/>
      </c>
      <c r="G24" s="112" t="str">
        <f>IFERROR(SUMIF(GERAL_PROJ2[TRECHO],GERAL_PROJ2[[#This Row],[PONTO]],GERAL_PROJ2[CLT ACUMULADO])+GERAL_PROJ2[[#This Row],[CLIENTES]],"")</f>
        <v/>
      </c>
      <c r="H24" s="55" t="str">
        <f>IFERROR(VLOOKUP(GERAL_PROJ2[[#This Row],[PONTO]],RAMAIS_ATUAL,IF($I$2="SIM",25,23),0),"")</f>
        <v/>
      </c>
      <c r="I24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4" s="55" t="str">
        <f>IFERROR(SQRT((GERAL_PROJ2[[#This Row],[X]]-$P$11)^2+(GERAL_PROJ2[[#This Row],[Y]]-$P$12)^2),"")</f>
        <v/>
      </c>
      <c r="K24" s="130"/>
      <c r="L24" s="132"/>
      <c r="M24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4" s="206"/>
      <c r="P24" s="206"/>
    </row>
    <row r="25" spans="1:18" x14ac:dyDescent="0.3">
      <c r="A25" s="130"/>
      <c r="B25" s="130"/>
      <c r="C25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5" s="111" t="str">
        <f>IFERROR(VLOOKUP(GERAL_PROJ2[[#This Row],[PONTO]],Tabela13[],2,0),"")</f>
        <v/>
      </c>
      <c r="E25" s="111" t="str">
        <f>IFERROR(VLOOKUP(GERAL_PROJ2[[#This Row],[PONTO]],Tabela13[],3,0),"")</f>
        <v/>
      </c>
      <c r="F25" s="112" t="str">
        <f>IFERROR(VLOOKUP(GERAL_PROJ2[[#This Row],[PONTO]],RAMAIS_ATUAL,24,0),"")</f>
        <v/>
      </c>
      <c r="G25" s="112" t="str">
        <f>IFERROR(SUMIF(GERAL_PROJ2[TRECHO],GERAL_PROJ2[[#This Row],[PONTO]],GERAL_PROJ2[CLT ACUMULADO])+GERAL_PROJ2[[#This Row],[CLIENTES]],"")</f>
        <v/>
      </c>
      <c r="H25" s="55" t="str">
        <f>IFERROR(VLOOKUP(GERAL_PROJ2[[#This Row],[PONTO]],RAMAIS_ATUAL,IF($I$2="SIM",25,23),0),"")</f>
        <v/>
      </c>
      <c r="I25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5" s="55" t="str">
        <f>IFERROR(SQRT((GERAL_PROJ2[[#This Row],[X]]-$P$11)^2+(GERAL_PROJ2[[#This Row],[Y]]-$P$12)^2),"")</f>
        <v/>
      </c>
      <c r="K25" s="130"/>
      <c r="L25" s="132"/>
      <c r="M25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5" s="211">
        <f>SUM(GERAL_PROJ2[M])</f>
        <v>0</v>
      </c>
      <c r="P25" s="203"/>
    </row>
    <row r="26" spans="1:18" x14ac:dyDescent="0.3">
      <c r="A26" s="130"/>
      <c r="B26" s="130"/>
      <c r="C26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6" s="111" t="str">
        <f>IFERROR(VLOOKUP(GERAL_PROJ2[[#This Row],[PONTO]],Tabela13[],2,0),"")</f>
        <v/>
      </c>
      <c r="E26" s="111" t="str">
        <f>IFERROR(VLOOKUP(GERAL_PROJ2[[#This Row],[PONTO]],Tabela13[],3,0),"")</f>
        <v/>
      </c>
      <c r="F26" s="112" t="str">
        <f>IFERROR(VLOOKUP(GERAL_PROJ2[[#This Row],[PONTO]],RAMAIS_ATUAL,24,0),"")</f>
        <v/>
      </c>
      <c r="G26" s="112" t="str">
        <f>IFERROR(SUMIF(GERAL_PROJ2[TRECHO],GERAL_PROJ2[[#This Row],[PONTO]],GERAL_PROJ2[CLT ACUMULADO])+GERAL_PROJ2[[#This Row],[CLIENTES]],"")</f>
        <v/>
      </c>
      <c r="H26" s="55" t="str">
        <f>IFERROR(VLOOKUP(GERAL_PROJ2[[#This Row],[PONTO]],RAMAIS_ATUAL,IF($I$2="SIM",25,23),0),"")</f>
        <v/>
      </c>
      <c r="I26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6" s="55" t="str">
        <f>IFERROR(SQRT((GERAL_PROJ2[[#This Row],[X]]-$P$11)^2+(GERAL_PROJ2[[#This Row],[Y]]-$P$12)^2),"")</f>
        <v/>
      </c>
      <c r="K26" s="130"/>
      <c r="L26" s="132"/>
      <c r="M26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27" spans="1:18" x14ac:dyDescent="0.3">
      <c r="A27" s="130"/>
      <c r="B27" s="130"/>
      <c r="C27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7" s="111" t="str">
        <f>IFERROR(VLOOKUP(GERAL_PROJ2[[#This Row],[PONTO]],Tabela13[],2,0),"")</f>
        <v/>
      </c>
      <c r="E27" s="111" t="str">
        <f>IFERROR(VLOOKUP(GERAL_PROJ2[[#This Row],[PONTO]],Tabela13[],3,0),"")</f>
        <v/>
      </c>
      <c r="F27" s="112" t="str">
        <f>IFERROR(VLOOKUP(GERAL_PROJ2[[#This Row],[PONTO]],RAMAIS_ATUAL,24,0),"")</f>
        <v/>
      </c>
      <c r="G27" s="112" t="str">
        <f>IFERROR(SUMIF(GERAL_PROJ2[TRECHO],GERAL_PROJ2[[#This Row],[PONTO]],GERAL_PROJ2[CLT ACUMULADO])+GERAL_PROJ2[[#This Row],[CLIENTES]],"")</f>
        <v/>
      </c>
      <c r="H27" s="55" t="str">
        <f>IFERROR(VLOOKUP(GERAL_PROJ2[[#This Row],[PONTO]],RAMAIS_ATUAL,IF($I$2="SIM",25,23),0),"")</f>
        <v/>
      </c>
      <c r="I27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7" s="55" t="str">
        <f>IFERROR(SQRT((GERAL_PROJ2[[#This Row],[X]]-$P$11)^2+(GERAL_PROJ2[[#This Row],[Y]]-$P$12)^2),"")</f>
        <v/>
      </c>
      <c r="K27" s="130"/>
      <c r="L27" s="132"/>
      <c r="M27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7" s="204" t="s">
        <v>53</v>
      </c>
      <c r="P27" s="205"/>
    </row>
    <row r="28" spans="1:18" x14ac:dyDescent="0.3">
      <c r="A28" s="130"/>
      <c r="B28" s="130"/>
      <c r="C28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8" s="111" t="str">
        <f>IFERROR(VLOOKUP(GERAL_PROJ2[[#This Row],[PONTO]],Tabela13[],2,0),"")</f>
        <v/>
      </c>
      <c r="E28" s="111" t="str">
        <f>IFERROR(VLOOKUP(GERAL_PROJ2[[#This Row],[PONTO]],Tabela13[],3,0),"")</f>
        <v/>
      </c>
      <c r="F28" s="112" t="str">
        <f>IFERROR(VLOOKUP(GERAL_PROJ2[[#This Row],[PONTO]],RAMAIS_ATUAL,24,0),"")</f>
        <v/>
      </c>
      <c r="G28" s="112" t="str">
        <f>IFERROR(SUMIF(GERAL_PROJ2[TRECHO],GERAL_PROJ2[[#This Row],[PONTO]],GERAL_PROJ2[CLT ACUMULADO])+GERAL_PROJ2[[#This Row],[CLIENTES]],"")</f>
        <v/>
      </c>
      <c r="H28" s="55" t="str">
        <f>IFERROR(VLOOKUP(GERAL_PROJ2[[#This Row],[PONTO]],RAMAIS_ATUAL,IF($I$2="SIM",25,23),0),"")</f>
        <v/>
      </c>
      <c r="I28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8" s="55" t="str">
        <f>IFERROR(SQRT((GERAL_PROJ2[[#This Row],[X]]-$P$11)^2+(GERAL_PROJ2[[#This Row],[Y]]-$P$12)^2),"")</f>
        <v/>
      </c>
      <c r="K28" s="130"/>
      <c r="L28" s="132"/>
      <c r="M28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8" s="206"/>
      <c r="P28" s="206"/>
    </row>
    <row r="29" spans="1:18" x14ac:dyDescent="0.3">
      <c r="A29" s="130"/>
      <c r="B29" s="130"/>
      <c r="C29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29" s="111" t="str">
        <f>IFERROR(VLOOKUP(GERAL_PROJ2[[#This Row],[PONTO]],Tabela13[],2,0),"")</f>
        <v/>
      </c>
      <c r="E29" s="111" t="str">
        <f>IFERROR(VLOOKUP(GERAL_PROJ2[[#This Row],[PONTO]],Tabela13[],3,0),"")</f>
        <v/>
      </c>
      <c r="F29" s="112" t="str">
        <f>IFERROR(VLOOKUP(GERAL_PROJ2[[#This Row],[PONTO]],RAMAIS_ATUAL,24,0),"")</f>
        <v/>
      </c>
      <c r="G29" s="112" t="str">
        <f>IFERROR(SUMIF(GERAL_PROJ2[TRECHO],GERAL_PROJ2[[#This Row],[PONTO]],GERAL_PROJ2[CLT ACUMULADO])+GERAL_PROJ2[[#This Row],[CLIENTES]],"")</f>
        <v/>
      </c>
      <c r="H29" s="55" t="str">
        <f>IFERROR(VLOOKUP(GERAL_PROJ2[[#This Row],[PONTO]],RAMAIS_ATUAL,IF($I$2="SIM",25,23),0),"")</f>
        <v/>
      </c>
      <c r="I29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29" s="55" t="str">
        <f>IFERROR(SQRT((GERAL_PROJ2[[#This Row],[X]]-$P$11)^2+(GERAL_PROJ2[[#This Row],[Y]]-$P$12)^2),"")</f>
        <v/>
      </c>
      <c r="K29" s="130"/>
      <c r="L29" s="132"/>
      <c r="M29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29" s="202">
        <f>DMDI</f>
        <v>1.88</v>
      </c>
      <c r="P29" s="203"/>
    </row>
    <row r="30" spans="1:18" x14ac:dyDescent="0.3">
      <c r="A30" s="130"/>
      <c r="B30" s="130"/>
      <c r="C30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0" s="111" t="str">
        <f>IFERROR(VLOOKUP(GERAL_PROJ2[[#This Row],[PONTO]],Tabela13[],2,0),"")</f>
        <v/>
      </c>
      <c r="E30" s="111" t="str">
        <f>IFERROR(VLOOKUP(GERAL_PROJ2[[#This Row],[PONTO]],Tabela13[],3,0),"")</f>
        <v/>
      </c>
      <c r="F30" s="112" t="str">
        <f>IFERROR(VLOOKUP(GERAL_PROJ2[[#This Row],[PONTO]],RAMAIS_ATUAL,24,0),"")</f>
        <v/>
      </c>
      <c r="G30" s="112" t="str">
        <f>IFERROR(SUMIF(GERAL_PROJ2[TRECHO],GERAL_PROJ2[[#This Row],[PONTO]],GERAL_PROJ2[CLT ACUMULADO])+GERAL_PROJ2[[#This Row],[CLIENTES]],"")</f>
        <v/>
      </c>
      <c r="H30" s="55" t="str">
        <f>IFERROR(VLOOKUP(GERAL_PROJ2[[#This Row],[PONTO]],RAMAIS_ATUAL,IF($I$2="SIM",25,23),0),"")</f>
        <v/>
      </c>
      <c r="I30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0" s="55" t="str">
        <f>IFERROR(SQRT((GERAL_PROJ2[[#This Row],[X]]-$P$11)^2+(GERAL_PROJ2[[#This Row],[Y]]-$P$12)^2),"")</f>
        <v/>
      </c>
      <c r="K30" s="130"/>
      <c r="L30" s="132"/>
      <c r="M30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31" spans="1:18" x14ac:dyDescent="0.3">
      <c r="A31" s="130"/>
      <c r="B31" s="130"/>
      <c r="C31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1" s="111" t="str">
        <f>IFERROR(VLOOKUP(GERAL_PROJ2[[#This Row],[PONTO]],Tabela13[],2,0),"")</f>
        <v/>
      </c>
      <c r="E31" s="111" t="str">
        <f>IFERROR(VLOOKUP(GERAL_PROJ2[[#This Row],[PONTO]],Tabela13[],3,0),"")</f>
        <v/>
      </c>
      <c r="F31" s="112" t="str">
        <f>IFERROR(VLOOKUP(GERAL_PROJ2[[#This Row],[PONTO]],RAMAIS_ATUAL,24,0),"")</f>
        <v/>
      </c>
      <c r="G31" s="112" t="str">
        <f>IFERROR(SUMIF(GERAL_PROJ2[TRECHO],GERAL_PROJ2[[#This Row],[PONTO]],GERAL_PROJ2[CLT ACUMULADO])+GERAL_PROJ2[[#This Row],[CLIENTES]],"")</f>
        <v/>
      </c>
      <c r="H31" s="55" t="str">
        <f>IFERROR(VLOOKUP(GERAL_PROJ2[[#This Row],[PONTO]],RAMAIS_ATUAL,IF($I$2="SIM",25,23),0),"")</f>
        <v/>
      </c>
      <c r="I31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1" s="55" t="str">
        <f>IFERROR(SQRT((GERAL_PROJ2[[#This Row],[X]]-$P$11)^2+(GERAL_PROJ2[[#This Row],[Y]]-$P$12)^2),"")</f>
        <v/>
      </c>
      <c r="K31" s="130"/>
      <c r="L31" s="132"/>
      <c r="M31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31" s="14" t="s">
        <v>2</v>
      </c>
      <c r="P31" s="91" t="str">
        <f>VLOOKUP("RAMAL",ESQ_PROJ2[[PONTO]:[ETA]],16,0)</f>
        <v/>
      </c>
    </row>
    <row r="32" spans="1:18" x14ac:dyDescent="0.3">
      <c r="A32" s="130"/>
      <c r="B32" s="130"/>
      <c r="C32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2" s="111" t="str">
        <f>IFERROR(VLOOKUP(GERAL_PROJ2[[#This Row],[PONTO]],Tabela13[],2,0),"")</f>
        <v/>
      </c>
      <c r="E32" s="111" t="str">
        <f>IFERROR(VLOOKUP(GERAL_PROJ2[[#This Row],[PONTO]],Tabela13[],3,0),"")</f>
        <v/>
      </c>
      <c r="F32" s="112" t="str">
        <f>IFERROR(VLOOKUP(GERAL_PROJ2[[#This Row],[PONTO]],RAMAIS_ATUAL,24,0),"")</f>
        <v/>
      </c>
      <c r="G32" s="112" t="str">
        <f>IFERROR(SUMIF(GERAL_PROJ2[TRECHO],GERAL_PROJ2[[#This Row],[PONTO]],GERAL_PROJ2[CLT ACUMULADO])+GERAL_PROJ2[[#This Row],[CLIENTES]],"")</f>
        <v/>
      </c>
      <c r="H32" s="55" t="str">
        <f>IFERROR(VLOOKUP(GERAL_PROJ2[[#This Row],[PONTO]],RAMAIS_ATUAL,IF($I$2="SIM",25,23),0),"")</f>
        <v/>
      </c>
      <c r="I32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2" s="55" t="str">
        <f>IFERROR(SQRT((GERAL_PROJ2[[#This Row],[X]]-$P$11)^2+(GERAL_PROJ2[[#This Row],[Y]]-$P$12)^2),"")</f>
        <v/>
      </c>
      <c r="K32" s="130"/>
      <c r="L32" s="132"/>
      <c r="M32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  <c r="O32" s="14" t="s">
        <v>7</v>
      </c>
      <c r="P32" s="91" t="str">
        <f>VLOOKUP("RAMAL",Tabela71023[[PONTO]:[ETA]],16,0)</f>
        <v/>
      </c>
    </row>
    <row r="33" spans="1:13" x14ac:dyDescent="0.3">
      <c r="A33" s="130"/>
      <c r="B33" s="130"/>
      <c r="C33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3" s="111" t="str">
        <f>IFERROR(VLOOKUP(GERAL_PROJ2[[#This Row],[PONTO]],Tabela13[],2,0),"")</f>
        <v/>
      </c>
      <c r="E33" s="111" t="str">
        <f>IFERROR(VLOOKUP(GERAL_PROJ2[[#This Row],[PONTO]],Tabela13[],3,0),"")</f>
        <v/>
      </c>
      <c r="F33" s="112" t="str">
        <f>IFERROR(VLOOKUP(GERAL_PROJ2[[#This Row],[PONTO]],RAMAIS_ATUAL,24,0),"")</f>
        <v/>
      </c>
      <c r="G33" s="112" t="str">
        <f>IFERROR(SUMIF(GERAL_PROJ2[TRECHO],GERAL_PROJ2[[#This Row],[PONTO]],GERAL_PROJ2[CLT ACUMULADO])+GERAL_PROJ2[[#This Row],[CLIENTES]],"")</f>
        <v/>
      </c>
      <c r="H33" s="55" t="str">
        <f>IFERROR(VLOOKUP(GERAL_PROJ2[[#This Row],[PONTO]],RAMAIS_ATUAL,IF($I$2="SIM",25,23),0),"")</f>
        <v/>
      </c>
      <c r="I33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3" s="55" t="str">
        <f>IFERROR(SQRT((GERAL_PROJ2[[#This Row],[X]]-$P$11)^2+(GERAL_PROJ2[[#This Row],[Y]]-$P$12)^2),"")</f>
        <v/>
      </c>
      <c r="K33" s="130"/>
      <c r="L33" s="132"/>
      <c r="M33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34" spans="1:13" x14ac:dyDescent="0.3">
      <c r="A34" s="130"/>
      <c r="B34" s="130"/>
      <c r="C34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4" s="111" t="str">
        <f>IFERROR(VLOOKUP(GERAL_PROJ2[[#This Row],[PONTO]],Tabela13[],2,0),"")</f>
        <v/>
      </c>
      <c r="E34" s="111" t="str">
        <f>IFERROR(VLOOKUP(GERAL_PROJ2[[#This Row],[PONTO]],Tabela13[],3,0),"")</f>
        <v/>
      </c>
      <c r="F34" s="112" t="str">
        <f>IFERROR(VLOOKUP(GERAL_PROJ2[[#This Row],[PONTO]],RAMAIS_ATUAL,24,0),"")</f>
        <v/>
      </c>
      <c r="G34" s="112" t="str">
        <f>IFERROR(SUMIF(GERAL_PROJ2[TRECHO],GERAL_PROJ2[[#This Row],[PONTO]],GERAL_PROJ2[CLT ACUMULADO])+GERAL_PROJ2[[#This Row],[CLIENTES]],"")</f>
        <v/>
      </c>
      <c r="H34" s="55" t="str">
        <f>IFERROR(VLOOKUP(GERAL_PROJ2[[#This Row],[PONTO]],RAMAIS_ATUAL,IF($I$2="SIM",25,23),0),"")</f>
        <v/>
      </c>
      <c r="I34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4" s="55" t="str">
        <f>IFERROR(SQRT((GERAL_PROJ2[[#This Row],[X]]-$P$11)^2+(GERAL_PROJ2[[#This Row],[Y]]-$P$12)^2),"")</f>
        <v/>
      </c>
      <c r="K34" s="130"/>
      <c r="L34" s="132"/>
      <c r="M34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35" spans="1:13" x14ac:dyDescent="0.3">
      <c r="A35" s="130"/>
      <c r="B35" s="130"/>
      <c r="C35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5" s="111" t="str">
        <f>IFERROR(VLOOKUP(GERAL_PROJ2[[#This Row],[PONTO]],Tabela13[],2,0),"")</f>
        <v/>
      </c>
      <c r="E35" s="111" t="str">
        <f>IFERROR(VLOOKUP(GERAL_PROJ2[[#This Row],[PONTO]],Tabela13[],3,0),"")</f>
        <v/>
      </c>
      <c r="F35" s="112" t="str">
        <f>IFERROR(VLOOKUP(GERAL_PROJ2[[#This Row],[PONTO]],RAMAIS_ATUAL,24,0),"")</f>
        <v/>
      </c>
      <c r="G35" s="112" t="str">
        <f>IFERROR(SUMIF(GERAL_PROJ2[TRECHO],GERAL_PROJ2[[#This Row],[PONTO]],GERAL_PROJ2[CLT ACUMULADO])+GERAL_PROJ2[[#This Row],[CLIENTES]],"")</f>
        <v/>
      </c>
      <c r="H35" s="55" t="str">
        <f>IFERROR(VLOOKUP(GERAL_PROJ2[[#This Row],[PONTO]],RAMAIS_ATUAL,IF($I$2="SIM",25,23),0),"")</f>
        <v/>
      </c>
      <c r="I35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5" s="55" t="str">
        <f>IFERROR(SQRT((GERAL_PROJ2[[#This Row],[X]]-$P$11)^2+(GERAL_PROJ2[[#This Row],[Y]]-$P$12)^2),"")</f>
        <v/>
      </c>
      <c r="K35" s="130"/>
      <c r="L35" s="132"/>
      <c r="M35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36" spans="1:13" x14ac:dyDescent="0.3">
      <c r="A36" s="130"/>
      <c r="B36" s="130"/>
      <c r="C36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6" s="111" t="str">
        <f>IFERROR(VLOOKUP(GERAL_PROJ2[[#This Row],[PONTO]],Tabela13[],2,0),"")</f>
        <v/>
      </c>
      <c r="E36" s="111" t="str">
        <f>IFERROR(VLOOKUP(GERAL_PROJ2[[#This Row],[PONTO]],Tabela13[],3,0),"")</f>
        <v/>
      </c>
      <c r="F36" s="112" t="str">
        <f>IFERROR(VLOOKUP(GERAL_PROJ2[[#This Row],[PONTO]],RAMAIS_ATUAL,24,0),"")</f>
        <v/>
      </c>
      <c r="G36" s="112" t="str">
        <f>IFERROR(SUMIF(GERAL_PROJ2[TRECHO],GERAL_PROJ2[[#This Row],[PONTO]],GERAL_PROJ2[CLT ACUMULADO])+GERAL_PROJ2[[#This Row],[CLIENTES]],"")</f>
        <v/>
      </c>
      <c r="H36" s="55" t="str">
        <f>IFERROR(VLOOKUP(GERAL_PROJ2[[#This Row],[PONTO]],RAMAIS_ATUAL,IF($I$2="SIM",25,23),0),"")</f>
        <v/>
      </c>
      <c r="I36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6" s="55" t="str">
        <f>IFERROR(SQRT((GERAL_PROJ2[[#This Row],[X]]-$P$11)^2+(GERAL_PROJ2[[#This Row],[Y]]-$P$12)^2),"")</f>
        <v/>
      </c>
      <c r="K36" s="130"/>
      <c r="L36" s="132"/>
      <c r="M36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37" spans="1:13" x14ac:dyDescent="0.3">
      <c r="A37" s="130"/>
      <c r="B37" s="130"/>
      <c r="C37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7" s="111" t="str">
        <f>IFERROR(VLOOKUP(GERAL_PROJ2[[#This Row],[PONTO]],Tabela13[],2,0),"")</f>
        <v/>
      </c>
      <c r="E37" s="111" t="str">
        <f>IFERROR(VLOOKUP(GERAL_PROJ2[[#This Row],[PONTO]],Tabela13[],3,0),"")</f>
        <v/>
      </c>
      <c r="F37" s="112" t="str">
        <f>IFERROR(VLOOKUP(GERAL_PROJ2[[#This Row],[PONTO]],RAMAIS_ATUAL,24,0),"")</f>
        <v/>
      </c>
      <c r="G37" s="112" t="str">
        <f>IFERROR(SUMIF(GERAL_PROJ2[TRECHO],GERAL_PROJ2[[#This Row],[PONTO]],GERAL_PROJ2[CLT ACUMULADO])+GERAL_PROJ2[[#This Row],[CLIENTES]],"")</f>
        <v/>
      </c>
      <c r="H37" s="55" t="str">
        <f>IFERROR(VLOOKUP(GERAL_PROJ2[[#This Row],[PONTO]],RAMAIS_ATUAL,IF($I$2="SIM",25,23),0),"")</f>
        <v/>
      </c>
      <c r="I37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7" s="55" t="str">
        <f>IFERROR(SQRT((GERAL_PROJ2[[#This Row],[X]]-$P$11)^2+(GERAL_PROJ2[[#This Row],[Y]]-$P$12)^2),"")</f>
        <v/>
      </c>
      <c r="K37" s="130"/>
      <c r="L37" s="132"/>
      <c r="M37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38" spans="1:13" x14ac:dyDescent="0.3">
      <c r="A38" s="130"/>
      <c r="B38" s="130"/>
      <c r="C38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8" s="111" t="str">
        <f>IFERROR(VLOOKUP(GERAL_PROJ2[[#This Row],[PONTO]],Tabela13[],2,0),"")</f>
        <v/>
      </c>
      <c r="E38" s="111" t="str">
        <f>IFERROR(VLOOKUP(GERAL_PROJ2[[#This Row],[PONTO]],Tabela13[],3,0),"")</f>
        <v/>
      </c>
      <c r="F38" s="112" t="str">
        <f>IFERROR(VLOOKUP(GERAL_PROJ2[[#This Row],[PONTO]],RAMAIS_ATUAL,24,0),"")</f>
        <v/>
      </c>
      <c r="G38" s="112" t="str">
        <f>IFERROR(SUMIF(GERAL_PROJ2[TRECHO],GERAL_PROJ2[[#This Row],[PONTO]],GERAL_PROJ2[CLT ACUMULADO])+GERAL_PROJ2[[#This Row],[CLIENTES]],"")</f>
        <v/>
      </c>
      <c r="H38" s="55" t="str">
        <f>IFERROR(VLOOKUP(GERAL_PROJ2[[#This Row],[PONTO]],RAMAIS_ATUAL,IF($I$2="SIM",25,23),0),"")</f>
        <v/>
      </c>
      <c r="I38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8" s="55" t="str">
        <f>IFERROR(SQRT((GERAL_PROJ2[[#This Row],[X]]-$P$11)^2+(GERAL_PROJ2[[#This Row],[Y]]-$P$12)^2),"")</f>
        <v/>
      </c>
      <c r="K38" s="130"/>
      <c r="L38" s="132"/>
      <c r="M38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39" spans="1:13" x14ac:dyDescent="0.3">
      <c r="A39" s="130"/>
      <c r="B39" s="130"/>
      <c r="C39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39" s="111" t="str">
        <f>IFERROR(VLOOKUP(GERAL_PROJ2[[#This Row],[PONTO]],Tabela13[],2,0),"")</f>
        <v/>
      </c>
      <c r="E39" s="111" t="str">
        <f>IFERROR(VLOOKUP(GERAL_PROJ2[[#This Row],[PONTO]],Tabela13[],3,0),"")</f>
        <v/>
      </c>
      <c r="F39" s="112" t="str">
        <f>IFERROR(VLOOKUP(GERAL_PROJ2[[#This Row],[PONTO]],RAMAIS_ATUAL,24,0),"")</f>
        <v/>
      </c>
      <c r="G39" s="112" t="str">
        <f>IFERROR(SUMIF(GERAL_PROJ2[TRECHO],GERAL_PROJ2[[#This Row],[PONTO]],GERAL_PROJ2[CLT ACUMULADO])+GERAL_PROJ2[[#This Row],[CLIENTES]],"")</f>
        <v/>
      </c>
      <c r="H39" s="55" t="str">
        <f>IFERROR(VLOOKUP(GERAL_PROJ2[[#This Row],[PONTO]],RAMAIS_ATUAL,IF($I$2="SIM",25,23),0),"")</f>
        <v/>
      </c>
      <c r="I39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39" s="55" t="str">
        <f>IFERROR(SQRT((GERAL_PROJ2[[#This Row],[X]]-$P$11)^2+(GERAL_PROJ2[[#This Row],[Y]]-$P$12)^2),"")</f>
        <v/>
      </c>
      <c r="K39" s="130"/>
      <c r="L39" s="132"/>
      <c r="M39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0" spans="1:13" x14ac:dyDescent="0.3">
      <c r="A40" s="130"/>
      <c r="B40" s="130"/>
      <c r="C40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0" s="111" t="str">
        <f>IFERROR(VLOOKUP(GERAL_PROJ2[[#This Row],[PONTO]],Tabela13[],2,0),"")</f>
        <v/>
      </c>
      <c r="E40" s="111" t="str">
        <f>IFERROR(VLOOKUP(GERAL_PROJ2[[#This Row],[PONTO]],Tabela13[],3,0),"")</f>
        <v/>
      </c>
      <c r="F40" s="112" t="str">
        <f>IFERROR(VLOOKUP(GERAL_PROJ2[[#This Row],[PONTO]],RAMAIS_ATUAL,24,0),"")</f>
        <v/>
      </c>
      <c r="G40" s="112" t="str">
        <f>IFERROR(SUMIF(GERAL_PROJ2[TRECHO],GERAL_PROJ2[[#This Row],[PONTO]],GERAL_PROJ2[CLT ACUMULADO])+GERAL_PROJ2[[#This Row],[CLIENTES]],"")</f>
        <v/>
      </c>
      <c r="H40" s="55" t="str">
        <f>IFERROR(VLOOKUP(GERAL_PROJ2[[#This Row],[PONTO]],RAMAIS_ATUAL,IF($I$2="SIM",25,23),0),"")</f>
        <v/>
      </c>
      <c r="I40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0" s="55" t="str">
        <f>IFERROR(SQRT((GERAL_PROJ2[[#This Row],[X]]-$P$11)^2+(GERAL_PROJ2[[#This Row],[Y]]-$P$12)^2),"")</f>
        <v/>
      </c>
      <c r="K40" s="130"/>
      <c r="L40" s="132"/>
      <c r="M40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1" spans="1:13" x14ac:dyDescent="0.3">
      <c r="A41" s="130"/>
      <c r="B41" s="130"/>
      <c r="C41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1" s="111" t="str">
        <f>IFERROR(VLOOKUP(GERAL_PROJ2[[#This Row],[PONTO]],Tabela13[],2,0),"")</f>
        <v/>
      </c>
      <c r="E41" s="111" t="str">
        <f>IFERROR(VLOOKUP(GERAL_PROJ2[[#This Row],[PONTO]],Tabela13[],3,0),"")</f>
        <v/>
      </c>
      <c r="F41" s="112" t="str">
        <f>IFERROR(VLOOKUP(GERAL_PROJ2[[#This Row],[PONTO]],RAMAIS_ATUAL,24,0),"")</f>
        <v/>
      </c>
      <c r="G41" s="112" t="str">
        <f>IFERROR(SUMIF(GERAL_PROJ2[TRECHO],GERAL_PROJ2[[#This Row],[PONTO]],GERAL_PROJ2[CLT ACUMULADO])+GERAL_PROJ2[[#This Row],[CLIENTES]],"")</f>
        <v/>
      </c>
      <c r="H41" s="55" t="str">
        <f>IFERROR(VLOOKUP(GERAL_PROJ2[[#This Row],[PONTO]],RAMAIS_ATUAL,IF($I$2="SIM",25,23),0),"")</f>
        <v/>
      </c>
      <c r="I41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1" s="55" t="str">
        <f>IFERROR(SQRT((GERAL_PROJ2[[#This Row],[X]]-$P$11)^2+(GERAL_PROJ2[[#This Row],[Y]]-$P$12)^2),"")</f>
        <v/>
      </c>
      <c r="K41" s="130"/>
      <c r="L41" s="132"/>
      <c r="M41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2" spans="1:13" x14ac:dyDescent="0.3">
      <c r="A42" s="130"/>
      <c r="B42" s="130"/>
      <c r="C42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2" s="111" t="str">
        <f>IFERROR(VLOOKUP(GERAL_PROJ2[[#This Row],[PONTO]],Tabela13[],2,0),"")</f>
        <v/>
      </c>
      <c r="E42" s="111" t="str">
        <f>IFERROR(VLOOKUP(GERAL_PROJ2[[#This Row],[PONTO]],Tabela13[],3,0),"")</f>
        <v/>
      </c>
      <c r="F42" s="112" t="str">
        <f>IFERROR(VLOOKUP(GERAL_PROJ2[[#This Row],[PONTO]],RAMAIS_ATUAL,24,0),"")</f>
        <v/>
      </c>
      <c r="G42" s="112" t="str">
        <f>IFERROR(SUMIF(GERAL_PROJ2[TRECHO],GERAL_PROJ2[[#This Row],[PONTO]],GERAL_PROJ2[CLT ACUMULADO])+GERAL_PROJ2[[#This Row],[CLIENTES]],"")</f>
        <v/>
      </c>
      <c r="H42" s="55" t="str">
        <f>IFERROR(VLOOKUP(GERAL_PROJ2[[#This Row],[PONTO]],RAMAIS_ATUAL,IF($I$2="SIM",25,23),0),"")</f>
        <v/>
      </c>
      <c r="I42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2" s="55" t="str">
        <f>IFERROR(SQRT((GERAL_PROJ2[[#This Row],[X]]-$P$11)^2+(GERAL_PROJ2[[#This Row],[Y]]-$P$12)^2),"")</f>
        <v/>
      </c>
      <c r="K42" s="130"/>
      <c r="L42" s="132"/>
      <c r="M42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3" spans="1:13" x14ac:dyDescent="0.3">
      <c r="A43" s="130"/>
      <c r="B43" s="130"/>
      <c r="C43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3" s="111" t="str">
        <f>IFERROR(VLOOKUP(GERAL_PROJ2[[#This Row],[PONTO]],Tabela13[],2,0),"")</f>
        <v/>
      </c>
      <c r="E43" s="111" t="str">
        <f>IFERROR(VLOOKUP(GERAL_PROJ2[[#This Row],[PONTO]],Tabela13[],3,0),"")</f>
        <v/>
      </c>
      <c r="F43" s="112" t="str">
        <f>IFERROR(VLOOKUP(GERAL_PROJ2[[#This Row],[PONTO]],RAMAIS_ATUAL,24,0),"")</f>
        <v/>
      </c>
      <c r="G43" s="112" t="str">
        <f>IFERROR(SUMIF(GERAL_PROJ2[TRECHO],GERAL_PROJ2[[#This Row],[PONTO]],GERAL_PROJ2[CLT ACUMULADO])+GERAL_PROJ2[[#This Row],[CLIENTES]],"")</f>
        <v/>
      </c>
      <c r="H43" s="55" t="str">
        <f>IFERROR(VLOOKUP(GERAL_PROJ2[[#This Row],[PONTO]],RAMAIS_ATUAL,IF($I$2="SIM",25,23),0),"")</f>
        <v/>
      </c>
      <c r="I43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3" s="55" t="str">
        <f>IFERROR(SQRT((GERAL_PROJ2[[#This Row],[X]]-$P$11)^2+(GERAL_PROJ2[[#This Row],[Y]]-$P$12)^2),"")</f>
        <v/>
      </c>
      <c r="K43" s="130"/>
      <c r="L43" s="132"/>
      <c r="M43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4" spans="1:13" x14ac:dyDescent="0.3">
      <c r="A44" s="130"/>
      <c r="B44" s="130"/>
      <c r="C44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4" s="111" t="str">
        <f>IFERROR(VLOOKUP(GERAL_PROJ2[[#This Row],[PONTO]],Tabela13[],2,0),"")</f>
        <v/>
      </c>
      <c r="E44" s="111" t="str">
        <f>IFERROR(VLOOKUP(GERAL_PROJ2[[#This Row],[PONTO]],Tabela13[],3,0),"")</f>
        <v/>
      </c>
      <c r="F44" s="112" t="str">
        <f>IFERROR(VLOOKUP(GERAL_PROJ2[[#This Row],[PONTO]],RAMAIS_ATUAL,24,0),"")</f>
        <v/>
      </c>
      <c r="G44" s="112" t="str">
        <f>IFERROR(SUMIF(GERAL_PROJ2[TRECHO],GERAL_PROJ2[[#This Row],[PONTO]],GERAL_PROJ2[CLT ACUMULADO])+GERAL_PROJ2[[#This Row],[CLIENTES]],"")</f>
        <v/>
      </c>
      <c r="H44" s="55" t="str">
        <f>IFERROR(VLOOKUP(GERAL_PROJ2[[#This Row],[PONTO]],RAMAIS_ATUAL,IF($I$2="SIM",25,23),0),"")</f>
        <v/>
      </c>
      <c r="I44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4" s="55" t="str">
        <f>IFERROR(SQRT((GERAL_PROJ2[[#This Row],[X]]-$P$11)^2+(GERAL_PROJ2[[#This Row],[Y]]-$P$12)^2),"")</f>
        <v/>
      </c>
      <c r="K44" s="130"/>
      <c r="L44" s="132"/>
      <c r="M44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5" spans="1:13" x14ac:dyDescent="0.3">
      <c r="A45" s="130"/>
      <c r="B45" s="130"/>
      <c r="C45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5" s="111" t="str">
        <f>IFERROR(VLOOKUP(GERAL_PROJ2[[#This Row],[PONTO]],Tabela13[],2,0),"")</f>
        <v/>
      </c>
      <c r="E45" s="111" t="str">
        <f>IFERROR(VLOOKUP(GERAL_PROJ2[[#This Row],[PONTO]],Tabela13[],3,0),"")</f>
        <v/>
      </c>
      <c r="F45" s="112" t="str">
        <f>IFERROR(VLOOKUP(GERAL_PROJ2[[#This Row],[PONTO]],RAMAIS_ATUAL,24,0),"")</f>
        <v/>
      </c>
      <c r="G45" s="112" t="str">
        <f>IFERROR(SUMIF(GERAL_PROJ2[TRECHO],GERAL_PROJ2[[#This Row],[PONTO]],GERAL_PROJ2[CLT ACUMULADO])+GERAL_PROJ2[[#This Row],[CLIENTES]],"")</f>
        <v/>
      </c>
      <c r="H45" s="55" t="str">
        <f>IFERROR(VLOOKUP(GERAL_PROJ2[[#This Row],[PONTO]],RAMAIS_ATUAL,IF($I$2="SIM",25,23),0),"")</f>
        <v/>
      </c>
      <c r="I45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5" s="55" t="str">
        <f>IFERROR(SQRT((GERAL_PROJ2[[#This Row],[X]]-$P$11)^2+(GERAL_PROJ2[[#This Row],[Y]]-$P$12)^2),"")</f>
        <v/>
      </c>
      <c r="K45" s="130"/>
      <c r="L45" s="132"/>
      <c r="M45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6" spans="1:13" x14ac:dyDescent="0.3">
      <c r="A46" s="130"/>
      <c r="B46" s="130"/>
      <c r="C46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6" s="111" t="str">
        <f>IFERROR(VLOOKUP(GERAL_PROJ2[[#This Row],[PONTO]],Tabela13[],2,0),"")</f>
        <v/>
      </c>
      <c r="E46" s="111" t="str">
        <f>IFERROR(VLOOKUP(GERAL_PROJ2[[#This Row],[PONTO]],Tabela13[],3,0),"")</f>
        <v/>
      </c>
      <c r="F46" s="112" t="str">
        <f>IFERROR(VLOOKUP(GERAL_PROJ2[[#This Row],[PONTO]],RAMAIS_ATUAL,24,0),"")</f>
        <v/>
      </c>
      <c r="G46" s="112" t="str">
        <f>IFERROR(SUMIF(GERAL_PROJ2[TRECHO],GERAL_PROJ2[[#This Row],[PONTO]],GERAL_PROJ2[CLT ACUMULADO])+GERAL_PROJ2[[#This Row],[CLIENTES]],"")</f>
        <v/>
      </c>
      <c r="H46" s="55" t="str">
        <f>IFERROR(VLOOKUP(GERAL_PROJ2[[#This Row],[PONTO]],RAMAIS_ATUAL,IF($I$2="SIM",25,23),0),"")</f>
        <v/>
      </c>
      <c r="I46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6" s="55" t="str">
        <f>IFERROR(SQRT((GERAL_PROJ2[[#This Row],[X]]-$P$11)^2+(GERAL_PROJ2[[#This Row],[Y]]-$P$12)^2),"")</f>
        <v/>
      </c>
      <c r="K46" s="130"/>
      <c r="L46" s="132"/>
      <c r="M46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7" spans="1:13" x14ac:dyDescent="0.3">
      <c r="A47" s="130"/>
      <c r="B47" s="130"/>
      <c r="C47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7" s="111" t="str">
        <f>IFERROR(VLOOKUP(GERAL_PROJ2[[#This Row],[PONTO]],Tabela13[],2,0),"")</f>
        <v/>
      </c>
      <c r="E47" s="111" t="str">
        <f>IFERROR(VLOOKUP(GERAL_PROJ2[[#This Row],[PONTO]],Tabela13[],3,0),"")</f>
        <v/>
      </c>
      <c r="F47" s="112" t="str">
        <f>IFERROR(VLOOKUP(GERAL_PROJ2[[#This Row],[PONTO]],RAMAIS_ATUAL,24,0),"")</f>
        <v/>
      </c>
      <c r="G47" s="112" t="str">
        <f>IFERROR(SUMIF(GERAL_PROJ2[TRECHO],GERAL_PROJ2[[#This Row],[PONTO]],GERAL_PROJ2[CLT ACUMULADO])+GERAL_PROJ2[[#This Row],[CLIENTES]],"")</f>
        <v/>
      </c>
      <c r="H47" s="55" t="str">
        <f>IFERROR(VLOOKUP(GERAL_PROJ2[[#This Row],[PONTO]],RAMAIS_ATUAL,IF($I$2="SIM",25,23),0),"")</f>
        <v/>
      </c>
      <c r="I47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7" s="55" t="str">
        <f>IFERROR(SQRT((GERAL_PROJ2[[#This Row],[X]]-$P$11)^2+(GERAL_PROJ2[[#This Row],[Y]]-$P$12)^2),"")</f>
        <v/>
      </c>
      <c r="K47" s="130"/>
      <c r="L47" s="132"/>
      <c r="M47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8" spans="1:13" x14ac:dyDescent="0.3">
      <c r="A48" s="130"/>
      <c r="B48" s="130"/>
      <c r="C48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8" s="111" t="str">
        <f>IFERROR(VLOOKUP(GERAL_PROJ2[[#This Row],[PONTO]],Tabela13[],2,0),"")</f>
        <v/>
      </c>
      <c r="E48" s="111" t="str">
        <f>IFERROR(VLOOKUP(GERAL_PROJ2[[#This Row],[PONTO]],Tabela13[],3,0),"")</f>
        <v/>
      </c>
      <c r="F48" s="112" t="str">
        <f>IFERROR(VLOOKUP(GERAL_PROJ2[[#This Row],[PONTO]],RAMAIS_ATUAL,24,0),"")</f>
        <v/>
      </c>
      <c r="G48" s="112" t="str">
        <f>IFERROR(SUMIF(GERAL_PROJ2[TRECHO],GERAL_PROJ2[[#This Row],[PONTO]],GERAL_PROJ2[CLT ACUMULADO])+GERAL_PROJ2[[#This Row],[CLIENTES]],"")</f>
        <v/>
      </c>
      <c r="H48" s="55" t="str">
        <f>IFERROR(VLOOKUP(GERAL_PROJ2[[#This Row],[PONTO]],RAMAIS_ATUAL,IF($I$2="SIM",25,23),0),"")</f>
        <v/>
      </c>
      <c r="I48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8" s="55" t="str">
        <f>IFERROR(SQRT((GERAL_PROJ2[[#This Row],[X]]-$P$11)^2+(GERAL_PROJ2[[#This Row],[Y]]-$P$12)^2),"")</f>
        <v/>
      </c>
      <c r="K48" s="130"/>
      <c r="L48" s="132"/>
      <c r="M48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49" spans="1:13" x14ac:dyDescent="0.3">
      <c r="A49" s="130"/>
      <c r="B49" s="130"/>
      <c r="C49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49" s="111" t="str">
        <f>IFERROR(VLOOKUP(GERAL_PROJ2[[#This Row],[PONTO]],Tabela13[],2,0),"")</f>
        <v/>
      </c>
      <c r="E49" s="111" t="str">
        <f>IFERROR(VLOOKUP(GERAL_PROJ2[[#This Row],[PONTO]],Tabela13[],3,0),"")</f>
        <v/>
      </c>
      <c r="F49" s="112" t="str">
        <f>IFERROR(VLOOKUP(GERAL_PROJ2[[#This Row],[PONTO]],RAMAIS_ATUAL,24,0),"")</f>
        <v/>
      </c>
      <c r="G49" s="112" t="str">
        <f>IFERROR(SUMIF(GERAL_PROJ2[TRECHO],GERAL_PROJ2[[#This Row],[PONTO]],GERAL_PROJ2[CLT ACUMULADO])+GERAL_PROJ2[[#This Row],[CLIENTES]],"")</f>
        <v/>
      </c>
      <c r="H49" s="55" t="str">
        <f>IFERROR(VLOOKUP(GERAL_PROJ2[[#This Row],[PONTO]],RAMAIS_ATUAL,IF($I$2="SIM",25,23),0),"")</f>
        <v/>
      </c>
      <c r="I49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49" s="55" t="str">
        <f>IFERROR(SQRT((GERAL_PROJ2[[#This Row],[X]]-$P$11)^2+(GERAL_PROJ2[[#This Row],[Y]]-$P$12)^2),"")</f>
        <v/>
      </c>
      <c r="K49" s="130"/>
      <c r="L49" s="132"/>
      <c r="M49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50" spans="1:13" x14ac:dyDescent="0.3">
      <c r="A50" s="130"/>
      <c r="B50" s="130"/>
      <c r="C50" s="130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50" s="111" t="str">
        <f>IFERROR(VLOOKUP(GERAL_PROJ2[[#This Row],[PONTO]],Tabela13[],2,0),"")</f>
        <v/>
      </c>
      <c r="E50" s="111" t="str">
        <f>IFERROR(VLOOKUP(GERAL_PROJ2[[#This Row],[PONTO]],Tabela13[],3,0),"")</f>
        <v/>
      </c>
      <c r="F50" s="112" t="str">
        <f>IFERROR(VLOOKUP(GERAL_PROJ2[[#This Row],[PONTO]],RAMAIS_ATUAL,24,0),"")</f>
        <v/>
      </c>
      <c r="G50" s="112" t="str">
        <f>IFERROR(SUMIF(GERAL_PROJ2[TRECHO],GERAL_PROJ2[[#This Row],[PONTO]],GERAL_PROJ2[CLT ACUMULADO])+GERAL_PROJ2[[#This Row],[CLIENTES]],"")</f>
        <v/>
      </c>
      <c r="H50" s="55" t="str">
        <f>IFERROR(VLOOKUP(GERAL_PROJ2[[#This Row],[PONTO]],RAMAIS_ATUAL,IF($I$2="SIM",25,23),0),"")</f>
        <v/>
      </c>
      <c r="I50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50" s="55" t="str">
        <f>IFERROR(SQRT((GERAL_PROJ2[[#This Row],[X]]-$P$11)^2+(GERAL_PROJ2[[#This Row],[Y]]-$P$12)^2),"")</f>
        <v/>
      </c>
      <c r="K50" s="130"/>
      <c r="L50" s="132"/>
      <c r="M50" s="139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51" spans="1:13" x14ac:dyDescent="0.3">
      <c r="A51" s="134"/>
      <c r="B51" s="134"/>
      <c r="C51" s="134" t="str">
        <f>IFERROR(IF(GERAL_PROJ2[[#This Row],[LADO]]="TRAFO",4,ROUNDDOWN(SQRT((VLOOKUP(GERAL_PROJ2[[#This Row],[TRECHO]],Tabela13[],2,0)-GERAL_PROJ2[[#This Row],[X]])^2+(VLOOKUP(GERAL_PROJ2[[#This Row],[TRECHO]],Tabela13[],3,0)-GERAL_PROJ2[[#This Row],[Y]])^2),0)),"")</f>
        <v/>
      </c>
      <c r="D51" s="113" t="str">
        <f>IFERROR(VLOOKUP(GERAL_PROJ2[[#This Row],[PONTO]],Tabela13[],2,0),"")</f>
        <v/>
      </c>
      <c r="E51" s="113" t="str">
        <f>IFERROR(VLOOKUP(GERAL_PROJ2[[#This Row],[PONTO]],Tabela13[],3,0),"")</f>
        <v/>
      </c>
      <c r="F51" s="114" t="str">
        <f>IFERROR(VLOOKUP(GERAL_PROJ2[[#This Row],[PONTO]],RAMAIS_ATUAL,24,0),"")</f>
        <v/>
      </c>
      <c r="G51" s="114" t="str">
        <f>IFERROR(SUMIF(GERAL_PROJ2[TRECHO],GERAL_PROJ2[[#This Row],[PONTO]],GERAL_PROJ2[CLT ACUMULADO])+GERAL_PROJ2[[#This Row],[CLIENTES]],"")</f>
        <v/>
      </c>
      <c r="H51" s="71" t="str">
        <f>IFERROR(VLOOKUP(GERAL_PROJ2[[#This Row],[PONTO]],RAMAIS_ATUAL,IF($I$2="SIM",25,23),0),"")</f>
        <v/>
      </c>
      <c r="I51" s="55" t="str">
        <f>IFERROR(IF(TRIM(UPPER($I$2))="SIM",
      VLOOKUP(GERAL_PROJ2[[#This Row],[CLT ACUMULADO]],AUX_CLAN,4,FALSE),
      SUMIF(GERAL_PROJ2[TRECHO],GERAL_PROJ2[[#This Row],[PONTO]],GERAL_PROJ2[ACUMULADA])+GERAL_PROJ2[[#This Row],[TOTAL DO TRECHO]]),
"")</f>
        <v/>
      </c>
      <c r="J51" s="71" t="str">
        <f>IFERROR(SQRT((GERAL_PROJ2[[#This Row],[X]]-$P$11)^2+(GERAL_PROJ2[[#This Row],[Y]]-$P$12)^2),"")</f>
        <v/>
      </c>
      <c r="K51" s="134"/>
      <c r="L51" s="147"/>
      <c r="M51" s="148" t="str">
        <f>IFERROR(IF(GERAL_PROJ2[[#This Row],[LADO]]="LADO 1 PROJ2",VLOOKUP(GERAL_PROJ2[[#This Row],[PONTO]],ESQ_PROJ2[],16,0),IF(GERAL_PROJ2[[#This Row],[LADO]]="LADO 2 PROJ2",VLOOKUP(GERAL_PROJ2[[#This Row],[PONTO]],Tabela71023[],16,0),IF(GERAL_PROJ2[[#This Row],[LADO]]="TRAFO",T_LINHA_MONO*(1-QT_MTTR3),""))),"IGNORADO")</f>
        <v/>
      </c>
    </row>
    <row r="52" spans="1:13" x14ac:dyDescent="0.3">
      <c r="D52" s="7"/>
      <c r="E52" s="7"/>
      <c r="F52" s="7"/>
      <c r="G52" s="7"/>
    </row>
    <row r="53" spans="1:13" x14ac:dyDescent="0.3">
      <c r="D53" s="7"/>
      <c r="E53" s="7"/>
      <c r="F53" s="7"/>
      <c r="G53" s="7"/>
    </row>
    <row r="54" spans="1:13" x14ac:dyDescent="0.3">
      <c r="D54" s="7"/>
      <c r="E54" s="7"/>
      <c r="F54" s="7"/>
      <c r="G54" s="7"/>
    </row>
    <row r="55" spans="1:13" x14ac:dyDescent="0.3">
      <c r="D55" s="7"/>
      <c r="E55" s="7"/>
      <c r="F55" s="7"/>
      <c r="G55" s="7"/>
    </row>
    <row r="56" spans="1:13" x14ac:dyDescent="0.3">
      <c r="D56" s="7"/>
      <c r="E56" s="7"/>
      <c r="F56" s="7"/>
      <c r="G56" s="7"/>
    </row>
    <row r="57" spans="1:13" x14ac:dyDescent="0.3">
      <c r="D57" s="7"/>
      <c r="E57" s="7"/>
      <c r="F57" s="7"/>
      <c r="G57" s="7"/>
    </row>
    <row r="58" spans="1:13" x14ac:dyDescent="0.3">
      <c r="D58" s="7"/>
      <c r="E58" s="7"/>
      <c r="F58" s="7"/>
      <c r="G58" s="7"/>
    </row>
    <row r="59" spans="1:13" x14ac:dyDescent="0.3">
      <c r="D59" s="7"/>
      <c r="E59" s="7"/>
      <c r="F59" s="7"/>
      <c r="G59" s="7"/>
    </row>
    <row r="60" spans="1:13" x14ac:dyDescent="0.3">
      <c r="D60" s="7"/>
      <c r="E60" s="7"/>
      <c r="F60" s="7"/>
      <c r="G60" s="7"/>
    </row>
    <row r="61" spans="1:13" x14ac:dyDescent="0.3">
      <c r="D61" s="7"/>
      <c r="E61" s="7"/>
      <c r="F61" s="7"/>
      <c r="G61" s="7"/>
    </row>
    <row r="62" spans="1:13" x14ac:dyDescent="0.3">
      <c r="D62" s="7"/>
      <c r="E62" s="7"/>
      <c r="F62" s="7"/>
      <c r="G62" s="7"/>
    </row>
    <row r="63" spans="1:13" x14ac:dyDescent="0.3">
      <c r="D63" s="7"/>
      <c r="E63" s="7"/>
      <c r="F63" s="7"/>
      <c r="G63" s="7"/>
    </row>
    <row r="64" spans="1:13" x14ac:dyDescent="0.3">
      <c r="D64" s="7"/>
      <c r="E64" s="7"/>
      <c r="F64" s="7"/>
      <c r="G64" s="7"/>
    </row>
    <row r="65" spans="4:7" x14ac:dyDescent="0.3">
      <c r="D65" s="7"/>
      <c r="E65" s="7"/>
      <c r="F65" s="7"/>
      <c r="G65" s="7"/>
    </row>
    <row r="66" spans="4:7" x14ac:dyDescent="0.3">
      <c r="D66" s="7"/>
      <c r="E66" s="7"/>
      <c r="F66" s="7"/>
      <c r="G66" s="7"/>
    </row>
    <row r="67" spans="4:7" x14ac:dyDescent="0.3">
      <c r="D67" s="7"/>
      <c r="E67" s="7"/>
      <c r="F67" s="7"/>
      <c r="G67" s="7"/>
    </row>
    <row r="68" spans="4:7" x14ac:dyDescent="0.3">
      <c r="D68" s="7"/>
      <c r="E68" s="7"/>
      <c r="F68" s="7"/>
      <c r="G68" s="7"/>
    </row>
    <row r="69" spans="4:7" x14ac:dyDescent="0.3">
      <c r="D69" s="7"/>
      <c r="E69" s="7"/>
      <c r="F69" s="7"/>
      <c r="G69" s="7"/>
    </row>
    <row r="70" spans="4:7" x14ac:dyDescent="0.3">
      <c r="D70" s="7"/>
      <c r="E70" s="7"/>
      <c r="F70" s="7"/>
      <c r="G70" s="7"/>
    </row>
    <row r="71" spans="4:7" x14ac:dyDescent="0.3">
      <c r="D71" s="7"/>
      <c r="E71" s="7"/>
      <c r="F71" s="7"/>
      <c r="G71" s="7"/>
    </row>
    <row r="72" spans="4:7" x14ac:dyDescent="0.3">
      <c r="D72" s="7"/>
      <c r="E72" s="7"/>
      <c r="F72" s="7"/>
      <c r="G72" s="7"/>
    </row>
    <row r="73" spans="4:7" x14ac:dyDescent="0.3">
      <c r="D73" s="7"/>
      <c r="E73" s="7"/>
      <c r="F73" s="7"/>
      <c r="G73" s="7"/>
    </row>
    <row r="74" spans="4:7" x14ac:dyDescent="0.3">
      <c r="D74" s="7"/>
      <c r="E74" s="7"/>
      <c r="F74" s="7"/>
      <c r="G74" s="7"/>
    </row>
    <row r="75" spans="4:7" x14ac:dyDescent="0.3">
      <c r="D75" s="7"/>
      <c r="E75" s="7"/>
      <c r="F75" s="7"/>
      <c r="G75" s="7"/>
    </row>
    <row r="76" spans="4:7" x14ac:dyDescent="0.3">
      <c r="D76" s="7"/>
      <c r="E76" s="7"/>
      <c r="F76" s="7"/>
      <c r="G76" s="7"/>
    </row>
    <row r="77" spans="4:7" x14ac:dyDescent="0.3">
      <c r="D77" s="7"/>
      <c r="E77" s="7"/>
      <c r="F77" s="7"/>
      <c r="G77" s="7"/>
    </row>
    <row r="78" spans="4:7" x14ac:dyDescent="0.3">
      <c r="D78" s="7"/>
      <c r="E78" s="7"/>
      <c r="F78" s="7"/>
      <c r="G78" s="7"/>
    </row>
    <row r="79" spans="4:7" x14ac:dyDescent="0.3">
      <c r="D79" s="7"/>
      <c r="E79" s="7"/>
      <c r="F79" s="7"/>
      <c r="G79" s="7"/>
    </row>
    <row r="80" spans="4:7" x14ac:dyDescent="0.3">
      <c r="D80" s="7"/>
      <c r="E80" s="7"/>
      <c r="F80" s="7"/>
      <c r="G80" s="7"/>
    </row>
    <row r="81" spans="4:7" x14ac:dyDescent="0.3">
      <c r="D81" s="7"/>
      <c r="E81" s="7"/>
      <c r="F81" s="7"/>
      <c r="G81" s="7"/>
    </row>
    <row r="82" spans="4:7" x14ac:dyDescent="0.3">
      <c r="D82" s="7"/>
      <c r="E82" s="7"/>
      <c r="F82" s="7"/>
      <c r="G82" s="7"/>
    </row>
    <row r="83" spans="4:7" x14ac:dyDescent="0.3">
      <c r="D83" s="7"/>
      <c r="E83" s="7"/>
      <c r="F83" s="7"/>
      <c r="G83" s="7"/>
    </row>
    <row r="84" spans="4:7" x14ac:dyDescent="0.3">
      <c r="D84" s="7"/>
      <c r="E84" s="7"/>
      <c r="F84" s="7"/>
      <c r="G84" s="7"/>
    </row>
    <row r="85" spans="4:7" x14ac:dyDescent="0.3">
      <c r="D85" s="7"/>
      <c r="E85" s="7"/>
      <c r="F85" s="7"/>
      <c r="G85" s="7"/>
    </row>
    <row r="86" spans="4:7" x14ac:dyDescent="0.3">
      <c r="D86" s="7"/>
      <c r="E86" s="7"/>
      <c r="F86" s="7"/>
      <c r="G86" s="7"/>
    </row>
    <row r="87" spans="4:7" x14ac:dyDescent="0.3">
      <c r="D87" s="7"/>
      <c r="E87" s="7"/>
      <c r="F87" s="7"/>
      <c r="G87" s="7"/>
    </row>
    <row r="88" spans="4:7" x14ac:dyDescent="0.3">
      <c r="D88" s="7"/>
      <c r="E88" s="7"/>
      <c r="F88" s="7"/>
      <c r="G88" s="7"/>
    </row>
    <row r="89" spans="4:7" x14ac:dyDescent="0.3">
      <c r="D89" s="7"/>
      <c r="E89" s="7"/>
      <c r="F89" s="7"/>
      <c r="G89" s="7"/>
    </row>
    <row r="90" spans="4:7" x14ac:dyDescent="0.3">
      <c r="D90" s="7"/>
      <c r="E90" s="7"/>
      <c r="F90" s="7"/>
      <c r="G90" s="7"/>
    </row>
    <row r="91" spans="4:7" x14ac:dyDescent="0.3">
      <c r="D91" s="7"/>
      <c r="E91" s="7"/>
      <c r="F91" s="7"/>
      <c r="G91" s="7"/>
    </row>
    <row r="92" spans="4:7" x14ac:dyDescent="0.3">
      <c r="D92" s="7"/>
      <c r="E92" s="7"/>
      <c r="F92" s="7"/>
      <c r="G92" s="7"/>
    </row>
    <row r="93" spans="4:7" x14ac:dyDescent="0.3">
      <c r="D93" s="7"/>
      <c r="E93" s="7"/>
      <c r="F93" s="7"/>
      <c r="G93" s="7"/>
    </row>
    <row r="94" spans="4:7" x14ac:dyDescent="0.3">
      <c r="D94" s="7"/>
      <c r="E94" s="7"/>
      <c r="F94" s="7"/>
      <c r="G94" s="7"/>
    </row>
    <row r="95" spans="4:7" x14ac:dyDescent="0.3">
      <c r="D95" s="7"/>
      <c r="E95" s="7"/>
      <c r="F95" s="7"/>
      <c r="G95" s="7"/>
    </row>
    <row r="96" spans="4:7" x14ac:dyDescent="0.3">
      <c r="D96" s="7"/>
      <c r="E96" s="7"/>
      <c r="F96" s="7"/>
      <c r="G96" s="7"/>
    </row>
    <row r="97" spans="4:7" x14ac:dyDescent="0.3">
      <c r="D97" s="7"/>
      <c r="E97" s="7"/>
      <c r="F97" s="7"/>
      <c r="G97" s="7"/>
    </row>
    <row r="98" spans="4:7" x14ac:dyDescent="0.3">
      <c r="D98" s="7"/>
      <c r="E98" s="7"/>
      <c r="F98" s="7"/>
      <c r="G98" s="7"/>
    </row>
    <row r="99" spans="4:7" x14ac:dyDescent="0.3">
      <c r="D99" s="7"/>
      <c r="E99" s="7"/>
      <c r="F99" s="7"/>
      <c r="G99" s="7"/>
    </row>
    <row r="100" spans="4:7" x14ac:dyDescent="0.3">
      <c r="D100" s="7"/>
      <c r="E100" s="7"/>
      <c r="F100" s="7"/>
      <c r="G100" s="7"/>
    </row>
    <row r="101" spans="4:7" x14ac:dyDescent="0.3">
      <c r="D101" s="7"/>
      <c r="E101" s="7"/>
      <c r="F101" s="7"/>
      <c r="G101" s="7"/>
    </row>
    <row r="102" spans="4:7" x14ac:dyDescent="0.3">
      <c r="D102" s="7"/>
      <c r="E102" s="7"/>
      <c r="F102" s="7"/>
      <c r="G102" s="7"/>
    </row>
    <row r="103" spans="4:7" x14ac:dyDescent="0.3">
      <c r="D103" s="7"/>
      <c r="E103" s="7"/>
      <c r="F103" s="7"/>
      <c r="G103" s="7"/>
    </row>
    <row r="104" spans="4:7" x14ac:dyDescent="0.3">
      <c r="D104" s="7"/>
      <c r="E104" s="7"/>
      <c r="F104" s="7"/>
      <c r="G104" s="7"/>
    </row>
    <row r="105" spans="4:7" x14ac:dyDescent="0.3">
      <c r="D105" s="7"/>
      <c r="E105" s="7"/>
      <c r="F105" s="7"/>
      <c r="G105" s="7"/>
    </row>
    <row r="106" spans="4:7" x14ac:dyDescent="0.3">
      <c r="D106" s="7"/>
      <c r="E106" s="7"/>
      <c r="F106" s="7"/>
      <c r="G106" s="7"/>
    </row>
    <row r="107" spans="4:7" x14ac:dyDescent="0.3">
      <c r="D107" s="7"/>
      <c r="E107" s="7"/>
      <c r="F107" s="7"/>
      <c r="G107" s="7"/>
    </row>
    <row r="108" spans="4:7" x14ac:dyDescent="0.3">
      <c r="D108" s="7"/>
      <c r="E108" s="7"/>
      <c r="F108" s="7"/>
      <c r="G108" s="7"/>
    </row>
    <row r="109" spans="4:7" x14ac:dyDescent="0.3">
      <c r="D109" s="7"/>
      <c r="E109" s="7"/>
      <c r="F109" s="7"/>
      <c r="G109" s="7"/>
    </row>
    <row r="110" spans="4:7" x14ac:dyDescent="0.3">
      <c r="D110" s="7"/>
      <c r="E110" s="7"/>
      <c r="F110" s="7"/>
      <c r="G110" s="7"/>
    </row>
    <row r="111" spans="4:7" x14ac:dyDescent="0.3">
      <c r="D111" s="7"/>
      <c r="E111" s="7"/>
      <c r="F111" s="7"/>
      <c r="G111" s="7"/>
    </row>
    <row r="112" spans="4:7" x14ac:dyDescent="0.3">
      <c r="D112" s="7"/>
      <c r="E112" s="7"/>
      <c r="F112" s="7"/>
      <c r="G112" s="7"/>
    </row>
    <row r="113" spans="4:7" x14ac:dyDescent="0.3">
      <c r="D113" s="7"/>
      <c r="E113" s="7"/>
      <c r="F113" s="7"/>
      <c r="G113" s="7"/>
    </row>
    <row r="114" spans="4:7" x14ac:dyDescent="0.3">
      <c r="D114" s="7"/>
      <c r="E114" s="7"/>
      <c r="F114" s="7"/>
      <c r="G114" s="7"/>
    </row>
    <row r="115" spans="4:7" x14ac:dyDescent="0.3">
      <c r="D115" s="7"/>
      <c r="E115" s="7"/>
      <c r="F115" s="7"/>
      <c r="G115" s="7"/>
    </row>
    <row r="116" spans="4:7" x14ac:dyDescent="0.3">
      <c r="D116" s="7"/>
      <c r="E116" s="7"/>
      <c r="F116" s="7"/>
      <c r="G116" s="7"/>
    </row>
    <row r="117" spans="4:7" x14ac:dyDescent="0.3">
      <c r="D117" s="7"/>
      <c r="E117" s="7"/>
      <c r="F117" s="7"/>
      <c r="G117" s="7"/>
    </row>
    <row r="118" spans="4:7" x14ac:dyDescent="0.3">
      <c r="D118" s="7"/>
      <c r="E118" s="7"/>
      <c r="F118" s="7"/>
      <c r="G118" s="7"/>
    </row>
    <row r="119" spans="4:7" x14ac:dyDescent="0.3">
      <c r="D119" s="7"/>
      <c r="E119" s="7"/>
      <c r="F119" s="7"/>
      <c r="G119" s="7"/>
    </row>
    <row r="120" spans="4:7" x14ac:dyDescent="0.3">
      <c r="D120" s="7"/>
      <c r="E120" s="7"/>
      <c r="F120" s="7"/>
      <c r="G120" s="7"/>
    </row>
    <row r="121" spans="4:7" x14ac:dyDescent="0.3">
      <c r="D121" s="7"/>
      <c r="E121" s="7"/>
      <c r="F121" s="7"/>
      <c r="G121" s="7"/>
    </row>
    <row r="122" spans="4:7" x14ac:dyDescent="0.3">
      <c r="D122" s="7"/>
      <c r="E122" s="7"/>
      <c r="F122" s="7"/>
      <c r="G122" s="7"/>
    </row>
    <row r="123" spans="4:7" x14ac:dyDescent="0.3">
      <c r="D123" s="7"/>
      <c r="E123" s="7"/>
      <c r="F123" s="7"/>
      <c r="G123" s="7"/>
    </row>
    <row r="124" spans="4:7" x14ac:dyDescent="0.3">
      <c r="D124" s="7"/>
      <c r="E124" s="7"/>
      <c r="F124" s="7"/>
      <c r="G124" s="7"/>
    </row>
    <row r="125" spans="4:7" x14ac:dyDescent="0.3">
      <c r="D125" s="7"/>
      <c r="E125" s="7"/>
      <c r="F125" s="7"/>
      <c r="G125" s="7"/>
    </row>
    <row r="126" spans="4:7" x14ac:dyDescent="0.3">
      <c r="D126" s="7"/>
      <c r="E126" s="7"/>
      <c r="F126" s="7"/>
      <c r="G126" s="7"/>
    </row>
    <row r="127" spans="4:7" x14ac:dyDescent="0.3">
      <c r="D127" s="7"/>
      <c r="E127" s="7"/>
      <c r="F127" s="7"/>
      <c r="G127" s="7"/>
    </row>
    <row r="128" spans="4:7" x14ac:dyDescent="0.3">
      <c r="D128" s="7"/>
      <c r="E128" s="7"/>
      <c r="F128" s="7"/>
      <c r="G128" s="7"/>
    </row>
    <row r="129" spans="4:7" x14ac:dyDescent="0.3">
      <c r="D129" s="7"/>
      <c r="E129" s="7"/>
      <c r="F129" s="7"/>
      <c r="G129" s="7"/>
    </row>
    <row r="130" spans="4:7" x14ac:dyDescent="0.3">
      <c r="D130" s="7"/>
      <c r="E130" s="7"/>
      <c r="F130" s="7"/>
      <c r="G130" s="7"/>
    </row>
    <row r="131" spans="4:7" x14ac:dyDescent="0.3">
      <c r="D131" s="7"/>
      <c r="E131" s="7"/>
      <c r="F131" s="7"/>
      <c r="G131" s="7"/>
    </row>
    <row r="132" spans="4:7" x14ac:dyDescent="0.3">
      <c r="D132" s="7"/>
      <c r="E132" s="7"/>
      <c r="F132" s="7"/>
      <c r="G132" s="7"/>
    </row>
    <row r="133" spans="4:7" x14ac:dyDescent="0.3">
      <c r="D133" s="7"/>
      <c r="E133" s="7"/>
      <c r="F133" s="7"/>
      <c r="G133" s="7"/>
    </row>
    <row r="134" spans="4:7" x14ac:dyDescent="0.3">
      <c r="D134" s="7"/>
      <c r="E134" s="7"/>
      <c r="F134" s="7"/>
      <c r="G134" s="7"/>
    </row>
    <row r="135" spans="4:7" x14ac:dyDescent="0.3">
      <c r="D135" s="7"/>
      <c r="E135" s="7"/>
      <c r="F135" s="7"/>
      <c r="G135" s="7"/>
    </row>
    <row r="136" spans="4:7" x14ac:dyDescent="0.3">
      <c r="D136" s="7"/>
      <c r="E136" s="7"/>
      <c r="F136" s="7"/>
      <c r="G136" s="7"/>
    </row>
    <row r="137" spans="4:7" x14ac:dyDescent="0.3">
      <c r="D137" s="7"/>
      <c r="E137" s="7"/>
      <c r="F137" s="7"/>
      <c r="G137" s="7"/>
    </row>
    <row r="138" spans="4:7" x14ac:dyDescent="0.3">
      <c r="D138" s="7"/>
      <c r="E138" s="7"/>
      <c r="F138" s="7"/>
      <c r="G138" s="7"/>
    </row>
    <row r="139" spans="4:7" x14ac:dyDescent="0.3">
      <c r="D139" s="7"/>
      <c r="E139" s="7"/>
      <c r="F139" s="7"/>
      <c r="G139" s="7"/>
    </row>
    <row r="140" spans="4:7" x14ac:dyDescent="0.3">
      <c r="D140" s="7"/>
      <c r="E140" s="7"/>
      <c r="F140" s="7"/>
      <c r="G140" s="7"/>
    </row>
    <row r="141" spans="4:7" x14ac:dyDescent="0.3">
      <c r="D141" s="7"/>
      <c r="E141" s="7"/>
      <c r="F141" s="7"/>
      <c r="G141" s="7"/>
    </row>
    <row r="142" spans="4:7" x14ac:dyDescent="0.3">
      <c r="D142" s="7"/>
      <c r="E142" s="7"/>
      <c r="F142" s="7"/>
      <c r="G142" s="7"/>
    </row>
    <row r="143" spans="4:7" x14ac:dyDescent="0.3">
      <c r="D143" s="7"/>
      <c r="E143" s="7"/>
      <c r="F143" s="7"/>
      <c r="G143" s="7"/>
    </row>
    <row r="144" spans="4:7" x14ac:dyDescent="0.3">
      <c r="D144" s="7"/>
      <c r="E144" s="7"/>
      <c r="F144" s="7"/>
      <c r="G144" s="7"/>
    </row>
    <row r="145" spans="4:7" x14ac:dyDescent="0.3">
      <c r="D145" s="7"/>
      <c r="E145" s="7"/>
      <c r="F145" s="7"/>
      <c r="G145" s="7"/>
    </row>
    <row r="146" spans="4:7" x14ac:dyDescent="0.3">
      <c r="D146" s="7"/>
      <c r="E146" s="7"/>
      <c r="F146" s="7"/>
      <c r="G146" s="7"/>
    </row>
    <row r="147" spans="4:7" x14ac:dyDescent="0.3">
      <c r="D147" s="7"/>
      <c r="E147" s="7"/>
      <c r="F147" s="7"/>
      <c r="G147" s="7"/>
    </row>
    <row r="148" spans="4:7" x14ac:dyDescent="0.3">
      <c r="D148" s="7"/>
      <c r="E148" s="7"/>
      <c r="F148" s="7"/>
      <c r="G148" s="7"/>
    </row>
    <row r="149" spans="4:7" x14ac:dyDescent="0.3">
      <c r="D149" s="7"/>
      <c r="E149" s="7"/>
      <c r="F149" s="7"/>
      <c r="G149" s="7"/>
    </row>
    <row r="150" spans="4:7" x14ac:dyDescent="0.3">
      <c r="D150" s="7"/>
      <c r="E150" s="7"/>
      <c r="F150" s="7"/>
      <c r="G150" s="7"/>
    </row>
    <row r="151" spans="4:7" x14ac:dyDescent="0.3">
      <c r="D151" s="7"/>
      <c r="E151" s="7"/>
      <c r="F151" s="7"/>
      <c r="G151" s="7"/>
    </row>
    <row r="152" spans="4:7" x14ac:dyDescent="0.3">
      <c r="D152" s="7"/>
      <c r="E152" s="7"/>
      <c r="F152" s="7"/>
      <c r="G152" s="7"/>
    </row>
    <row r="153" spans="4:7" x14ac:dyDescent="0.3">
      <c r="D153" s="7"/>
      <c r="E153" s="7"/>
      <c r="F153" s="7"/>
      <c r="G153" s="7"/>
    </row>
    <row r="154" spans="4:7" x14ac:dyDescent="0.3">
      <c r="D154" s="7"/>
      <c r="E154" s="7"/>
      <c r="F154" s="7"/>
      <c r="G154" s="7"/>
    </row>
    <row r="155" spans="4:7" x14ac:dyDescent="0.3">
      <c r="D155" s="7"/>
      <c r="E155" s="7"/>
      <c r="F155" s="7"/>
      <c r="G155" s="7"/>
    </row>
    <row r="156" spans="4:7" x14ac:dyDescent="0.3">
      <c r="D156" s="7"/>
      <c r="E156" s="7"/>
      <c r="F156" s="7"/>
      <c r="G156" s="7"/>
    </row>
    <row r="157" spans="4:7" x14ac:dyDescent="0.3">
      <c r="D157" s="7"/>
      <c r="E157" s="7"/>
      <c r="F157" s="7"/>
      <c r="G157" s="7"/>
    </row>
    <row r="158" spans="4:7" x14ac:dyDescent="0.3">
      <c r="D158" s="7"/>
      <c r="E158" s="7"/>
      <c r="F158" s="7"/>
      <c r="G158" s="7"/>
    </row>
    <row r="159" spans="4:7" x14ac:dyDescent="0.3">
      <c r="D159" s="7"/>
      <c r="E159" s="7"/>
      <c r="F159" s="7"/>
      <c r="G159" s="7"/>
    </row>
    <row r="160" spans="4:7" x14ac:dyDescent="0.3">
      <c r="D160" s="7"/>
      <c r="E160" s="7"/>
      <c r="F160" s="7"/>
      <c r="G160" s="7"/>
    </row>
    <row r="161" spans="4:7" x14ac:dyDescent="0.3">
      <c r="D161" s="7"/>
      <c r="E161" s="7"/>
      <c r="F161" s="7"/>
      <c r="G161" s="7"/>
    </row>
    <row r="162" spans="4:7" x14ac:dyDescent="0.3">
      <c r="D162" s="7"/>
      <c r="E162" s="7"/>
      <c r="F162" s="7"/>
      <c r="G162" s="7"/>
    </row>
    <row r="163" spans="4:7" x14ac:dyDescent="0.3">
      <c r="D163" s="7"/>
      <c r="E163" s="7"/>
      <c r="F163" s="7"/>
      <c r="G163" s="7"/>
    </row>
    <row r="164" spans="4:7" x14ac:dyDescent="0.3">
      <c r="D164" s="7"/>
      <c r="E164" s="7"/>
      <c r="F164" s="7"/>
      <c r="G164" s="7"/>
    </row>
    <row r="165" spans="4:7" x14ac:dyDescent="0.3">
      <c r="D165" s="7"/>
      <c r="E165" s="7"/>
      <c r="F165" s="7"/>
      <c r="G165" s="7"/>
    </row>
    <row r="166" spans="4:7" x14ac:dyDescent="0.3">
      <c r="D166" s="7"/>
      <c r="E166" s="7"/>
      <c r="F166" s="7"/>
      <c r="G166" s="7"/>
    </row>
    <row r="167" spans="4:7" x14ac:dyDescent="0.3">
      <c r="D167" s="7"/>
      <c r="E167" s="7"/>
      <c r="F167" s="7"/>
      <c r="G167" s="7"/>
    </row>
    <row r="168" spans="4:7" x14ac:dyDescent="0.3">
      <c r="D168" s="7"/>
      <c r="E168" s="7"/>
      <c r="F168" s="7"/>
      <c r="G168" s="7"/>
    </row>
    <row r="169" spans="4:7" x14ac:dyDescent="0.3">
      <c r="D169" s="7"/>
      <c r="E169" s="7"/>
      <c r="F169" s="7"/>
      <c r="G169" s="7"/>
    </row>
    <row r="170" spans="4:7" x14ac:dyDescent="0.3">
      <c r="D170" s="7"/>
      <c r="E170" s="7"/>
      <c r="F170" s="7"/>
      <c r="G170" s="7"/>
    </row>
    <row r="171" spans="4:7" x14ac:dyDescent="0.3">
      <c r="D171" s="7"/>
      <c r="E171" s="7"/>
      <c r="F171" s="7"/>
      <c r="G171" s="7"/>
    </row>
    <row r="172" spans="4:7" x14ac:dyDescent="0.3">
      <c r="D172" s="7"/>
      <c r="E172" s="7"/>
      <c r="F172" s="7"/>
      <c r="G172" s="7"/>
    </row>
    <row r="173" spans="4:7" x14ac:dyDescent="0.3">
      <c r="D173" s="7"/>
      <c r="E173" s="7"/>
      <c r="F173" s="7"/>
      <c r="G173" s="7"/>
    </row>
    <row r="174" spans="4:7" x14ac:dyDescent="0.3">
      <c r="D174" s="7"/>
      <c r="E174" s="7"/>
      <c r="F174" s="7"/>
      <c r="G174" s="7"/>
    </row>
    <row r="175" spans="4:7" x14ac:dyDescent="0.3">
      <c r="D175" s="7"/>
      <c r="E175" s="7"/>
      <c r="F175" s="7"/>
      <c r="G175" s="7"/>
    </row>
    <row r="176" spans="4:7" x14ac:dyDescent="0.3">
      <c r="D176" s="7"/>
      <c r="E176" s="7"/>
      <c r="F176" s="7"/>
      <c r="G176" s="7"/>
    </row>
    <row r="177" spans="4:7" x14ac:dyDescent="0.3">
      <c r="D177" s="7"/>
      <c r="E177" s="7"/>
      <c r="F177" s="7"/>
      <c r="G177" s="7"/>
    </row>
    <row r="178" spans="4:7" x14ac:dyDescent="0.3">
      <c r="D178" s="7"/>
      <c r="E178" s="7"/>
      <c r="F178" s="7"/>
      <c r="G178" s="7"/>
    </row>
    <row r="179" spans="4:7" x14ac:dyDescent="0.3">
      <c r="D179" s="7"/>
      <c r="E179" s="7"/>
      <c r="F179" s="7"/>
      <c r="G179" s="7"/>
    </row>
    <row r="180" spans="4:7" x14ac:dyDescent="0.3">
      <c r="D180" s="7"/>
      <c r="E180" s="7"/>
      <c r="F180" s="7"/>
      <c r="G180" s="7"/>
    </row>
    <row r="181" spans="4:7" x14ac:dyDescent="0.3">
      <c r="D181" s="7"/>
      <c r="E181" s="7"/>
      <c r="F181" s="7"/>
      <c r="G181" s="7"/>
    </row>
    <row r="182" spans="4:7" x14ac:dyDescent="0.3">
      <c r="D182" s="7"/>
      <c r="E182" s="7"/>
      <c r="F182" s="7"/>
      <c r="G182" s="7"/>
    </row>
    <row r="183" spans="4:7" x14ac:dyDescent="0.3">
      <c r="D183" s="7"/>
      <c r="E183" s="7"/>
      <c r="F183" s="7"/>
      <c r="G183" s="7"/>
    </row>
    <row r="184" spans="4:7" x14ac:dyDescent="0.3">
      <c r="D184" s="7"/>
      <c r="E184" s="7"/>
      <c r="F184" s="7"/>
      <c r="G184" s="7"/>
    </row>
    <row r="185" spans="4:7" x14ac:dyDescent="0.3">
      <c r="D185" s="7"/>
      <c r="E185" s="7"/>
      <c r="F185" s="7"/>
      <c r="G185" s="7"/>
    </row>
    <row r="186" spans="4:7" x14ac:dyDescent="0.3">
      <c r="D186" s="7"/>
      <c r="E186" s="7"/>
      <c r="F186" s="7"/>
      <c r="G186" s="7"/>
    </row>
    <row r="187" spans="4:7" x14ac:dyDescent="0.3">
      <c r="D187" s="7"/>
      <c r="E187" s="7"/>
      <c r="F187" s="7"/>
      <c r="G187" s="7"/>
    </row>
    <row r="188" spans="4:7" x14ac:dyDescent="0.3">
      <c r="D188" s="7"/>
      <c r="E188" s="7"/>
      <c r="F188" s="7"/>
      <c r="G188" s="7"/>
    </row>
    <row r="189" spans="4:7" x14ac:dyDescent="0.3">
      <c r="D189" s="7"/>
      <c r="E189" s="7"/>
      <c r="F189" s="7"/>
      <c r="G189" s="7"/>
    </row>
    <row r="190" spans="4:7" x14ac:dyDescent="0.3">
      <c r="D190" s="7"/>
      <c r="E190" s="7"/>
      <c r="F190" s="7"/>
      <c r="G190" s="7"/>
    </row>
    <row r="191" spans="4:7" x14ac:dyDescent="0.3">
      <c r="D191" s="7"/>
      <c r="E191" s="7"/>
      <c r="F191" s="7"/>
      <c r="G191" s="7"/>
    </row>
    <row r="192" spans="4:7" x14ac:dyDescent="0.3">
      <c r="D192" s="7"/>
      <c r="E192" s="7"/>
      <c r="F192" s="7"/>
      <c r="G192" s="7"/>
    </row>
    <row r="193" spans="4:7" x14ac:dyDescent="0.3">
      <c r="D193" s="7"/>
      <c r="E193" s="7"/>
      <c r="F193" s="7"/>
      <c r="G193" s="7"/>
    </row>
    <row r="194" spans="4:7" x14ac:dyDescent="0.3">
      <c r="D194" s="7"/>
      <c r="E194" s="7"/>
      <c r="F194" s="7"/>
      <c r="G194" s="7"/>
    </row>
    <row r="195" spans="4:7" x14ac:dyDescent="0.3">
      <c r="D195" s="7"/>
      <c r="E195" s="7"/>
      <c r="F195" s="7"/>
      <c r="G195" s="7"/>
    </row>
    <row r="196" spans="4:7" x14ac:dyDescent="0.3">
      <c r="D196" s="7"/>
      <c r="E196" s="7"/>
      <c r="F196" s="7"/>
      <c r="G196" s="7"/>
    </row>
    <row r="197" spans="4:7" x14ac:dyDescent="0.3">
      <c r="D197" s="7"/>
      <c r="E197" s="7"/>
      <c r="F197" s="7"/>
      <c r="G197" s="7"/>
    </row>
    <row r="198" spans="4:7" x14ac:dyDescent="0.3">
      <c r="D198" s="7"/>
      <c r="E198" s="7"/>
      <c r="F198" s="7"/>
      <c r="G198" s="7"/>
    </row>
    <row r="199" spans="4:7" x14ac:dyDescent="0.3">
      <c r="D199" s="7"/>
      <c r="E199" s="7"/>
      <c r="F199" s="7"/>
      <c r="G199" s="7"/>
    </row>
    <row r="200" spans="4:7" x14ac:dyDescent="0.3">
      <c r="D200" s="7"/>
      <c r="E200" s="7"/>
      <c r="F200" s="7"/>
      <c r="G200" s="7"/>
    </row>
    <row r="201" spans="4:7" x14ac:dyDescent="0.3">
      <c r="D201" s="7"/>
      <c r="E201" s="7"/>
      <c r="F201" s="7"/>
      <c r="G201" s="7"/>
    </row>
    <row r="202" spans="4:7" x14ac:dyDescent="0.3">
      <c r="D202" s="7"/>
      <c r="E202" s="7"/>
      <c r="F202" s="7"/>
      <c r="G202" s="7"/>
    </row>
    <row r="203" spans="4:7" x14ac:dyDescent="0.3">
      <c r="D203" s="7"/>
      <c r="E203" s="7"/>
      <c r="F203" s="7"/>
      <c r="G203" s="7"/>
    </row>
    <row r="204" spans="4:7" x14ac:dyDescent="0.3">
      <c r="D204" s="7"/>
      <c r="E204" s="7"/>
      <c r="F204" s="7"/>
      <c r="G204" s="7"/>
    </row>
    <row r="205" spans="4:7" x14ac:dyDescent="0.3">
      <c r="D205" s="7"/>
      <c r="E205" s="7"/>
      <c r="F205" s="7"/>
      <c r="G205" s="7"/>
    </row>
    <row r="206" spans="4:7" x14ac:dyDescent="0.3">
      <c r="D206" s="7"/>
      <c r="E206" s="7"/>
      <c r="F206" s="7"/>
      <c r="G206" s="7"/>
    </row>
    <row r="207" spans="4:7" x14ac:dyDescent="0.3">
      <c r="D207" s="7"/>
      <c r="E207" s="7"/>
      <c r="F207" s="7"/>
      <c r="G207" s="7"/>
    </row>
    <row r="208" spans="4:7" x14ac:dyDescent="0.3">
      <c r="D208" s="7"/>
      <c r="E208" s="7"/>
      <c r="F208" s="7"/>
      <c r="G208" s="7"/>
    </row>
    <row r="209" spans="4:7" x14ac:dyDescent="0.3">
      <c r="D209" s="7"/>
      <c r="E209" s="7"/>
      <c r="F209" s="7"/>
      <c r="G209" s="7"/>
    </row>
    <row r="210" spans="4:7" x14ac:dyDescent="0.3">
      <c r="D210" s="7"/>
      <c r="E210" s="7"/>
      <c r="F210" s="7"/>
      <c r="G210" s="7"/>
    </row>
    <row r="211" spans="4:7" x14ac:dyDescent="0.3">
      <c r="D211" s="7"/>
      <c r="E211" s="7"/>
      <c r="F211" s="7"/>
      <c r="G211" s="7"/>
    </row>
    <row r="212" spans="4:7" x14ac:dyDescent="0.3">
      <c r="D212" s="7"/>
      <c r="E212" s="7"/>
      <c r="F212" s="7"/>
      <c r="G212" s="7"/>
    </row>
    <row r="213" spans="4:7" x14ac:dyDescent="0.3">
      <c r="D213" s="7"/>
      <c r="E213" s="7"/>
      <c r="F213" s="7"/>
      <c r="G213" s="7"/>
    </row>
    <row r="214" spans="4:7" x14ac:dyDescent="0.3">
      <c r="D214" s="7"/>
      <c r="E214" s="7"/>
      <c r="F214" s="7"/>
      <c r="G214" s="7"/>
    </row>
    <row r="215" spans="4:7" x14ac:dyDescent="0.3">
      <c r="D215" s="7"/>
      <c r="E215" s="7"/>
      <c r="F215" s="7"/>
      <c r="G215" s="7"/>
    </row>
    <row r="216" spans="4:7" x14ac:dyDescent="0.3">
      <c r="D216" s="7"/>
      <c r="E216" s="7"/>
      <c r="F216" s="7"/>
      <c r="G216" s="7"/>
    </row>
    <row r="217" spans="4:7" x14ac:dyDescent="0.3">
      <c r="D217" s="7"/>
      <c r="E217" s="7"/>
      <c r="F217" s="7"/>
      <c r="G217" s="7"/>
    </row>
    <row r="218" spans="4:7" x14ac:dyDescent="0.3">
      <c r="D218" s="7"/>
      <c r="E218" s="7"/>
      <c r="F218" s="7"/>
      <c r="G218" s="7"/>
    </row>
    <row r="219" spans="4:7" x14ac:dyDescent="0.3">
      <c r="D219" s="7"/>
      <c r="E219" s="7"/>
      <c r="F219" s="7"/>
      <c r="G219" s="7"/>
    </row>
    <row r="220" spans="4:7" x14ac:dyDescent="0.3">
      <c r="D220" s="7"/>
      <c r="E220" s="7"/>
      <c r="F220" s="7"/>
      <c r="G220" s="7"/>
    </row>
    <row r="221" spans="4:7" x14ac:dyDescent="0.3">
      <c r="D221" s="7"/>
      <c r="E221" s="7"/>
      <c r="F221" s="7"/>
      <c r="G221" s="7"/>
    </row>
    <row r="222" spans="4:7" x14ac:dyDescent="0.3">
      <c r="D222" s="7"/>
      <c r="E222" s="7"/>
      <c r="F222" s="7"/>
      <c r="G222" s="7"/>
    </row>
    <row r="223" spans="4:7" x14ac:dyDescent="0.3">
      <c r="D223" s="7"/>
      <c r="E223" s="7"/>
      <c r="F223" s="7"/>
      <c r="G223" s="7"/>
    </row>
    <row r="224" spans="4:7" x14ac:dyDescent="0.3">
      <c r="D224" s="7"/>
      <c r="E224" s="7"/>
      <c r="F224" s="7"/>
      <c r="G224" s="7"/>
    </row>
    <row r="225" spans="4:7" x14ac:dyDescent="0.3">
      <c r="D225" s="7"/>
      <c r="E225" s="7"/>
      <c r="F225" s="7"/>
      <c r="G225" s="7"/>
    </row>
    <row r="226" spans="4:7" x14ac:dyDescent="0.3">
      <c r="D226" s="7"/>
      <c r="E226" s="7"/>
      <c r="F226" s="7"/>
      <c r="G226" s="7"/>
    </row>
    <row r="227" spans="4:7" x14ac:dyDescent="0.3">
      <c r="D227" s="7"/>
      <c r="E227" s="7"/>
      <c r="F227" s="7"/>
      <c r="G227" s="7"/>
    </row>
    <row r="228" spans="4:7" x14ac:dyDescent="0.3">
      <c r="D228" s="7"/>
      <c r="E228" s="7"/>
      <c r="F228" s="7"/>
      <c r="G228" s="7"/>
    </row>
    <row r="229" spans="4:7" x14ac:dyDescent="0.3">
      <c r="D229" s="7"/>
      <c r="E229" s="7"/>
      <c r="F229" s="7"/>
      <c r="G229" s="7"/>
    </row>
    <row r="230" spans="4:7" x14ac:dyDescent="0.3">
      <c r="D230" s="7"/>
      <c r="E230" s="7"/>
      <c r="F230" s="7"/>
      <c r="G230" s="7"/>
    </row>
    <row r="231" spans="4:7" x14ac:dyDescent="0.3">
      <c r="D231" s="7"/>
      <c r="E231" s="7"/>
      <c r="F231" s="7"/>
      <c r="G231" s="7"/>
    </row>
    <row r="232" spans="4:7" x14ac:dyDescent="0.3">
      <c r="D232" s="7"/>
      <c r="E232" s="7"/>
      <c r="F232" s="7"/>
      <c r="G232" s="7"/>
    </row>
    <row r="233" spans="4:7" x14ac:dyDescent="0.3">
      <c r="D233" s="7"/>
      <c r="E233" s="7"/>
      <c r="F233" s="7"/>
      <c r="G233" s="7"/>
    </row>
    <row r="234" spans="4:7" x14ac:dyDescent="0.3">
      <c r="D234" s="7"/>
      <c r="E234" s="7"/>
      <c r="F234" s="7"/>
      <c r="G234" s="7"/>
    </row>
    <row r="235" spans="4:7" x14ac:dyDescent="0.3">
      <c r="D235" s="7"/>
      <c r="E235" s="7"/>
      <c r="F235" s="7"/>
      <c r="G235" s="7"/>
    </row>
    <row r="236" spans="4:7" x14ac:dyDescent="0.3">
      <c r="D236" s="7"/>
      <c r="E236" s="7"/>
      <c r="F236" s="7"/>
      <c r="G236" s="7"/>
    </row>
    <row r="237" spans="4:7" x14ac:dyDescent="0.3">
      <c r="D237" s="7"/>
      <c r="E237" s="7"/>
      <c r="F237" s="7"/>
      <c r="G237" s="7"/>
    </row>
    <row r="238" spans="4:7" x14ac:dyDescent="0.3">
      <c r="D238" s="7"/>
      <c r="E238" s="7"/>
      <c r="F238" s="7"/>
      <c r="G238" s="7"/>
    </row>
    <row r="239" spans="4:7" x14ac:dyDescent="0.3">
      <c r="D239" s="7"/>
      <c r="E239" s="7"/>
      <c r="F239" s="7"/>
      <c r="G239" s="7"/>
    </row>
    <row r="240" spans="4:7" x14ac:dyDescent="0.3">
      <c r="D240" s="7"/>
      <c r="E240" s="7"/>
      <c r="F240" s="7"/>
      <c r="G240" s="7"/>
    </row>
    <row r="241" spans="4:7" x14ac:dyDescent="0.3">
      <c r="D241" s="7"/>
      <c r="E241" s="7"/>
      <c r="F241" s="7"/>
      <c r="G241" s="7"/>
    </row>
    <row r="242" spans="4:7" x14ac:dyDescent="0.3">
      <c r="D242" s="7"/>
      <c r="E242" s="7"/>
      <c r="F242" s="7"/>
      <c r="G242" s="7"/>
    </row>
    <row r="243" spans="4:7" x14ac:dyDescent="0.3">
      <c r="D243" s="7"/>
      <c r="E243" s="7"/>
      <c r="F243" s="7"/>
      <c r="G243" s="7"/>
    </row>
    <row r="244" spans="4:7" x14ac:dyDescent="0.3">
      <c r="D244" s="7"/>
      <c r="E244" s="7"/>
      <c r="F244" s="7"/>
      <c r="G244" s="7"/>
    </row>
    <row r="245" spans="4:7" x14ac:dyDescent="0.3">
      <c r="D245" s="7"/>
      <c r="E245" s="7"/>
      <c r="F245" s="7"/>
      <c r="G245" s="7"/>
    </row>
    <row r="246" spans="4:7" x14ac:dyDescent="0.3">
      <c r="D246" s="7"/>
      <c r="E246" s="7"/>
      <c r="F246" s="7"/>
      <c r="G246" s="7"/>
    </row>
    <row r="247" spans="4:7" x14ac:dyDescent="0.3">
      <c r="D247" s="7"/>
      <c r="E247" s="7"/>
      <c r="F247" s="7"/>
      <c r="G247" s="7"/>
    </row>
    <row r="248" spans="4:7" x14ac:dyDescent="0.3">
      <c r="D248" s="7"/>
      <c r="E248" s="7"/>
      <c r="F248" s="7"/>
      <c r="G248" s="7"/>
    </row>
    <row r="249" spans="4:7" x14ac:dyDescent="0.3">
      <c r="D249" s="7"/>
      <c r="E249" s="7"/>
      <c r="F249" s="7"/>
      <c r="G249" s="7"/>
    </row>
    <row r="250" spans="4:7" x14ac:dyDescent="0.3">
      <c r="D250" s="7"/>
      <c r="E250" s="7"/>
      <c r="F250" s="7"/>
      <c r="G250" s="7"/>
    </row>
    <row r="251" spans="4:7" x14ac:dyDescent="0.3">
      <c r="D251" s="7"/>
      <c r="E251" s="7"/>
      <c r="F251" s="7"/>
      <c r="G251" s="7"/>
    </row>
    <row r="252" spans="4:7" x14ac:dyDescent="0.3">
      <c r="D252" s="7"/>
      <c r="E252" s="7"/>
      <c r="F252" s="7"/>
      <c r="G252" s="7"/>
    </row>
    <row r="253" spans="4:7" x14ac:dyDescent="0.3">
      <c r="D253" s="7"/>
      <c r="E253" s="7"/>
      <c r="F253" s="7"/>
      <c r="G253" s="7"/>
    </row>
    <row r="254" spans="4:7" x14ac:dyDescent="0.3">
      <c r="D254" s="7"/>
      <c r="E254" s="7"/>
      <c r="F254" s="7"/>
      <c r="G254" s="7"/>
    </row>
    <row r="255" spans="4:7" x14ac:dyDescent="0.3">
      <c r="D255" s="7"/>
      <c r="E255" s="7"/>
      <c r="F255" s="7"/>
      <c r="G255" s="7"/>
    </row>
    <row r="256" spans="4:7" x14ac:dyDescent="0.3">
      <c r="D256" s="7"/>
      <c r="E256" s="7"/>
      <c r="F256" s="7"/>
      <c r="G256" s="7"/>
    </row>
    <row r="257" spans="4:7" x14ac:dyDescent="0.3">
      <c r="D257" s="7"/>
      <c r="E257" s="7"/>
      <c r="F257" s="7"/>
      <c r="G257" s="7"/>
    </row>
    <row r="258" spans="4:7" x14ac:dyDescent="0.3">
      <c r="D258" s="7"/>
      <c r="E258" s="7"/>
      <c r="F258" s="7"/>
      <c r="G258" s="7"/>
    </row>
    <row r="259" spans="4:7" x14ac:dyDescent="0.3">
      <c r="D259" s="7"/>
      <c r="E259" s="7"/>
      <c r="F259" s="7"/>
      <c r="G259" s="7"/>
    </row>
    <row r="260" spans="4:7" x14ac:dyDescent="0.3">
      <c r="D260" s="7"/>
      <c r="E260" s="7"/>
      <c r="F260" s="7"/>
      <c r="G260" s="7"/>
    </row>
    <row r="261" spans="4:7" x14ac:dyDescent="0.3">
      <c r="D261" s="7"/>
      <c r="E261" s="7"/>
      <c r="F261" s="7"/>
      <c r="G261" s="7"/>
    </row>
    <row r="262" spans="4:7" x14ac:dyDescent="0.3">
      <c r="D262" s="7"/>
      <c r="E262" s="7"/>
      <c r="F262" s="7"/>
      <c r="G262" s="7"/>
    </row>
    <row r="263" spans="4:7" x14ac:dyDescent="0.3">
      <c r="D263" s="7"/>
      <c r="E263" s="7"/>
      <c r="F263" s="7"/>
      <c r="G263" s="7"/>
    </row>
    <row r="264" spans="4:7" x14ac:dyDescent="0.3">
      <c r="D264" s="7"/>
      <c r="E264" s="7"/>
      <c r="F264" s="7"/>
      <c r="G264" s="7"/>
    </row>
    <row r="265" spans="4:7" x14ac:dyDescent="0.3">
      <c r="D265" s="7"/>
      <c r="E265" s="7"/>
      <c r="F265" s="7"/>
      <c r="G265" s="7"/>
    </row>
    <row r="266" spans="4:7" x14ac:dyDescent="0.3">
      <c r="D266" s="7"/>
      <c r="E266" s="7"/>
      <c r="F266" s="7"/>
      <c r="G266" s="7"/>
    </row>
    <row r="267" spans="4:7" x14ac:dyDescent="0.3">
      <c r="D267" s="7"/>
      <c r="E267" s="7"/>
      <c r="F267" s="7"/>
      <c r="G267" s="7"/>
    </row>
    <row r="268" spans="4:7" x14ac:dyDescent="0.3">
      <c r="D268" s="7"/>
      <c r="E268" s="7"/>
      <c r="F268" s="7"/>
      <c r="G268" s="7"/>
    </row>
    <row r="269" spans="4:7" x14ac:dyDescent="0.3">
      <c r="D269" s="7"/>
      <c r="E269" s="7"/>
      <c r="F269" s="7"/>
      <c r="G269" s="7"/>
    </row>
    <row r="270" spans="4:7" x14ac:dyDescent="0.3">
      <c r="D270" s="7"/>
      <c r="E270" s="7"/>
      <c r="F270" s="7"/>
      <c r="G270" s="7"/>
    </row>
    <row r="271" spans="4:7" x14ac:dyDescent="0.3">
      <c r="D271" s="7"/>
      <c r="E271" s="7"/>
      <c r="F271" s="7"/>
      <c r="G271" s="7"/>
    </row>
    <row r="272" spans="4:7" x14ac:dyDescent="0.3">
      <c r="D272" s="7"/>
      <c r="E272" s="7"/>
      <c r="F272" s="7"/>
      <c r="G272" s="7"/>
    </row>
    <row r="273" spans="4:7" x14ac:dyDescent="0.3">
      <c r="D273" s="7"/>
      <c r="E273" s="7"/>
      <c r="F273" s="7"/>
      <c r="G273" s="7"/>
    </row>
    <row r="274" spans="4:7" x14ac:dyDescent="0.3">
      <c r="D274" s="7"/>
      <c r="E274" s="7"/>
      <c r="F274" s="7"/>
      <c r="G274" s="7"/>
    </row>
    <row r="275" spans="4:7" x14ac:dyDescent="0.3">
      <c r="D275" s="7"/>
      <c r="E275" s="7"/>
      <c r="F275" s="7"/>
      <c r="G275" s="7"/>
    </row>
    <row r="276" spans="4:7" x14ac:dyDescent="0.3">
      <c r="D276" s="7"/>
      <c r="E276" s="7"/>
      <c r="F276" s="7"/>
      <c r="G276" s="7"/>
    </row>
    <row r="277" spans="4:7" x14ac:dyDescent="0.3">
      <c r="D277" s="7"/>
      <c r="E277" s="7"/>
      <c r="F277" s="7"/>
      <c r="G277" s="7"/>
    </row>
    <row r="278" spans="4:7" x14ac:dyDescent="0.3">
      <c r="D278" s="7"/>
      <c r="E278" s="7"/>
      <c r="F278" s="7"/>
      <c r="G278" s="7"/>
    </row>
    <row r="279" spans="4:7" x14ac:dyDescent="0.3">
      <c r="D279" s="7"/>
      <c r="E279" s="7"/>
      <c r="F279" s="7"/>
      <c r="G279" s="7"/>
    </row>
    <row r="280" spans="4:7" x14ac:dyDescent="0.3">
      <c r="D280" s="7"/>
      <c r="E280" s="7"/>
      <c r="F280" s="7"/>
      <c r="G280" s="7"/>
    </row>
    <row r="281" spans="4:7" x14ac:dyDescent="0.3">
      <c r="D281" s="7"/>
      <c r="E281" s="7"/>
      <c r="F281" s="7"/>
      <c r="G281" s="7"/>
    </row>
    <row r="282" spans="4:7" x14ac:dyDescent="0.3">
      <c r="D282" s="7"/>
      <c r="E282" s="7"/>
      <c r="F282" s="7"/>
      <c r="G282" s="7"/>
    </row>
    <row r="283" spans="4:7" x14ac:dyDescent="0.3">
      <c r="D283" s="7"/>
      <c r="E283" s="7"/>
      <c r="F283" s="7"/>
      <c r="G283" s="7"/>
    </row>
    <row r="284" spans="4:7" x14ac:dyDescent="0.3">
      <c r="D284" s="7"/>
      <c r="E284" s="7"/>
      <c r="F284" s="7"/>
      <c r="G284" s="7"/>
    </row>
    <row r="285" spans="4:7" x14ac:dyDescent="0.3">
      <c r="D285" s="7"/>
      <c r="E285" s="7"/>
      <c r="F285" s="7"/>
      <c r="G285" s="7"/>
    </row>
    <row r="286" spans="4:7" x14ac:dyDescent="0.3">
      <c r="D286" s="7"/>
      <c r="E286" s="7"/>
      <c r="F286" s="7"/>
      <c r="G286" s="7"/>
    </row>
    <row r="287" spans="4:7" x14ac:dyDescent="0.3">
      <c r="D287" s="7"/>
      <c r="E287" s="7"/>
      <c r="F287" s="7"/>
      <c r="G287" s="7"/>
    </row>
    <row r="288" spans="4:7" x14ac:dyDescent="0.3">
      <c r="D288" s="7"/>
      <c r="E288" s="7"/>
      <c r="F288" s="7"/>
      <c r="G288" s="7"/>
    </row>
    <row r="289" spans="4:7" x14ac:dyDescent="0.3">
      <c r="D289" s="7"/>
      <c r="E289" s="7"/>
      <c r="F289" s="7"/>
      <c r="G289" s="7"/>
    </row>
    <row r="290" spans="4:7" x14ac:dyDescent="0.3">
      <c r="D290" s="7"/>
      <c r="E290" s="7"/>
      <c r="F290" s="7"/>
      <c r="G290" s="7"/>
    </row>
    <row r="291" spans="4:7" x14ac:dyDescent="0.3">
      <c r="D291" s="7"/>
      <c r="E291" s="7"/>
      <c r="F291" s="7"/>
      <c r="G291" s="7"/>
    </row>
    <row r="292" spans="4:7" x14ac:dyDescent="0.3">
      <c r="D292" s="7"/>
      <c r="E292" s="7"/>
      <c r="F292" s="7"/>
      <c r="G292" s="7"/>
    </row>
    <row r="293" spans="4:7" x14ac:dyDescent="0.3">
      <c r="D293" s="7"/>
      <c r="E293" s="7"/>
      <c r="F293" s="7"/>
      <c r="G293" s="7"/>
    </row>
    <row r="294" spans="4:7" x14ac:dyDescent="0.3">
      <c r="D294" s="7"/>
      <c r="E294" s="7"/>
      <c r="F294" s="7"/>
      <c r="G294" s="7"/>
    </row>
    <row r="295" spans="4:7" x14ac:dyDescent="0.3">
      <c r="D295" s="7"/>
      <c r="E295" s="7"/>
      <c r="F295" s="7"/>
      <c r="G295" s="7"/>
    </row>
    <row r="296" spans="4:7" x14ac:dyDescent="0.3">
      <c r="D296" s="7"/>
      <c r="E296" s="7"/>
      <c r="F296" s="7"/>
      <c r="G296" s="7"/>
    </row>
    <row r="297" spans="4:7" x14ac:dyDescent="0.3">
      <c r="D297" s="7"/>
      <c r="E297" s="7"/>
      <c r="F297" s="7"/>
      <c r="G297" s="7"/>
    </row>
    <row r="298" spans="4:7" x14ac:dyDescent="0.3">
      <c r="D298" s="7"/>
      <c r="E298" s="7"/>
      <c r="F298" s="7"/>
      <c r="G298" s="7"/>
    </row>
    <row r="299" spans="4:7" x14ac:dyDescent="0.3">
      <c r="D299" s="7"/>
      <c r="E299" s="7"/>
      <c r="F299" s="7"/>
      <c r="G299" s="7"/>
    </row>
    <row r="300" spans="4:7" x14ac:dyDescent="0.3">
      <c r="D300" s="7"/>
      <c r="E300" s="7"/>
      <c r="F300" s="7"/>
      <c r="G300" s="7"/>
    </row>
    <row r="301" spans="4:7" x14ac:dyDescent="0.3">
      <c r="D301" s="7"/>
      <c r="E301" s="7"/>
      <c r="F301" s="7"/>
      <c r="G301" s="7"/>
    </row>
    <row r="302" spans="4:7" x14ac:dyDescent="0.3">
      <c r="D302" s="7"/>
      <c r="E302" s="7"/>
      <c r="F302" s="7"/>
      <c r="G302" s="7"/>
    </row>
    <row r="303" spans="4:7" x14ac:dyDescent="0.3">
      <c r="D303" s="7"/>
      <c r="E303" s="7"/>
      <c r="F303" s="7"/>
      <c r="G303" s="7"/>
    </row>
    <row r="304" spans="4:7" x14ac:dyDescent="0.3">
      <c r="D304" s="7"/>
      <c r="E304" s="7"/>
      <c r="F304" s="7"/>
      <c r="G304" s="7"/>
    </row>
    <row r="305" spans="4:7" x14ac:dyDescent="0.3">
      <c r="D305" s="7"/>
      <c r="E305" s="7"/>
      <c r="F305" s="7"/>
      <c r="G305" s="7"/>
    </row>
    <row r="306" spans="4:7" x14ac:dyDescent="0.3">
      <c r="D306" s="7"/>
      <c r="E306" s="7"/>
      <c r="F306" s="7"/>
      <c r="G306" s="7"/>
    </row>
    <row r="307" spans="4:7" x14ac:dyDescent="0.3">
      <c r="D307" s="7"/>
      <c r="E307" s="7"/>
      <c r="F307" s="7"/>
      <c r="G307" s="7"/>
    </row>
    <row r="308" spans="4:7" x14ac:dyDescent="0.3">
      <c r="D308" s="7"/>
      <c r="E308" s="7"/>
      <c r="F308" s="7"/>
      <c r="G308" s="7"/>
    </row>
    <row r="309" spans="4:7" x14ac:dyDescent="0.3">
      <c r="D309" s="7"/>
      <c r="E309" s="7"/>
      <c r="F309" s="7"/>
      <c r="G309" s="7"/>
    </row>
    <row r="310" spans="4:7" x14ac:dyDescent="0.3">
      <c r="D310" s="7"/>
      <c r="E310" s="7"/>
      <c r="F310" s="7"/>
      <c r="G310" s="7"/>
    </row>
    <row r="311" spans="4:7" x14ac:dyDescent="0.3">
      <c r="D311" s="7"/>
      <c r="E311" s="7"/>
      <c r="F311" s="7"/>
      <c r="G311" s="7"/>
    </row>
    <row r="312" spans="4:7" x14ac:dyDescent="0.3">
      <c r="D312" s="7"/>
      <c r="E312" s="7"/>
      <c r="F312" s="7"/>
      <c r="G312" s="7"/>
    </row>
    <row r="313" spans="4:7" x14ac:dyDescent="0.3">
      <c r="D313" s="7"/>
      <c r="E313" s="7"/>
      <c r="F313" s="7"/>
      <c r="G313" s="7"/>
    </row>
    <row r="314" spans="4:7" x14ac:dyDescent="0.3">
      <c r="D314" s="7"/>
      <c r="E314" s="7"/>
      <c r="F314" s="7"/>
      <c r="G314" s="7"/>
    </row>
    <row r="315" spans="4:7" x14ac:dyDescent="0.3">
      <c r="D315" s="7"/>
      <c r="E315" s="7"/>
      <c r="F315" s="7"/>
      <c r="G315" s="7"/>
    </row>
    <row r="316" spans="4:7" x14ac:dyDescent="0.3">
      <c r="D316" s="7"/>
      <c r="E316" s="7"/>
      <c r="F316" s="7"/>
      <c r="G316" s="7"/>
    </row>
    <row r="317" spans="4:7" x14ac:dyDescent="0.3">
      <c r="D317" s="7"/>
      <c r="E317" s="7"/>
      <c r="F317" s="7"/>
      <c r="G317" s="7"/>
    </row>
    <row r="318" spans="4:7" x14ac:dyDescent="0.3">
      <c r="D318" s="7"/>
      <c r="E318" s="7"/>
      <c r="F318" s="7"/>
      <c r="G318" s="7"/>
    </row>
    <row r="319" spans="4:7" x14ac:dyDescent="0.3">
      <c r="D319" s="7"/>
      <c r="E319" s="7"/>
      <c r="F319" s="7"/>
      <c r="G319" s="7"/>
    </row>
    <row r="320" spans="4:7" x14ac:dyDescent="0.3">
      <c r="D320" s="7"/>
      <c r="E320" s="7"/>
      <c r="F320" s="7"/>
      <c r="G320" s="7"/>
    </row>
    <row r="321" spans="4:7" x14ac:dyDescent="0.3">
      <c r="D321" s="7"/>
      <c r="E321" s="7"/>
      <c r="F321" s="7"/>
      <c r="G321" s="7"/>
    </row>
    <row r="322" spans="4:7" x14ac:dyDescent="0.3">
      <c r="D322" s="7"/>
      <c r="E322" s="7"/>
      <c r="F322" s="7"/>
      <c r="G322" s="7"/>
    </row>
    <row r="323" spans="4:7" x14ac:dyDescent="0.3">
      <c r="D323" s="7"/>
      <c r="E323" s="7"/>
      <c r="F323" s="7"/>
      <c r="G323" s="7"/>
    </row>
    <row r="324" spans="4:7" x14ac:dyDescent="0.3">
      <c r="D324" s="7"/>
      <c r="E324" s="7"/>
      <c r="F324" s="7"/>
      <c r="G324" s="7"/>
    </row>
    <row r="325" spans="4:7" x14ac:dyDescent="0.3">
      <c r="D325" s="7"/>
      <c r="E325" s="7"/>
      <c r="F325" s="7"/>
      <c r="G325" s="7"/>
    </row>
    <row r="326" spans="4:7" x14ac:dyDescent="0.3">
      <c r="D326" s="7"/>
      <c r="E326" s="7"/>
      <c r="F326" s="7"/>
      <c r="G326" s="7"/>
    </row>
    <row r="327" spans="4:7" x14ac:dyDescent="0.3">
      <c r="D327" s="7"/>
      <c r="E327" s="7"/>
      <c r="F327" s="7"/>
      <c r="G327" s="7"/>
    </row>
    <row r="328" spans="4:7" x14ac:dyDescent="0.3">
      <c r="D328" s="7"/>
      <c r="E328" s="7"/>
      <c r="F328" s="7"/>
      <c r="G328" s="7"/>
    </row>
    <row r="329" spans="4:7" x14ac:dyDescent="0.3">
      <c r="D329" s="7"/>
      <c r="E329" s="7"/>
      <c r="F329" s="7"/>
      <c r="G329" s="7"/>
    </row>
    <row r="330" spans="4:7" x14ac:dyDescent="0.3">
      <c r="D330" s="7"/>
      <c r="E330" s="7"/>
      <c r="F330" s="7"/>
      <c r="G330" s="7"/>
    </row>
    <row r="331" spans="4:7" x14ac:dyDescent="0.3">
      <c r="D331" s="7"/>
      <c r="E331" s="7"/>
      <c r="F331" s="7"/>
      <c r="G331" s="7"/>
    </row>
    <row r="332" spans="4:7" x14ac:dyDescent="0.3">
      <c r="D332" s="7"/>
      <c r="E332" s="7"/>
      <c r="F332" s="7"/>
      <c r="G332" s="7"/>
    </row>
    <row r="333" spans="4:7" x14ac:dyDescent="0.3">
      <c r="D333" s="7"/>
      <c r="E333" s="7"/>
      <c r="F333" s="7"/>
      <c r="G333" s="7"/>
    </row>
    <row r="334" spans="4:7" x14ac:dyDescent="0.3">
      <c r="D334" s="7"/>
      <c r="E334" s="7"/>
      <c r="F334" s="7"/>
      <c r="G334" s="7"/>
    </row>
    <row r="335" spans="4:7" x14ac:dyDescent="0.3">
      <c r="D335" s="7"/>
      <c r="E335" s="7"/>
      <c r="F335" s="7"/>
      <c r="G335" s="7"/>
    </row>
    <row r="336" spans="4:7" x14ac:dyDescent="0.3">
      <c r="D336" s="7"/>
      <c r="E336" s="7"/>
      <c r="F336" s="7"/>
      <c r="G336" s="7"/>
    </row>
    <row r="337" spans="4:7" x14ac:dyDescent="0.3">
      <c r="D337" s="7"/>
      <c r="E337" s="7"/>
      <c r="F337" s="7"/>
      <c r="G337" s="7"/>
    </row>
    <row r="338" spans="4:7" x14ac:dyDescent="0.3">
      <c r="D338" s="7"/>
      <c r="E338" s="7"/>
      <c r="F338" s="7"/>
      <c r="G338" s="7"/>
    </row>
    <row r="339" spans="4:7" x14ac:dyDescent="0.3">
      <c r="D339" s="7"/>
      <c r="E339" s="7"/>
      <c r="F339" s="7"/>
      <c r="G339" s="7"/>
    </row>
    <row r="340" spans="4:7" x14ac:dyDescent="0.3">
      <c r="D340" s="7"/>
      <c r="E340" s="7"/>
      <c r="F340" s="7"/>
      <c r="G340" s="7"/>
    </row>
    <row r="341" spans="4:7" x14ac:dyDescent="0.3">
      <c r="D341" s="7"/>
      <c r="E341" s="7"/>
      <c r="F341" s="7"/>
      <c r="G341" s="7"/>
    </row>
    <row r="342" spans="4:7" x14ac:dyDescent="0.3">
      <c r="D342" s="7"/>
      <c r="E342" s="7"/>
      <c r="F342" s="7"/>
      <c r="G342" s="7"/>
    </row>
    <row r="343" spans="4:7" x14ac:dyDescent="0.3">
      <c r="D343" s="7"/>
      <c r="E343" s="7"/>
      <c r="F343" s="7"/>
      <c r="G343" s="7"/>
    </row>
    <row r="344" spans="4:7" x14ac:dyDescent="0.3">
      <c r="D344" s="7"/>
      <c r="E344" s="7"/>
      <c r="F344" s="7"/>
      <c r="G344" s="7"/>
    </row>
    <row r="345" spans="4:7" x14ac:dyDescent="0.3">
      <c r="D345" s="7"/>
      <c r="E345" s="7"/>
      <c r="F345" s="7"/>
      <c r="G345" s="7"/>
    </row>
    <row r="346" spans="4:7" x14ac:dyDescent="0.3">
      <c r="D346" s="7"/>
      <c r="E346" s="7"/>
      <c r="F346" s="7"/>
      <c r="G346" s="7"/>
    </row>
    <row r="347" spans="4:7" x14ac:dyDescent="0.3">
      <c r="D347" s="7"/>
      <c r="E347" s="7"/>
      <c r="F347" s="7"/>
      <c r="G347" s="7"/>
    </row>
    <row r="348" spans="4:7" x14ac:dyDescent="0.3">
      <c r="D348" s="7"/>
      <c r="E348" s="7"/>
      <c r="F348" s="7"/>
      <c r="G348" s="7"/>
    </row>
    <row r="349" spans="4:7" x14ac:dyDescent="0.3">
      <c r="D349" s="7"/>
      <c r="E349" s="7"/>
      <c r="F349" s="7"/>
      <c r="G349" s="7"/>
    </row>
    <row r="350" spans="4:7" x14ac:dyDescent="0.3">
      <c r="D350" s="7"/>
      <c r="E350" s="7"/>
      <c r="F350" s="7"/>
      <c r="G350" s="7"/>
    </row>
    <row r="351" spans="4:7" x14ac:dyDescent="0.3">
      <c r="D351" s="7"/>
      <c r="E351" s="7"/>
      <c r="F351" s="7"/>
      <c r="G351" s="7"/>
    </row>
    <row r="352" spans="4:7" x14ac:dyDescent="0.3">
      <c r="D352" s="7"/>
      <c r="E352" s="7"/>
      <c r="F352" s="7"/>
      <c r="G352" s="7"/>
    </row>
    <row r="353" spans="4:7" x14ac:dyDescent="0.3">
      <c r="D353" s="7"/>
      <c r="E353" s="7"/>
      <c r="F353" s="7"/>
      <c r="G353" s="7"/>
    </row>
    <row r="354" spans="4:7" x14ac:dyDescent="0.3">
      <c r="D354" s="7"/>
      <c r="E354" s="7"/>
      <c r="F354" s="7"/>
      <c r="G354" s="7"/>
    </row>
    <row r="355" spans="4:7" x14ac:dyDescent="0.3">
      <c r="D355" s="7"/>
      <c r="E355" s="7"/>
      <c r="F355" s="7"/>
      <c r="G355" s="7"/>
    </row>
    <row r="356" spans="4:7" x14ac:dyDescent="0.3">
      <c r="D356" s="7"/>
      <c r="E356" s="7"/>
      <c r="F356" s="7"/>
      <c r="G356" s="7"/>
    </row>
    <row r="357" spans="4:7" x14ac:dyDescent="0.3">
      <c r="D357" s="7"/>
      <c r="E357" s="7"/>
      <c r="F357" s="7"/>
      <c r="G357" s="7"/>
    </row>
    <row r="358" spans="4:7" x14ac:dyDescent="0.3">
      <c r="D358" s="7"/>
      <c r="E358" s="7"/>
      <c r="F358" s="7"/>
      <c r="G358" s="7"/>
    </row>
    <row r="359" spans="4:7" x14ac:dyDescent="0.3">
      <c r="D359" s="7"/>
      <c r="E359" s="7"/>
      <c r="F359" s="7"/>
      <c r="G359" s="7"/>
    </row>
    <row r="360" spans="4:7" x14ac:dyDescent="0.3">
      <c r="D360" s="7"/>
      <c r="E360" s="7"/>
      <c r="F360" s="7"/>
      <c r="G360" s="7"/>
    </row>
    <row r="361" spans="4:7" x14ac:dyDescent="0.3">
      <c r="D361" s="7"/>
      <c r="E361" s="7"/>
      <c r="F361" s="7"/>
      <c r="G361" s="7"/>
    </row>
    <row r="362" spans="4:7" x14ac:dyDescent="0.3">
      <c r="D362" s="7"/>
      <c r="E362" s="7"/>
      <c r="F362" s="7"/>
      <c r="G362" s="7"/>
    </row>
    <row r="363" spans="4:7" x14ac:dyDescent="0.3">
      <c r="D363" s="7"/>
      <c r="E363" s="7"/>
      <c r="F363" s="7"/>
      <c r="G363" s="7"/>
    </row>
    <row r="364" spans="4:7" x14ac:dyDescent="0.3">
      <c r="D364" s="7"/>
      <c r="E364" s="7"/>
      <c r="F364" s="7"/>
      <c r="G364" s="7"/>
    </row>
    <row r="365" spans="4:7" x14ac:dyDescent="0.3">
      <c r="D365" s="7"/>
      <c r="E365" s="7"/>
      <c r="F365" s="7"/>
      <c r="G365" s="7"/>
    </row>
    <row r="366" spans="4:7" x14ac:dyDescent="0.3">
      <c r="D366" s="7"/>
      <c r="E366" s="7"/>
      <c r="F366" s="7"/>
      <c r="G366" s="7"/>
    </row>
    <row r="367" spans="4:7" x14ac:dyDescent="0.3">
      <c r="D367" s="7"/>
      <c r="E367" s="7"/>
      <c r="F367" s="7"/>
      <c r="G367" s="7"/>
    </row>
    <row r="368" spans="4:7" x14ac:dyDescent="0.3">
      <c r="D368" s="7"/>
      <c r="E368" s="7"/>
      <c r="F368" s="7"/>
      <c r="G368" s="7"/>
    </row>
    <row r="369" spans="4:7" x14ac:dyDescent="0.3">
      <c r="D369" s="7"/>
      <c r="E369" s="7"/>
      <c r="F369" s="7"/>
      <c r="G369" s="7"/>
    </row>
    <row r="370" spans="4:7" x14ac:dyDescent="0.3">
      <c r="D370" s="7"/>
      <c r="E370" s="7"/>
      <c r="F370" s="7"/>
      <c r="G370" s="7"/>
    </row>
    <row r="371" spans="4:7" x14ac:dyDescent="0.3">
      <c r="D371" s="7"/>
      <c r="E371" s="7"/>
      <c r="F371" s="7"/>
      <c r="G371" s="7"/>
    </row>
    <row r="372" spans="4:7" x14ac:dyDescent="0.3">
      <c r="D372" s="7"/>
      <c r="E372" s="7"/>
      <c r="F372" s="7"/>
      <c r="G372" s="7"/>
    </row>
    <row r="373" spans="4:7" x14ac:dyDescent="0.3">
      <c r="D373" s="7"/>
      <c r="E373" s="7"/>
      <c r="F373" s="7"/>
      <c r="G373" s="7"/>
    </row>
    <row r="374" spans="4:7" x14ac:dyDescent="0.3">
      <c r="D374" s="7"/>
      <c r="E374" s="7"/>
      <c r="F374" s="7"/>
      <c r="G374" s="7"/>
    </row>
    <row r="375" spans="4:7" x14ac:dyDescent="0.3">
      <c r="D375" s="7"/>
      <c r="E375" s="7"/>
      <c r="F375" s="7"/>
      <c r="G375" s="7"/>
    </row>
    <row r="376" spans="4:7" x14ac:dyDescent="0.3">
      <c r="D376" s="7"/>
      <c r="E376" s="7"/>
      <c r="F376" s="7"/>
      <c r="G376" s="7"/>
    </row>
    <row r="377" spans="4:7" x14ac:dyDescent="0.3">
      <c r="D377" s="7"/>
      <c r="E377" s="7"/>
      <c r="F377" s="7"/>
      <c r="G377" s="7"/>
    </row>
    <row r="378" spans="4:7" x14ac:dyDescent="0.3">
      <c r="D378" s="7"/>
      <c r="E378" s="7"/>
      <c r="F378" s="7"/>
      <c r="G378" s="7"/>
    </row>
    <row r="379" spans="4:7" x14ac:dyDescent="0.3">
      <c r="D379" s="7"/>
      <c r="E379" s="7"/>
      <c r="F379" s="7"/>
      <c r="G379" s="7"/>
    </row>
    <row r="380" spans="4:7" x14ac:dyDescent="0.3">
      <c r="D380" s="7"/>
      <c r="E380" s="7"/>
      <c r="F380" s="7"/>
      <c r="G380" s="7"/>
    </row>
    <row r="381" spans="4:7" x14ac:dyDescent="0.3">
      <c r="D381" s="7"/>
      <c r="E381" s="7"/>
      <c r="F381" s="7"/>
      <c r="G381" s="7"/>
    </row>
    <row r="382" spans="4:7" x14ac:dyDescent="0.3">
      <c r="D382" s="7"/>
      <c r="E382" s="7"/>
      <c r="F382" s="7"/>
      <c r="G382" s="7"/>
    </row>
    <row r="383" spans="4:7" x14ac:dyDescent="0.3">
      <c r="D383" s="7"/>
      <c r="E383" s="7"/>
      <c r="F383" s="7"/>
      <c r="G383" s="7"/>
    </row>
    <row r="384" spans="4:7" x14ac:dyDescent="0.3">
      <c r="D384" s="7"/>
      <c r="E384" s="7"/>
      <c r="F384" s="7"/>
      <c r="G384" s="7"/>
    </row>
    <row r="385" spans="4:7" x14ac:dyDescent="0.3">
      <c r="D385" s="7"/>
      <c r="E385" s="7"/>
      <c r="F385" s="7"/>
      <c r="G385" s="7"/>
    </row>
    <row r="386" spans="4:7" x14ac:dyDescent="0.3">
      <c r="D386" s="7"/>
      <c r="E386" s="7"/>
      <c r="F386" s="7"/>
      <c r="G386" s="7"/>
    </row>
    <row r="387" spans="4:7" x14ac:dyDescent="0.3">
      <c r="D387" s="7"/>
      <c r="E387" s="7"/>
      <c r="F387" s="7"/>
      <c r="G387" s="7"/>
    </row>
    <row r="388" spans="4:7" x14ac:dyDescent="0.3">
      <c r="D388" s="7"/>
      <c r="E388" s="7"/>
      <c r="F388" s="7"/>
      <c r="G388" s="7"/>
    </row>
    <row r="389" spans="4:7" x14ac:dyDescent="0.3">
      <c r="D389" s="7"/>
      <c r="E389" s="7"/>
      <c r="F389" s="7"/>
      <c r="G389" s="7"/>
    </row>
    <row r="390" spans="4:7" x14ac:dyDescent="0.3">
      <c r="D390" s="7"/>
      <c r="E390" s="7"/>
      <c r="F390" s="7"/>
      <c r="G390" s="7"/>
    </row>
    <row r="391" spans="4:7" x14ac:dyDescent="0.3">
      <c r="D391" s="7"/>
      <c r="E391" s="7"/>
      <c r="F391" s="7"/>
      <c r="G391" s="7"/>
    </row>
    <row r="392" spans="4:7" x14ac:dyDescent="0.3">
      <c r="D392" s="7"/>
      <c r="E392" s="7"/>
      <c r="F392" s="7"/>
      <c r="G392" s="7"/>
    </row>
    <row r="393" spans="4:7" x14ac:dyDescent="0.3">
      <c r="D393" s="7"/>
      <c r="E393" s="7"/>
      <c r="F393" s="7"/>
      <c r="G393" s="7"/>
    </row>
    <row r="394" spans="4:7" x14ac:dyDescent="0.3">
      <c r="D394" s="7"/>
      <c r="E394" s="7"/>
      <c r="F394" s="7"/>
      <c r="G394" s="7"/>
    </row>
    <row r="395" spans="4:7" x14ac:dyDescent="0.3">
      <c r="D395" s="7"/>
      <c r="E395" s="7"/>
      <c r="F395" s="7"/>
      <c r="G395" s="7"/>
    </row>
    <row r="396" spans="4:7" x14ac:dyDescent="0.3">
      <c r="D396" s="7"/>
      <c r="E396" s="7"/>
      <c r="F396" s="7"/>
      <c r="G396" s="7"/>
    </row>
    <row r="397" spans="4:7" x14ac:dyDescent="0.3">
      <c r="D397" s="7"/>
      <c r="E397" s="7"/>
      <c r="F397" s="7"/>
      <c r="G397" s="7"/>
    </row>
    <row r="398" spans="4:7" x14ac:dyDescent="0.3">
      <c r="D398" s="7"/>
      <c r="E398" s="7"/>
      <c r="F398" s="7"/>
      <c r="G398" s="7"/>
    </row>
    <row r="399" spans="4:7" x14ac:dyDescent="0.3">
      <c r="D399" s="7"/>
      <c r="E399" s="7"/>
      <c r="F399" s="7"/>
      <c r="G399" s="7"/>
    </row>
    <row r="400" spans="4:7" x14ac:dyDescent="0.3">
      <c r="D400" s="7"/>
      <c r="E400" s="7"/>
      <c r="F400" s="7"/>
      <c r="G400" s="7"/>
    </row>
    <row r="401" spans="4:7" x14ac:dyDescent="0.3">
      <c r="D401" s="7"/>
      <c r="E401" s="7"/>
      <c r="F401" s="7"/>
      <c r="G401" s="7"/>
    </row>
    <row r="402" spans="4:7" x14ac:dyDescent="0.3">
      <c r="D402" s="7"/>
      <c r="E402" s="7"/>
      <c r="F402" s="7"/>
      <c r="G402" s="7"/>
    </row>
    <row r="403" spans="4:7" x14ac:dyDescent="0.3">
      <c r="D403" s="7"/>
      <c r="E403" s="7"/>
      <c r="F403" s="7"/>
      <c r="G403" s="7"/>
    </row>
    <row r="404" spans="4:7" x14ac:dyDescent="0.3">
      <c r="D404" s="7"/>
      <c r="E404" s="7"/>
      <c r="F404" s="7"/>
      <c r="G404" s="7"/>
    </row>
    <row r="405" spans="4:7" x14ac:dyDescent="0.3">
      <c r="D405" s="7"/>
      <c r="E405" s="7"/>
      <c r="F405" s="7"/>
      <c r="G405" s="7"/>
    </row>
    <row r="406" spans="4:7" x14ac:dyDescent="0.3">
      <c r="D406" s="7"/>
      <c r="E406" s="7"/>
      <c r="F406" s="7"/>
      <c r="G406" s="7"/>
    </row>
    <row r="407" spans="4:7" x14ac:dyDescent="0.3">
      <c r="D407" s="7"/>
      <c r="E407" s="7"/>
      <c r="F407" s="7"/>
      <c r="G407" s="7"/>
    </row>
    <row r="408" spans="4:7" x14ac:dyDescent="0.3">
      <c r="D408" s="7"/>
      <c r="E408" s="7"/>
      <c r="F408" s="7"/>
      <c r="G408" s="7"/>
    </row>
    <row r="409" spans="4:7" x14ac:dyDescent="0.3">
      <c r="D409" s="7"/>
      <c r="E409" s="7"/>
      <c r="F409" s="7"/>
      <c r="G409" s="7"/>
    </row>
    <row r="410" spans="4:7" x14ac:dyDescent="0.3">
      <c r="D410" s="7"/>
      <c r="E410" s="7"/>
      <c r="F410" s="7"/>
      <c r="G410" s="7"/>
    </row>
    <row r="411" spans="4:7" x14ac:dyDescent="0.3">
      <c r="D411" s="7"/>
      <c r="E411" s="7"/>
      <c r="F411" s="7"/>
      <c r="G411" s="7"/>
    </row>
    <row r="412" spans="4:7" x14ac:dyDescent="0.3">
      <c r="D412" s="7"/>
      <c r="E412" s="7"/>
      <c r="F412" s="7"/>
      <c r="G412" s="7"/>
    </row>
    <row r="413" spans="4:7" x14ac:dyDescent="0.3">
      <c r="D413" s="7"/>
      <c r="E413" s="7"/>
      <c r="F413" s="7"/>
      <c r="G413" s="7"/>
    </row>
    <row r="414" spans="4:7" x14ac:dyDescent="0.3">
      <c r="D414" s="7"/>
      <c r="E414" s="7"/>
      <c r="F414" s="7"/>
      <c r="G414" s="7"/>
    </row>
    <row r="415" spans="4:7" x14ac:dyDescent="0.3">
      <c r="D415" s="7"/>
      <c r="E415" s="7"/>
      <c r="F415" s="7"/>
      <c r="G415" s="7"/>
    </row>
    <row r="416" spans="4:7" x14ac:dyDescent="0.3">
      <c r="D416" s="7"/>
      <c r="E416" s="7"/>
      <c r="F416" s="7"/>
      <c r="G416" s="7"/>
    </row>
    <row r="417" spans="4:7" x14ac:dyDescent="0.3">
      <c r="D417" s="7"/>
      <c r="E417" s="7"/>
      <c r="F417" s="7"/>
      <c r="G417" s="7"/>
    </row>
    <row r="418" spans="4:7" x14ac:dyDescent="0.3">
      <c r="D418" s="7"/>
      <c r="E418" s="7"/>
      <c r="F418" s="7"/>
      <c r="G418" s="7"/>
    </row>
    <row r="419" spans="4:7" x14ac:dyDescent="0.3">
      <c r="D419" s="7"/>
      <c r="E419" s="7"/>
      <c r="F419" s="7"/>
      <c r="G419" s="7"/>
    </row>
    <row r="420" spans="4:7" x14ac:dyDescent="0.3">
      <c r="D420" s="7"/>
      <c r="E420" s="7"/>
      <c r="F420" s="7"/>
      <c r="G420" s="7"/>
    </row>
    <row r="421" spans="4:7" x14ac:dyDescent="0.3">
      <c r="D421" s="7"/>
      <c r="E421" s="7"/>
      <c r="F421" s="7"/>
      <c r="G421" s="7"/>
    </row>
    <row r="422" spans="4:7" x14ac:dyDescent="0.3">
      <c r="D422" s="7"/>
      <c r="E422" s="7"/>
      <c r="F422" s="7"/>
      <c r="G422" s="7"/>
    </row>
    <row r="423" spans="4:7" x14ac:dyDescent="0.3">
      <c r="D423" s="7"/>
      <c r="E423" s="7"/>
      <c r="F423" s="7"/>
      <c r="G423" s="7"/>
    </row>
    <row r="424" spans="4:7" x14ac:dyDescent="0.3">
      <c r="D424" s="7"/>
      <c r="E424" s="7"/>
      <c r="F424" s="7"/>
      <c r="G424" s="7"/>
    </row>
    <row r="425" spans="4:7" x14ac:dyDescent="0.3">
      <c r="D425" s="7"/>
      <c r="E425" s="7"/>
      <c r="F425" s="7"/>
      <c r="G425" s="7"/>
    </row>
    <row r="426" spans="4:7" x14ac:dyDescent="0.3">
      <c r="D426" s="7"/>
      <c r="E426" s="7"/>
      <c r="F426" s="7"/>
      <c r="G426" s="7"/>
    </row>
    <row r="427" spans="4:7" x14ac:dyDescent="0.3">
      <c r="D427" s="7"/>
      <c r="E427" s="7"/>
      <c r="F427" s="7"/>
      <c r="G427" s="7"/>
    </row>
    <row r="428" spans="4:7" x14ac:dyDescent="0.3">
      <c r="D428" s="7"/>
      <c r="E428" s="7"/>
      <c r="F428" s="7"/>
      <c r="G428" s="7"/>
    </row>
    <row r="429" spans="4:7" x14ac:dyDescent="0.3">
      <c r="D429" s="7"/>
      <c r="E429" s="7"/>
      <c r="F429" s="7"/>
      <c r="G429" s="7"/>
    </row>
    <row r="430" spans="4:7" x14ac:dyDescent="0.3">
      <c r="D430" s="7"/>
      <c r="E430" s="7"/>
      <c r="F430" s="7"/>
      <c r="G430" s="7"/>
    </row>
    <row r="431" spans="4:7" x14ac:dyDescent="0.3">
      <c r="D431" s="7"/>
      <c r="E431" s="7"/>
      <c r="F431" s="7"/>
      <c r="G431" s="7"/>
    </row>
    <row r="432" spans="4:7" x14ac:dyDescent="0.3">
      <c r="D432" s="7"/>
      <c r="E432" s="7"/>
      <c r="F432" s="7"/>
      <c r="G432" s="7"/>
    </row>
    <row r="433" spans="4:7" x14ac:dyDescent="0.3">
      <c r="D433" s="7"/>
      <c r="E433" s="7"/>
      <c r="F433" s="7"/>
      <c r="G433" s="7"/>
    </row>
    <row r="434" spans="4:7" x14ac:dyDescent="0.3">
      <c r="D434" s="7"/>
      <c r="E434" s="7"/>
      <c r="F434" s="7"/>
      <c r="G434" s="7"/>
    </row>
    <row r="435" spans="4:7" x14ac:dyDescent="0.3">
      <c r="D435" s="7"/>
      <c r="E435" s="7"/>
      <c r="F435" s="7"/>
      <c r="G435" s="7"/>
    </row>
    <row r="436" spans="4:7" x14ac:dyDescent="0.3">
      <c r="D436" s="7"/>
      <c r="E436" s="7"/>
      <c r="F436" s="7"/>
      <c r="G436" s="7"/>
    </row>
    <row r="437" spans="4:7" x14ac:dyDescent="0.3">
      <c r="D437" s="7"/>
      <c r="E437" s="7"/>
      <c r="F437" s="7"/>
      <c r="G437" s="7"/>
    </row>
    <row r="438" spans="4:7" x14ac:dyDescent="0.3">
      <c r="D438" s="7"/>
      <c r="E438" s="7"/>
      <c r="F438" s="7"/>
      <c r="G438" s="7"/>
    </row>
    <row r="439" spans="4:7" x14ac:dyDescent="0.3">
      <c r="D439" s="7"/>
      <c r="E439" s="7"/>
      <c r="F439" s="7"/>
      <c r="G439" s="7"/>
    </row>
    <row r="440" spans="4:7" x14ac:dyDescent="0.3">
      <c r="D440" s="7"/>
      <c r="E440" s="7"/>
      <c r="F440" s="7"/>
      <c r="G440" s="7"/>
    </row>
    <row r="441" spans="4:7" x14ac:dyDescent="0.3">
      <c r="D441" s="7"/>
      <c r="E441" s="7"/>
      <c r="F441" s="7"/>
      <c r="G441" s="7"/>
    </row>
    <row r="442" spans="4:7" x14ac:dyDescent="0.3">
      <c r="D442" s="7"/>
      <c r="E442" s="7"/>
      <c r="F442" s="7"/>
      <c r="G442" s="7"/>
    </row>
    <row r="443" spans="4:7" x14ac:dyDescent="0.3">
      <c r="D443" s="7"/>
      <c r="E443" s="7"/>
      <c r="F443" s="7"/>
      <c r="G443" s="7"/>
    </row>
    <row r="444" spans="4:7" x14ac:dyDescent="0.3">
      <c r="D444" s="7"/>
      <c r="E444" s="7"/>
      <c r="F444" s="7"/>
      <c r="G444" s="7"/>
    </row>
    <row r="445" spans="4:7" x14ac:dyDescent="0.3">
      <c r="D445" s="7"/>
      <c r="E445" s="7"/>
      <c r="F445" s="7"/>
      <c r="G445" s="7"/>
    </row>
    <row r="446" spans="4:7" x14ac:dyDescent="0.3">
      <c r="D446" s="7"/>
      <c r="E446" s="7"/>
      <c r="F446" s="7"/>
      <c r="G446" s="7"/>
    </row>
    <row r="447" spans="4:7" x14ac:dyDescent="0.3">
      <c r="D447" s="7"/>
      <c r="E447" s="7"/>
      <c r="F447" s="7"/>
      <c r="G447" s="7"/>
    </row>
    <row r="448" spans="4:7" x14ac:dyDescent="0.3">
      <c r="D448" s="7"/>
      <c r="E448" s="7"/>
      <c r="F448" s="7"/>
      <c r="G448" s="7"/>
    </row>
    <row r="449" spans="4:7" x14ac:dyDescent="0.3">
      <c r="D449" s="7"/>
      <c r="E449" s="7"/>
      <c r="F449" s="7"/>
      <c r="G449" s="7"/>
    </row>
    <row r="450" spans="4:7" x14ac:dyDescent="0.3">
      <c r="D450" s="7"/>
      <c r="E450" s="7"/>
      <c r="F450" s="7"/>
      <c r="G450" s="7"/>
    </row>
    <row r="451" spans="4:7" x14ac:dyDescent="0.3">
      <c r="D451" s="7"/>
      <c r="E451" s="7"/>
      <c r="F451" s="7"/>
      <c r="G451" s="7"/>
    </row>
    <row r="452" spans="4:7" x14ac:dyDescent="0.3">
      <c r="D452" s="7"/>
      <c r="E452" s="7"/>
      <c r="F452" s="7"/>
      <c r="G452" s="7"/>
    </row>
    <row r="453" spans="4:7" x14ac:dyDescent="0.3">
      <c r="D453" s="7"/>
      <c r="E453" s="7"/>
      <c r="F453" s="7"/>
      <c r="G453" s="7"/>
    </row>
    <row r="454" spans="4:7" x14ac:dyDescent="0.3">
      <c r="D454" s="7"/>
      <c r="E454" s="7"/>
      <c r="F454" s="7"/>
      <c r="G454" s="7"/>
    </row>
  </sheetData>
  <mergeCells count="23">
    <mergeCell ref="K2:K4"/>
    <mergeCell ref="H6:H7"/>
    <mergeCell ref="J6:J7"/>
    <mergeCell ref="A6:A7"/>
    <mergeCell ref="D6:E6"/>
    <mergeCell ref="A2:G3"/>
    <mergeCell ref="I2:I4"/>
    <mergeCell ref="I6:I7"/>
    <mergeCell ref="H2:H4"/>
    <mergeCell ref="K6:K7"/>
    <mergeCell ref="O29:P29"/>
    <mergeCell ref="O27:P28"/>
    <mergeCell ref="O20:P20"/>
    <mergeCell ref="O23:P24"/>
    <mergeCell ref="L2:L4"/>
    <mergeCell ref="O14:P15"/>
    <mergeCell ref="O16:P16"/>
    <mergeCell ref="O25:P25"/>
    <mergeCell ref="O9:P10"/>
    <mergeCell ref="O21:P21"/>
    <mergeCell ref="O18:P19"/>
    <mergeCell ref="P2:P4"/>
    <mergeCell ref="L6:L7"/>
  </mergeCells>
  <conditionalFormatting sqref="K9:K51">
    <cfRule type="cellIs" dxfId="7" priority="1" operator="equal">
      <formula>"DIREITO"</formula>
    </cfRule>
    <cfRule type="cellIs" dxfId="6" priority="2" operator="equal">
      <formula>"ESQUERDO"</formula>
    </cfRule>
  </conditionalFormatting>
  <dataValidations count="3">
    <dataValidation type="list" allowBlank="1" showInputMessage="1" showErrorMessage="1" sqref="K9:K51" xr:uid="{00000000-0002-0000-0A00-000000000000}">
      <formula1>"TRAFO,LADO 1 PROJ2,LADO 2 PROJ2,LADO 3 PROJ2,,"</formula1>
    </dataValidation>
    <dataValidation type="list" allowBlank="1" showInputMessage="1" showErrorMessage="1" sqref="I2:I5" xr:uid="{00000000-0002-0000-0A00-000001000000}">
      <formula1>",SIM,NÃO"</formula1>
    </dataValidation>
    <dataValidation type="list" allowBlank="1" showInputMessage="1" showErrorMessage="1" sqref="L6:L7" xr:uid="{C2C6E874-0350-4ADB-9E0E-6CF4BADB2478}">
      <formula1>" ,SIM,NÃO"</formula1>
    </dataValidation>
  </dataValidation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ignoredErrors>
    <ignoredError sqref="I9:I51" calculatedColumn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88E9BC12-C134-40C3-8B9B-BEA1C860F346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1"/>
              <x14:cfIcon iconSet="3Symbols2" iconId="0"/>
              <x14:cfIcon iconSet="3Symbols2" iconId="2"/>
            </x14:iconSet>
          </x14:cfRule>
          <xm:sqref>M9:M51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FB6311-D992-4594-B4AF-D734F8D498D4}">
          <x14:formula1>
            <xm:f>DB!$A$2:$A$32</xm:f>
          </x14:formula1>
          <xm:sqref>L9:L10 L12:L15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24"/>
  <sheetViews>
    <sheetView zoomScaleNormal="100" workbookViewId="0">
      <pane ySplit="7" topLeftCell="A8" activePane="bottomLeft" state="frozen"/>
      <selection activeCell="A35" sqref="A35:Y35"/>
      <selection pane="bottomLeft" activeCell="A23" sqref="A23"/>
    </sheetView>
  </sheetViews>
  <sheetFormatPr defaultRowHeight="14.4" x14ac:dyDescent="0.3"/>
  <cols>
    <col min="2" max="2" width="11.6640625" bestFit="1" customWidth="1"/>
    <col min="3" max="3" width="12.6640625" customWidth="1"/>
    <col min="4" max="4" width="14.88671875" customWidth="1"/>
    <col min="5" max="5" width="8.6640625" customWidth="1"/>
    <col min="6" max="6" width="10.44140625" bestFit="1" customWidth="1"/>
    <col min="7" max="7" width="11.5546875" bestFit="1" customWidth="1"/>
    <col min="8" max="8" width="8.21875" customWidth="1"/>
    <col min="9" max="9" width="8.88671875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7.5546875" hidden="1" customWidth="1"/>
    <col min="19" max="19" width="20.6640625" hidden="1" customWidth="1"/>
    <col min="20" max="20" width="9" hidden="1" customWidth="1"/>
    <col min="21" max="21" width="8" bestFit="1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bestFit="1" customWidth="1"/>
    <col min="30" max="30" width="4.6640625" customWidth="1"/>
    <col min="31" max="31" width="11.5546875" bestFit="1" customWidth="1"/>
    <col min="32" max="32" width="28.33203125" bestFit="1" customWidth="1"/>
  </cols>
  <sheetData>
    <row r="1" spans="1:33" x14ac:dyDescent="0.3">
      <c r="J1" s="118" t="s">
        <v>94</v>
      </c>
    </row>
    <row r="2" spans="1:33" x14ac:dyDescent="0.3">
      <c r="B2" s="259" t="s">
        <v>237</v>
      </c>
      <c r="C2" s="263" t="e">
        <f>SMALL(ESQ_PROJ2[127],1)</f>
        <v>#NUM!</v>
      </c>
      <c r="D2" s="260" t="e">
        <f>LARGE(ESQ_PROJ2[QT %],1)</f>
        <v>#NUM!</v>
      </c>
      <c r="E2" s="170"/>
      <c r="F2" s="215"/>
      <c r="G2" s="215"/>
      <c r="H2" s="63"/>
      <c r="J2" s="118" t="s">
        <v>97</v>
      </c>
      <c r="AE2" s="204" t="s">
        <v>36</v>
      </c>
      <c r="AF2" s="205"/>
    </row>
    <row r="3" spans="1:33" x14ac:dyDescent="0.3">
      <c r="B3" s="209"/>
      <c r="C3" s="261"/>
      <c r="D3" s="261"/>
      <c r="E3" s="170"/>
      <c r="F3" s="209"/>
      <c r="G3" s="209"/>
      <c r="H3" s="63"/>
      <c r="AE3" s="206"/>
      <c r="AF3" s="206"/>
    </row>
    <row r="4" spans="1:33" x14ac:dyDescent="0.3">
      <c r="AE4" s="11" t="s">
        <v>26</v>
      </c>
      <c r="AF4" s="13" t="str">
        <f>IFERROR(SUMPRODUCT(I8:I11,F8:F11)/SUM(I8:I11),"INSERIR DADOS")</f>
        <v>INSERIR DADOS</v>
      </c>
    </row>
    <row r="5" spans="1:33" ht="13.8" customHeight="1" x14ac:dyDescent="0.3">
      <c r="A5" s="220" t="s">
        <v>322</v>
      </c>
      <c r="B5" s="259" t="s">
        <v>13</v>
      </c>
      <c r="C5" s="220" t="s">
        <v>238</v>
      </c>
      <c r="D5" s="220" t="s">
        <v>239</v>
      </c>
      <c r="E5" s="58"/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 t="str">
        <f>IFERROR(SUMPRODUCT(I8:I11,G8:G11)/SUM(I8:I11),"INSERIR DADOS")</f>
        <v>INSERIR DADOS</v>
      </c>
    </row>
    <row r="6" spans="1:33" ht="34.200000000000003" customHeight="1" x14ac:dyDescent="0.3">
      <c r="A6" s="218"/>
      <c r="B6" s="209"/>
      <c r="C6" s="209"/>
      <c r="D6" s="209"/>
      <c r="E6" s="58" t="s">
        <v>321</v>
      </c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3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</row>
    <row r="8" spans="1:33" x14ac:dyDescent="0.3">
      <c r="A8" s="172" t="s">
        <v>311</v>
      </c>
      <c r="B8" s="54">
        <f>'GERAL PROJ2'!A9</f>
        <v>0</v>
      </c>
      <c r="C8" s="54" t="str">
        <f>IFERROR(IF(ESQ_PROJ2[[#This Row],[PONTO]]="RAMAL",B7,VLOOKUP(ESQ_PROJ2[[#This Row],[PONTO]],GERAL_PROJ2[],2,0)),"")</f>
        <v/>
      </c>
      <c r="D8" s="54" t="str">
        <f>IFERROR(IF(ESQ_PROJ2[[#This Row],[PONTO]]="RAMAL",15,VLOOKUP(ESQ_PROJ2[[#This Row],[PONTO]],GERAL_PROJ2[],3,0)),"")</f>
        <v/>
      </c>
      <c r="E8" s="154" t="str">
        <f>IFERROR(IF(ESQ_PROJ2[[#This Row],[PONTO]]="RAMAL","",VLOOKUP(ESQ_PROJ2[[#This Row],[PONTO]],GERAL_PROJ2[],7,0)),"")</f>
        <v/>
      </c>
      <c r="F8" s="154" t="str">
        <f>IFERROR(IF(ESQ_PROJ2[[#This Row],[PONTO]]="RAMAL","",VLOOKUP(ESQ_PROJ2[[#This Row],[PONTO]],GERAL_PROJ2[],4,0)),"")</f>
        <v/>
      </c>
      <c r="G8" s="154" t="str">
        <f>IFERROR(IF(ESQ_PROJ2[[#This Row],[PONTO]]="RAMAL","",VLOOKUP(ESQ_PROJ2[[#This Row],[PONTO]],GERAL_PROJ2[],5,0)),"")</f>
        <v/>
      </c>
      <c r="H8" s="55" t="str">
        <f>IFERROR(IF(ESQ_PROJ2[[#This Row],[PONTO]]="RAMAL",DMDI,VLOOKUP(ESQ_PROJ2[[#This Row],[PONTO]],GERAL_PROJ2[],8,0)),"")</f>
        <v/>
      </c>
      <c r="I8" s="55" t="str">
        <f>IFERROR(IF(ESQ_PROJ2[[#This Row],[PONTO]]="RAMAL",ESQ_PROJ2[[#This Row],[KVA PONTO]],VLOOKUP(ESQ_PROJ2[[#This Row],[PONTO]],GERAL_PROJ2[],9,0)),"")</f>
        <v/>
      </c>
      <c r="J8" s="55" t="str">
        <f>IFERROR(VLOOKUP(ESQ_PROJ2[[#This Row],[PONTO]],GERAL_PROJ2[],12,0),"")</f>
        <v/>
      </c>
      <c r="K8" s="61" t="str">
        <f>IFERROR(ESQ_PROJ2[[#This Row],[Ib]],"")</f>
        <v/>
      </c>
      <c r="L8" s="117" t="str">
        <f>IFERROR(IFERROR(ESQ_PROJ2[[#This Row],[ACUMULADA]]/((IF(ESQ_PROJ2[[#This Row],[FASE]]="MONO",T_LINHA_MONO,IF(ESQ_PROJ2[[#This Row],[FASE]]="BIF",T_LINHA_TRF,T_LINHA_TRF*SQRT(3)))/1000)*VLOOKUP(ESQ_PROJ2[[#This Row],[CONDUTOR]],CABOS[],9,0))+30,W8+60*(X8/Z8)),"")</f>
        <v/>
      </c>
      <c r="M8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8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8" s="116" t="str">
        <f>IF(ESQ_PROJ2[[#This Row],[PONTO]]="","",IFERROR(SUMIF(ESQ_PROJ2[PONTO],ESQ_PROJ2[[#This Row],[TRECHO]],ESQ_PROJ2[Coluna1])+ESQ_PROJ2[[#This Row],[QT-PONTO]],""))</f>
        <v/>
      </c>
      <c r="P8" s="56" t="str">
        <f>IFERROR(ESQ_PROJ2[[#This Row],[Coluna1]]/T_LINHA_MONO,"")</f>
        <v/>
      </c>
      <c r="Q8" s="55" t="str">
        <f>IFERROR(T_LINHA_MONO*(1-ESQ_PROJ2[[#This Row],[QT %]]),"")</f>
        <v/>
      </c>
      <c r="R8" s="55" t="str">
        <f>IFERROR(T_LINHA_TRF*(1-ESQ_PROJ2[[#This Row],[QT %]]),"")</f>
        <v/>
      </c>
      <c r="S8" s="67" t="str">
        <f>IF(ESQ_PROJ2[[#This Row],[PROTECAO]]="OK","Protecao OK","Ajustar Disj/Condutor")</f>
        <v>Ajustar Disj/Condutor</v>
      </c>
      <c r="T8" s="72" t="str">
        <f>IF(ESQ_PROJ2[[#This Row],[ETA]]=1,"MONO",IF(ESQ_PROJ2[[#This Row],[ETA]]=2,"BIF","TRI"))</f>
        <v>TRI</v>
      </c>
      <c r="U8" s="72">
        <v>3</v>
      </c>
      <c r="V8" s="72" t="str">
        <f>"AEREO"</f>
        <v>AEREO</v>
      </c>
      <c r="W8" s="72">
        <f>30</f>
        <v>30</v>
      </c>
      <c r="X8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8" s="72">
        <f>IFERROR(VLOOKUP(ESQ_PROJ2[[#This Row],[Ib]],TabelaDisjuntores[],2,TRUE),0)</f>
        <v>0</v>
      </c>
      <c r="Z8" s="72">
        <f>IFERROR(VLOOKUP(ESQ_PROJ2[[#This Row],[CONDUTOR]],CABOS[],2,0),0)</f>
        <v>0</v>
      </c>
      <c r="AA8" s="72" t="str">
        <f>IF(AND(ESQ_PROJ2[[#This Row],[Ib]]&lt;=ESQ_PROJ1[[#This Row],[In]],ESQ_PROJ2[[#This Row],[In]]&lt;=ESQ_PROJ2[[#This Row],[Iz]]),"OK","VERIFICAR")</f>
        <v>VERIFICAR</v>
      </c>
      <c r="AB8" s="97">
        <f>IFERROR(SQRT((ESQ_PROJ2[[#This Row],[X]]-$AF$4)^2+(ESQ_PROJ2[[#This Row],[Y]]-$AF$5)^2),0)</f>
        <v>0</v>
      </c>
      <c r="AC8" s="9" t="str">
        <f>IF(ESQ_PROJ2[[#This Row],[CONDUTOR]]="","",VLOOKUP(ESQ_PROJ2[[#This Row],[CONDUTOR]],CONDUTORES,2,0))</f>
        <v/>
      </c>
      <c r="AE8" t="s">
        <v>265</v>
      </c>
    </row>
    <row r="9" spans="1:33" x14ac:dyDescent="0.3">
      <c r="A9" s="54" t="s">
        <v>312</v>
      </c>
      <c r="B9" s="130"/>
      <c r="C9" s="54" t="str">
        <f>IFERROR(IF(ESQ_PROJ2[[#This Row],[PONTO]]="RAMAL",B8,VLOOKUP(ESQ_PROJ2[[#This Row],[PONTO]],GERAL_PROJ2[],2,0)),"")</f>
        <v/>
      </c>
      <c r="D9" s="54" t="str">
        <f>IFERROR(IF(ESQ_PROJ2[[#This Row],[PONTO]]="RAMAL",15,VLOOKUP(ESQ_PROJ2[[#This Row],[PONTO]],GERAL_PROJ2[],3,0)),"")</f>
        <v/>
      </c>
      <c r="E9" s="154" t="str">
        <f>IFERROR(IF(ESQ_PROJ2[[#This Row],[PONTO]]="RAMAL","",VLOOKUP(ESQ_PROJ2[[#This Row],[PONTO]],GERAL_PROJ2[],7,0)),"")</f>
        <v/>
      </c>
      <c r="F9" s="154" t="str">
        <f>IFERROR(IF(ESQ_PROJ2[[#This Row],[PONTO]]="RAMAL","",VLOOKUP(ESQ_PROJ2[[#This Row],[PONTO]],GERAL_PROJ2[],4,0)),"")</f>
        <v/>
      </c>
      <c r="G9" s="154" t="str">
        <f>IFERROR(IF(ESQ_PROJ2[[#This Row],[PONTO]]="RAMAL","",VLOOKUP(ESQ_PROJ2[[#This Row],[PONTO]],GERAL_PROJ2[],5,0)),"")</f>
        <v/>
      </c>
      <c r="H9" s="55" t="str">
        <f>IFERROR(IF(ESQ_PROJ2[[#This Row],[PONTO]]="RAMAL",DMDI,VLOOKUP(ESQ_PROJ2[[#This Row],[PONTO]],GERAL_PROJ2[],8,0)),"")</f>
        <v/>
      </c>
      <c r="I9" s="55" t="str">
        <f>IFERROR(IF(ESQ_PROJ2[[#This Row],[PONTO]]="RAMAL",ESQ_PROJ2[[#This Row],[KVA PONTO]],VLOOKUP(ESQ_PROJ2[[#This Row],[PONTO]],GERAL_PROJ2[],9,0)),"")</f>
        <v/>
      </c>
      <c r="J9" s="55" t="str">
        <f>IFERROR(VLOOKUP(ESQ_PROJ2[[#This Row],[PONTO]],GERAL_PROJ2[],12,0),"")</f>
        <v/>
      </c>
      <c r="K9" s="61" t="str">
        <f>IFERROR(ESQ_PROJ2[[#This Row],[Ib]],"")</f>
        <v/>
      </c>
      <c r="L9" s="117" t="str">
        <f>IFERROR(IFERROR(ESQ_PROJ2[[#This Row],[ACUMULADA]]/((IF(ESQ_PROJ2[[#This Row],[FASE]]="MONO",T_LINHA_MONO,IF(ESQ_PROJ2[[#This Row],[FASE]]="BIF",T_LINHA_TRF,T_LINHA_TRF*SQRT(3)))/1000)*VLOOKUP(ESQ_PROJ2[[#This Row],[CONDUTOR]],CABOS[],9,0))+30,W9+60*(X9/Z9)),"")</f>
        <v/>
      </c>
      <c r="M9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9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9" s="116" t="str">
        <f>IF(ESQ_PROJ2[[#This Row],[PONTO]]="","",IFERROR(SUMIF(ESQ_PROJ2[PONTO],ESQ_PROJ2[[#This Row],[TRECHO]],ESQ_PROJ2[Coluna1])+ESQ_PROJ2[[#This Row],[QT-PONTO]],""))</f>
        <v/>
      </c>
      <c r="P9" s="57" t="str">
        <f>IFERROR(ESQ_PROJ2[[#This Row],[Coluna1]]/T_LINHA_MONO,"")</f>
        <v/>
      </c>
      <c r="Q9" s="55" t="str">
        <f>IFERROR(T_LINHA_MONO*(1-ESQ_PROJ2[[#This Row],[QT %]]),"")</f>
        <v/>
      </c>
      <c r="R9" s="55" t="str">
        <f>IFERROR(T_LINHA_TRF*(1-ESQ_PROJ2[[#This Row],[QT %]]),"")</f>
        <v/>
      </c>
      <c r="S9" s="67" t="str">
        <f>IF(ESQ_PROJ2[[#This Row],[PROTECAO]]="OK","Protecao OK","Ajustar Disj/Condutor")</f>
        <v>Ajustar Disj/Condutor</v>
      </c>
      <c r="T9" s="72" t="str">
        <f>IF(ESQ_PROJ2[[#This Row],[ETA]]=1,"MONO",IF(ESQ_PROJ2[[#This Row],[ETA]]=2,"BIF","TRI"))</f>
        <v>TRI</v>
      </c>
      <c r="U9" s="72">
        <v>3</v>
      </c>
      <c r="V9" s="72" t="str">
        <f t="shared" ref="V9:V23" si="0">"AEREO"</f>
        <v>AEREO</v>
      </c>
      <c r="W9" s="72">
        <f>30</f>
        <v>30</v>
      </c>
      <c r="X9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9" s="72">
        <f>IFERROR(VLOOKUP(ESQ_PROJ2[[#This Row],[Ib]],TabelaDisjuntores[],2,TRUE),0)</f>
        <v>0</v>
      </c>
      <c r="Z9" s="72">
        <f>IFERROR(VLOOKUP(ESQ_PROJ2[[#This Row],[CONDUTOR]],CABOS[],2,0),0)</f>
        <v>0</v>
      </c>
      <c r="AA9" s="72" t="str">
        <f>IF(AND(ESQ_PROJ2[[#This Row],[Ib]]&lt;=ESQ_PROJ1[[#This Row],[In]],ESQ_PROJ2[[#This Row],[In]]&lt;=ESQ_PROJ2[[#This Row],[Iz]]),"OK","VERIFICAR")</f>
        <v>VERIFICAR</v>
      </c>
      <c r="AB9" s="97">
        <f>IFERROR(SQRT((ESQ_PROJ2[[#This Row],[X]]-$AF$4)^2+(ESQ_PROJ2[[#This Row],[Y]]-$AF$5)^2),0)</f>
        <v>0</v>
      </c>
      <c r="AC9" s="9" t="str">
        <f>IF(ESQ_PROJ2[[#This Row],[CONDUTOR]]="","",VLOOKUP(ESQ_PROJ2[[#This Row],[CONDUTOR]],CONDUTORES,2,0))</f>
        <v/>
      </c>
    </row>
    <row r="10" spans="1:33" x14ac:dyDescent="0.3">
      <c r="A10" s="172" t="s">
        <v>313</v>
      </c>
      <c r="B10" s="130"/>
      <c r="C10" s="54" t="str">
        <f>IFERROR(IF(ESQ_PROJ2[[#This Row],[PONTO]]="RAMAL",B9,VLOOKUP(ESQ_PROJ2[[#This Row],[PONTO]],GERAL_PROJ2[],2,0)),"")</f>
        <v/>
      </c>
      <c r="D10" s="54" t="str">
        <f>IFERROR(IF(ESQ_PROJ2[[#This Row],[PONTO]]="RAMAL",15,VLOOKUP(ESQ_PROJ2[[#This Row],[PONTO]],GERAL_PROJ2[],3,0)),"")</f>
        <v/>
      </c>
      <c r="E10" s="154" t="str">
        <f>IFERROR(IF(ESQ_PROJ2[[#This Row],[PONTO]]="RAMAL","",VLOOKUP(ESQ_PROJ2[[#This Row],[PONTO]],GERAL_PROJ2[],7,0)),"")</f>
        <v/>
      </c>
      <c r="F10" s="154" t="str">
        <f>IFERROR(IF(ESQ_PROJ2[[#This Row],[PONTO]]="RAMAL","",VLOOKUP(ESQ_PROJ2[[#This Row],[PONTO]],GERAL_PROJ2[],4,0)),"")</f>
        <v/>
      </c>
      <c r="G10" s="154" t="str">
        <f>IFERROR(IF(ESQ_PROJ2[[#This Row],[PONTO]]="RAMAL","",VLOOKUP(ESQ_PROJ2[[#This Row],[PONTO]],GERAL_PROJ2[],5,0)),"")</f>
        <v/>
      </c>
      <c r="H10" s="55" t="str">
        <f>IFERROR(IF(ESQ_PROJ2[[#This Row],[PONTO]]="RAMAL",DMDI,VLOOKUP(ESQ_PROJ2[[#This Row],[PONTO]],GERAL_PROJ2[],8,0)),"")</f>
        <v/>
      </c>
      <c r="I10" s="55" t="str">
        <f>IFERROR(IF(ESQ_PROJ2[[#This Row],[PONTO]]="RAMAL",ESQ_PROJ2[[#This Row],[KVA PONTO]],VLOOKUP(ESQ_PROJ2[[#This Row],[PONTO]],GERAL_PROJ2[],9,0)),"")</f>
        <v/>
      </c>
      <c r="J10" s="55" t="str">
        <f>IFERROR(VLOOKUP(ESQ_PROJ2[[#This Row],[PONTO]],GERAL_PROJ2[],12,0),"")</f>
        <v/>
      </c>
      <c r="K10" s="61" t="str">
        <f>IFERROR(ESQ_PROJ2[[#This Row],[Ib]],"")</f>
        <v/>
      </c>
      <c r="L10" s="117" t="str">
        <f>IFERROR(IFERROR(ESQ_PROJ2[[#This Row],[ACUMULADA]]/((IF(ESQ_PROJ2[[#This Row],[FASE]]="MONO",T_LINHA_MONO,IF(ESQ_PROJ2[[#This Row],[FASE]]="BIF",T_LINHA_TRF,T_LINHA_TRF*SQRT(3)))/1000)*VLOOKUP(ESQ_PROJ2[[#This Row],[CONDUTOR]],CABOS[],9,0))+30,W10+60*(X10/Z10)),"")</f>
        <v/>
      </c>
      <c r="M10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0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0" s="116" t="str">
        <f>IF(ESQ_PROJ2[[#This Row],[PONTO]]="","",IFERROR(SUMIF(ESQ_PROJ2[PONTO],ESQ_PROJ2[[#This Row],[TRECHO]],ESQ_PROJ2[Coluna1])+ESQ_PROJ2[[#This Row],[QT-PONTO]],""))</f>
        <v/>
      </c>
      <c r="P10" s="57" t="str">
        <f>IFERROR(ESQ_PROJ2[[#This Row],[Coluna1]]/T_LINHA_MONO,"")</f>
        <v/>
      </c>
      <c r="Q10" s="55" t="str">
        <f>IFERROR(T_LINHA_MONO*(1-ESQ_PROJ2[[#This Row],[QT %]]),"")</f>
        <v/>
      </c>
      <c r="R10" s="55" t="str">
        <f>IFERROR(T_LINHA_TRF*(1-ESQ_PROJ2[[#This Row],[QT %]]),"")</f>
        <v/>
      </c>
      <c r="S10" s="67" t="str">
        <f>IF(ESQ_PROJ2[[#This Row],[PROTECAO]]="OK","Protecao OK","Ajustar Disj/Condutor")</f>
        <v>Ajustar Disj/Condutor</v>
      </c>
      <c r="T10" s="72" t="str">
        <f>IF(ESQ_PROJ2[[#This Row],[ETA]]=1,"MONO",IF(ESQ_PROJ2[[#This Row],[ETA]]=2,"BIF","TRI"))</f>
        <v>TRI</v>
      </c>
      <c r="U10" s="72">
        <v>3</v>
      </c>
      <c r="V10" s="72" t="str">
        <f t="shared" si="0"/>
        <v>AEREO</v>
      </c>
      <c r="W10" s="72">
        <f>30</f>
        <v>30</v>
      </c>
      <c r="X10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0" s="72">
        <f>IFERROR(VLOOKUP(ESQ_PROJ2[[#This Row],[Ib]],TabelaDisjuntores[],2,TRUE),0)</f>
        <v>0</v>
      </c>
      <c r="Z10" s="72">
        <f>IFERROR(VLOOKUP(ESQ_PROJ2[[#This Row],[CONDUTOR]],CABOS[],2,0),0)</f>
        <v>0</v>
      </c>
      <c r="AA10" s="72" t="str">
        <f>IF(AND(ESQ_PROJ2[[#This Row],[Ib]]&lt;=ESQ_PROJ1[[#This Row],[In]],ESQ_PROJ2[[#This Row],[In]]&lt;=ESQ_PROJ2[[#This Row],[Iz]]),"OK","VERIFICAR")</f>
        <v>VERIFICAR</v>
      </c>
      <c r="AB10" s="97">
        <f>IFERROR(SQRT((ESQ_PROJ2[[#This Row],[X]]-$AF$4)^2+(ESQ_PROJ2[[#This Row],[Y]]-$AF$5)^2),0)</f>
        <v>0</v>
      </c>
      <c r="AC10" s="9" t="str">
        <f>IF(ESQ_PROJ2[[#This Row],[CONDUTOR]]="","",VLOOKUP(ESQ_PROJ2[[#This Row],[CONDUTOR]],CONDUTORES,2,0))</f>
        <v/>
      </c>
      <c r="AE10" t="s">
        <v>15</v>
      </c>
      <c r="AF10" t="s">
        <v>266</v>
      </c>
    </row>
    <row r="11" spans="1:33" x14ac:dyDescent="0.3">
      <c r="A11" s="54" t="s">
        <v>314</v>
      </c>
      <c r="B11" s="134"/>
      <c r="C11" s="54" t="str">
        <f>IFERROR(IF(ESQ_PROJ2[[#This Row],[PONTO]]="RAMAL",B10,VLOOKUP(ESQ_PROJ2[[#This Row],[PONTO]],GERAL_PROJ2[],2,0)),"")</f>
        <v/>
      </c>
      <c r="D11" s="54" t="str">
        <f>IFERROR(IF(ESQ_PROJ2[[#This Row],[PONTO]]="RAMAL",15,VLOOKUP(ESQ_PROJ2[[#This Row],[PONTO]],GERAL_PROJ2[],3,0)),"")</f>
        <v/>
      </c>
      <c r="E11" s="154" t="str">
        <f>IFERROR(IF(ESQ_PROJ2[[#This Row],[PONTO]]="RAMAL","",VLOOKUP(ESQ_PROJ2[[#This Row],[PONTO]],GERAL_PROJ2[],7,0)),"")</f>
        <v/>
      </c>
      <c r="F11" s="154" t="str">
        <f>IFERROR(IF(ESQ_PROJ2[[#This Row],[PONTO]]="RAMAL","",VLOOKUP(ESQ_PROJ2[[#This Row],[PONTO]],GERAL_PROJ2[],4,0)),"")</f>
        <v/>
      </c>
      <c r="G11" s="154" t="str">
        <f>IFERROR(IF(ESQ_PROJ2[[#This Row],[PONTO]]="RAMAL","",VLOOKUP(ESQ_PROJ2[[#This Row],[PONTO]],GERAL_PROJ2[],5,0)),"")</f>
        <v/>
      </c>
      <c r="H11" s="55" t="str">
        <f>IFERROR(IF(ESQ_PROJ2[[#This Row],[PONTO]]="RAMAL",DMDI,VLOOKUP(ESQ_PROJ2[[#This Row],[PONTO]],GERAL_PROJ2[],8,0)),"")</f>
        <v/>
      </c>
      <c r="I11" s="55" t="str">
        <f>IFERROR(IF(ESQ_PROJ2[[#This Row],[PONTO]]="RAMAL",ESQ_PROJ2[[#This Row],[KVA PONTO]],VLOOKUP(ESQ_PROJ2[[#This Row],[PONTO]],GERAL_PROJ2[],9,0)),"")</f>
        <v/>
      </c>
      <c r="J11" s="55" t="str">
        <f>IFERROR(VLOOKUP(ESQ_PROJ2[[#This Row],[PONTO]],GERAL_PROJ2[],12,0),"")</f>
        <v/>
      </c>
      <c r="K11" s="61" t="str">
        <f>IFERROR(ESQ_PROJ2[[#This Row],[Ib]],"")</f>
        <v/>
      </c>
      <c r="L11" s="117" t="str">
        <f>IFERROR(IFERROR(ESQ_PROJ2[[#This Row],[ACUMULADA]]/((IF(ESQ_PROJ2[[#This Row],[FASE]]="MONO",T_LINHA_MONO,IF(ESQ_PROJ2[[#This Row],[FASE]]="BIF",T_LINHA_TRF,T_LINHA_TRF*SQRT(3)))/1000)*VLOOKUP(ESQ_PROJ2[[#This Row],[CONDUTOR]],CABOS[],9,0))+30,W11+60*(X11/Z11)),"")</f>
        <v/>
      </c>
      <c r="M11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1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1" s="116" t="str">
        <f>IF(ESQ_PROJ2[[#This Row],[PONTO]]="","",IFERROR(SUMIF(ESQ_PROJ2[PONTO],ESQ_PROJ2[[#This Row],[TRECHO]],ESQ_PROJ2[Coluna1])+ESQ_PROJ2[[#This Row],[QT-PONTO]],""))</f>
        <v/>
      </c>
      <c r="P11" s="57" t="str">
        <f>IFERROR(ESQ_PROJ2[[#This Row],[Coluna1]]/T_LINHA_MONO,"")</f>
        <v/>
      </c>
      <c r="Q11" s="55" t="str">
        <f>IFERROR(T_LINHA_MONO*(1-ESQ_PROJ2[[#This Row],[QT %]]),"")</f>
        <v/>
      </c>
      <c r="R11" s="55" t="str">
        <f>IFERROR(T_LINHA_TRF*(1-ESQ_PROJ2[[#This Row],[QT %]]),"")</f>
        <v/>
      </c>
      <c r="S11" s="67" t="str">
        <f>IF(ESQ_PROJ2[[#This Row],[PROTECAO]]="OK","Protecao OK","Ajustar Disj/Condutor")</f>
        <v>Ajustar Disj/Condutor</v>
      </c>
      <c r="T11" s="72" t="str">
        <f>IF(ESQ_PROJ2[[#This Row],[ETA]]=1,"MONO",IF(ESQ_PROJ2[[#This Row],[ETA]]=2,"BIF","TRI"))</f>
        <v>TRI</v>
      </c>
      <c r="U11" s="72">
        <v>3</v>
      </c>
      <c r="V11" s="72" t="str">
        <f t="shared" si="0"/>
        <v>AEREO</v>
      </c>
      <c r="W11" s="72">
        <f>30</f>
        <v>30</v>
      </c>
      <c r="X11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1" s="72">
        <f>IFERROR(VLOOKUP(ESQ_PROJ2[[#This Row],[Ib]],TabelaDisjuntores[],2,TRUE),0)</f>
        <v>0</v>
      </c>
      <c r="Z11" s="72">
        <f>IFERROR(VLOOKUP(ESQ_PROJ2[[#This Row],[CONDUTOR]],CABOS[],2,0),0)</f>
        <v>0</v>
      </c>
      <c r="AA11" s="72" t="str">
        <f>IF(AND(ESQ_PROJ2[[#This Row],[Ib]]&lt;=ESQ_PROJ1[[#This Row],[In]],ESQ_PROJ2[[#This Row],[In]]&lt;=ESQ_PROJ2[[#This Row],[Iz]]),"OK","VERIFICAR")</f>
        <v>VERIFICAR</v>
      </c>
      <c r="AB11" s="97">
        <f>IFERROR(SQRT((ESQ_PROJ2[[#This Row],[X]]-$AF$4)^2+(ESQ_PROJ2[[#This Row],[Y]]-$AF$5)^2),0)</f>
        <v>0</v>
      </c>
      <c r="AC11" s="9" t="str">
        <f>IF(ESQ_PROJ2[[#This Row],[CONDUTOR]]="","",VLOOKUP(ESQ_PROJ2[[#This Row],[CONDUTOR]],CONDUTORES,2,0))</f>
        <v/>
      </c>
      <c r="AE11" t="s">
        <v>267</v>
      </c>
      <c r="AF11" t="s">
        <v>268</v>
      </c>
    </row>
    <row r="12" spans="1:33" x14ac:dyDescent="0.3">
      <c r="A12" s="172" t="s">
        <v>319</v>
      </c>
      <c r="B12" s="134"/>
      <c r="C12" s="54" t="str">
        <f>IFERROR(IF(ESQ_PROJ2[[#This Row],[PONTO]]="RAMAL",B11,VLOOKUP(ESQ_PROJ2[[#This Row],[PONTO]],GERAL_PROJ2[],2,0)),"")</f>
        <v/>
      </c>
      <c r="D12" s="54" t="str">
        <f>IFERROR(IF(ESQ_PROJ2[[#This Row],[PONTO]]="RAMAL",15,VLOOKUP(ESQ_PROJ2[[#This Row],[PONTO]],GERAL_PROJ2[],3,0)),"")</f>
        <v/>
      </c>
      <c r="E12" s="154" t="str">
        <f>IFERROR(IF(ESQ_PROJ2[[#This Row],[PONTO]]="RAMAL","",VLOOKUP(ESQ_PROJ2[[#This Row],[PONTO]],GERAL_PROJ2[],7,0)),"")</f>
        <v/>
      </c>
      <c r="F12" s="154" t="str">
        <f>IFERROR(IF(ESQ_PROJ2[[#This Row],[PONTO]]="RAMAL","",VLOOKUP(ESQ_PROJ2[[#This Row],[PONTO]],GERAL_PROJ2[],4,0)),"")</f>
        <v/>
      </c>
      <c r="G12" s="154" t="str">
        <f>IFERROR(IF(ESQ_PROJ2[[#This Row],[PONTO]]="RAMAL","",VLOOKUP(ESQ_PROJ2[[#This Row],[PONTO]],GERAL_PROJ2[],5,0)),"")</f>
        <v/>
      </c>
      <c r="H12" s="55" t="str">
        <f>IFERROR(IF(ESQ_PROJ2[[#This Row],[PONTO]]="RAMAL",DMDI,VLOOKUP(ESQ_PROJ2[[#This Row],[PONTO]],GERAL_PROJ2[],8,0)),"")</f>
        <v/>
      </c>
      <c r="I12" s="55" t="str">
        <f>IFERROR(IF(ESQ_PROJ2[[#This Row],[PONTO]]="RAMAL",ESQ_PROJ2[[#This Row],[KVA PONTO]],VLOOKUP(ESQ_PROJ2[[#This Row],[PONTO]],GERAL_PROJ2[],9,0)),"")</f>
        <v/>
      </c>
      <c r="J12" s="55" t="str">
        <f>IFERROR(VLOOKUP(ESQ_PROJ2[[#This Row],[PONTO]],GERAL_PROJ2[],12,0),"")</f>
        <v/>
      </c>
      <c r="K12" s="61" t="str">
        <f>IFERROR(ESQ_PROJ2[[#This Row],[Ib]],"")</f>
        <v/>
      </c>
      <c r="L12" s="117" t="str">
        <f>IFERROR(IFERROR(ESQ_PROJ2[[#This Row],[ACUMULADA]]/((IF(ESQ_PROJ2[[#This Row],[FASE]]="MONO",T_LINHA_MONO,IF(ESQ_PROJ2[[#This Row],[FASE]]="BIF",T_LINHA_TRF,T_LINHA_TRF*SQRT(3)))/1000)*VLOOKUP(ESQ_PROJ2[[#This Row],[CONDUTOR]],CABOS[],9,0))+30,W12+60*(X12/Z12)),"")</f>
        <v/>
      </c>
      <c r="M12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2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2" s="116" t="str">
        <f>IF(ESQ_PROJ2[[#This Row],[PONTO]]="","",IFERROR(SUMIF(ESQ_PROJ2[PONTO],ESQ_PROJ2[[#This Row],[TRECHO]],ESQ_PROJ2[Coluna1])+ESQ_PROJ2[[#This Row],[QT-PONTO]],""))</f>
        <v/>
      </c>
      <c r="P12" s="57" t="str">
        <f>IFERROR(ESQ_PROJ2[[#This Row],[Coluna1]]/T_LINHA_MONO,"")</f>
        <v/>
      </c>
      <c r="Q12" s="55" t="str">
        <f>IFERROR(T_LINHA_MONO*(1-ESQ_PROJ2[[#This Row],[QT %]]),"")</f>
        <v/>
      </c>
      <c r="R12" s="55" t="str">
        <f>IFERROR(T_LINHA_TRF*(1-ESQ_PROJ2[[#This Row],[QT %]]),"")</f>
        <v/>
      </c>
      <c r="S12" s="67" t="str">
        <f>IF(ESQ_PROJ2[[#This Row],[PROTECAO]]="OK","Protecao OK","Ajustar Disj/Condutor")</f>
        <v>Ajustar Disj/Condutor</v>
      </c>
      <c r="T12" s="72" t="str">
        <f>IF(ESQ_PROJ2[[#This Row],[ETA]]=1,"MONO",IF(ESQ_PROJ2[[#This Row],[ETA]]=2,"BIF","TRI"))</f>
        <v>TRI</v>
      </c>
      <c r="U12" s="72">
        <v>3</v>
      </c>
      <c r="V12" s="72" t="str">
        <f t="shared" si="0"/>
        <v>AEREO</v>
      </c>
      <c r="W12" s="72">
        <f>30</f>
        <v>30</v>
      </c>
      <c r="X12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2" s="72">
        <f>IFERROR(VLOOKUP(ESQ_PROJ2[[#This Row],[Ib]],TabelaDisjuntores[],2,TRUE),0)</f>
        <v>0</v>
      </c>
      <c r="Z12" s="72">
        <f>IFERROR(VLOOKUP(ESQ_PROJ2[[#This Row],[CONDUTOR]],CABOS[],2,0),0)</f>
        <v>0</v>
      </c>
      <c r="AA12" s="72" t="str">
        <f>IF(AND(ESQ_PROJ2[[#This Row],[Ib]]&lt;=ESQ_PROJ1[[#This Row],[In]],ESQ_PROJ2[[#This Row],[In]]&lt;=ESQ_PROJ2[[#This Row],[Iz]]),"OK","VERIFICAR")</f>
        <v>VERIFICAR</v>
      </c>
      <c r="AB12" s="97">
        <f>IFERROR(SQRT((ESQ_PROJ2[[#This Row],[X]]-$AF$4)^2+(ESQ_PROJ2[[#This Row],[Y]]-$AF$5)^2),0)</f>
        <v>0</v>
      </c>
      <c r="AC12" s="9" t="str">
        <f>IF(ESQ_PROJ2[[#This Row],[CONDUTOR]]="","",VLOOKUP(ESQ_PROJ2[[#This Row],[CONDUTOR]],CONDUTORES,2,0))</f>
        <v/>
      </c>
      <c r="AE12" t="s">
        <v>33</v>
      </c>
      <c r="AF12" t="s">
        <v>269</v>
      </c>
    </row>
    <row r="13" spans="1:33" x14ac:dyDescent="0.3">
      <c r="A13" s="54" t="s">
        <v>315</v>
      </c>
      <c r="B13" s="134"/>
      <c r="C13" s="54" t="str">
        <f>IFERROR(IF(ESQ_PROJ2[[#This Row],[PONTO]]="RAMAL",B12,VLOOKUP(ESQ_PROJ2[[#This Row],[PONTO]],GERAL_PROJ2[],2,0)),"")</f>
        <v/>
      </c>
      <c r="D13" s="54" t="str">
        <f>IFERROR(IF(ESQ_PROJ2[[#This Row],[PONTO]]="RAMAL",15,VLOOKUP(ESQ_PROJ2[[#This Row],[PONTO]],GERAL_PROJ2[],3,0)),"")</f>
        <v/>
      </c>
      <c r="E13" s="154" t="str">
        <f>IFERROR(IF(ESQ_PROJ2[[#This Row],[PONTO]]="RAMAL","",VLOOKUP(ESQ_PROJ2[[#This Row],[PONTO]],GERAL_PROJ2[],7,0)),"")</f>
        <v/>
      </c>
      <c r="F13" s="154" t="str">
        <f>IFERROR(IF(ESQ_PROJ2[[#This Row],[PONTO]]="RAMAL","",VLOOKUP(ESQ_PROJ2[[#This Row],[PONTO]],GERAL_PROJ2[],4,0)),"")</f>
        <v/>
      </c>
      <c r="G13" s="154" t="str">
        <f>IFERROR(IF(ESQ_PROJ2[[#This Row],[PONTO]]="RAMAL","",VLOOKUP(ESQ_PROJ2[[#This Row],[PONTO]],GERAL_PROJ2[],5,0)),"")</f>
        <v/>
      </c>
      <c r="H13" s="55" t="str">
        <f>IFERROR(IF(ESQ_PROJ2[[#This Row],[PONTO]]="RAMAL",DMDI,VLOOKUP(ESQ_PROJ2[[#This Row],[PONTO]],GERAL_PROJ2[],8,0)),"")</f>
        <v/>
      </c>
      <c r="I13" s="55" t="str">
        <f>IFERROR(IF(ESQ_PROJ2[[#This Row],[PONTO]]="RAMAL",ESQ_PROJ2[[#This Row],[KVA PONTO]],VLOOKUP(ESQ_PROJ2[[#This Row],[PONTO]],GERAL_PROJ2[],9,0)),"")</f>
        <v/>
      </c>
      <c r="J13" s="55" t="str">
        <f>IFERROR(VLOOKUP(ESQ_PROJ2[[#This Row],[PONTO]],GERAL_PROJ2[],12,0),"")</f>
        <v/>
      </c>
      <c r="K13" s="61" t="str">
        <f>IFERROR(ESQ_PROJ2[[#This Row],[Ib]],"")</f>
        <v/>
      </c>
      <c r="L13" s="117" t="str">
        <f>IFERROR(IFERROR(ESQ_PROJ2[[#This Row],[ACUMULADA]]/((IF(ESQ_PROJ2[[#This Row],[FASE]]="MONO",T_LINHA_MONO,IF(ESQ_PROJ2[[#This Row],[FASE]]="BIF",T_LINHA_TRF,T_LINHA_TRF*SQRT(3)))/1000)*VLOOKUP(ESQ_PROJ2[[#This Row],[CONDUTOR]],CABOS[],9,0))+30,W13+60*(X13/Z13)),"")</f>
        <v/>
      </c>
      <c r="M13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3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3" s="116" t="str">
        <f>IF(ESQ_PROJ2[[#This Row],[PONTO]]="","",IFERROR(SUMIF(ESQ_PROJ2[PONTO],ESQ_PROJ2[[#This Row],[TRECHO]],ESQ_PROJ2[Coluna1])+ESQ_PROJ2[[#This Row],[QT-PONTO]],""))</f>
        <v/>
      </c>
      <c r="P13" s="57" t="str">
        <f>IFERROR(ESQ_PROJ2[[#This Row],[Coluna1]]/T_LINHA_MONO,"")</f>
        <v/>
      </c>
      <c r="Q13" s="55" t="str">
        <f>IFERROR(T_LINHA_MONO*(1-ESQ_PROJ2[[#This Row],[QT %]]),"")</f>
        <v/>
      </c>
      <c r="R13" s="55" t="str">
        <f>IFERROR(T_LINHA_TRF*(1-ESQ_PROJ2[[#This Row],[QT %]]),"")</f>
        <v/>
      </c>
      <c r="S13" s="67" t="str">
        <f>IF(ESQ_PROJ2[[#This Row],[PROTECAO]]="OK","Protecao OK","Ajustar Disj/Condutor")</f>
        <v>Ajustar Disj/Condutor</v>
      </c>
      <c r="T13" s="72" t="str">
        <f>IF(ESQ_PROJ2[[#This Row],[ETA]]=1,"MONO",IF(ESQ_PROJ2[[#This Row],[ETA]]=2,"BIF","TRI"))</f>
        <v>TRI</v>
      </c>
      <c r="U13" s="72">
        <v>3</v>
      </c>
      <c r="V13" s="72" t="str">
        <f t="shared" si="0"/>
        <v>AEREO</v>
      </c>
      <c r="W13" s="72">
        <f>30</f>
        <v>30</v>
      </c>
      <c r="X13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3" s="72">
        <f>IFERROR(VLOOKUP(ESQ_PROJ2[[#This Row],[Ib]],TabelaDisjuntores[],2,TRUE),0)</f>
        <v>0</v>
      </c>
      <c r="Z13" s="72">
        <f>IFERROR(VLOOKUP(ESQ_PROJ2[[#This Row],[CONDUTOR]],CABOS[],2,0),0)</f>
        <v>0</v>
      </c>
      <c r="AA13" s="72" t="str">
        <f>IF(AND(ESQ_PROJ2[[#This Row],[Ib]]&lt;=ESQ_PROJ1[[#This Row],[In]],ESQ_PROJ2[[#This Row],[In]]&lt;=ESQ_PROJ2[[#This Row],[Iz]]),"OK","VERIFICAR")</f>
        <v>VERIFICAR</v>
      </c>
      <c r="AB13" s="97">
        <f>IFERROR(SQRT((ESQ_PROJ2[[#This Row],[X]]-$AF$4)^2+(ESQ_PROJ2[[#This Row],[Y]]-$AF$5)^2),0)</f>
        <v>0</v>
      </c>
      <c r="AC13" s="9" t="str">
        <f>IF(ESQ_PROJ2[[#This Row],[CONDUTOR]]="","",VLOOKUP(ESQ_PROJ2[[#This Row],[CONDUTOR]],CONDUTORES,2,0))</f>
        <v/>
      </c>
      <c r="AE13" t="s">
        <v>270</v>
      </c>
      <c r="AF13" t="s">
        <v>271</v>
      </c>
    </row>
    <row r="14" spans="1:33" x14ac:dyDescent="0.3">
      <c r="A14" s="172" t="s">
        <v>316</v>
      </c>
      <c r="B14" s="134"/>
      <c r="C14" s="54" t="str">
        <f>IFERROR(IF(ESQ_PROJ2[[#This Row],[PONTO]]="RAMAL",B13,VLOOKUP(ESQ_PROJ2[[#This Row],[PONTO]],GERAL_PROJ2[],2,0)),"")</f>
        <v/>
      </c>
      <c r="D14" s="54" t="str">
        <f>IFERROR(IF(ESQ_PROJ2[[#This Row],[PONTO]]="RAMAL",15,VLOOKUP(ESQ_PROJ2[[#This Row],[PONTO]],GERAL_PROJ2[],3,0)),"")</f>
        <v/>
      </c>
      <c r="E14" s="154" t="str">
        <f>IFERROR(IF(ESQ_PROJ2[[#This Row],[PONTO]]="RAMAL","",VLOOKUP(ESQ_PROJ2[[#This Row],[PONTO]],GERAL_PROJ2[],7,0)),"")</f>
        <v/>
      </c>
      <c r="F14" s="154" t="str">
        <f>IFERROR(IF(ESQ_PROJ2[[#This Row],[PONTO]]="RAMAL","",VLOOKUP(ESQ_PROJ2[[#This Row],[PONTO]],GERAL_PROJ2[],4,0)),"")</f>
        <v/>
      </c>
      <c r="G14" s="154" t="str">
        <f>IFERROR(IF(ESQ_PROJ2[[#This Row],[PONTO]]="RAMAL","",VLOOKUP(ESQ_PROJ2[[#This Row],[PONTO]],GERAL_PROJ2[],5,0)),"")</f>
        <v/>
      </c>
      <c r="H14" s="55" t="str">
        <f>IFERROR(IF(ESQ_PROJ2[[#This Row],[PONTO]]="RAMAL",DMDI,VLOOKUP(ESQ_PROJ2[[#This Row],[PONTO]],GERAL_PROJ2[],8,0)),"")</f>
        <v/>
      </c>
      <c r="I14" s="55" t="str">
        <f>IFERROR(IF(ESQ_PROJ2[[#This Row],[PONTO]]="RAMAL",ESQ_PROJ2[[#This Row],[KVA PONTO]],VLOOKUP(ESQ_PROJ2[[#This Row],[PONTO]],GERAL_PROJ2[],9,0)),"")</f>
        <v/>
      </c>
      <c r="J14" s="55" t="str">
        <f>IFERROR(VLOOKUP(ESQ_PROJ2[[#This Row],[PONTO]],GERAL_PROJ2[],12,0),"")</f>
        <v/>
      </c>
      <c r="K14" s="61" t="str">
        <f>IFERROR(ESQ_PROJ2[[#This Row],[Ib]],"")</f>
        <v/>
      </c>
      <c r="L14" s="117" t="str">
        <f>IFERROR(IFERROR(ESQ_PROJ2[[#This Row],[ACUMULADA]]/((IF(ESQ_PROJ2[[#This Row],[FASE]]="MONO",T_LINHA_MONO,IF(ESQ_PROJ2[[#This Row],[FASE]]="BIF",T_LINHA_TRF,T_LINHA_TRF*SQRT(3)))/1000)*VLOOKUP(ESQ_PROJ2[[#This Row],[CONDUTOR]],CABOS[],9,0))+30,W14+60*(X14/Z14)),"")</f>
        <v/>
      </c>
      <c r="M14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4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4" s="116" t="str">
        <f>IF(ESQ_PROJ2[[#This Row],[PONTO]]="","",IFERROR(SUMIF(ESQ_PROJ2[PONTO],ESQ_PROJ2[[#This Row],[TRECHO]],ESQ_PROJ2[Coluna1])+ESQ_PROJ2[[#This Row],[QT-PONTO]],""))</f>
        <v/>
      </c>
      <c r="P14" s="57" t="str">
        <f>IFERROR(ESQ_PROJ2[[#This Row],[Coluna1]]/T_LINHA_MONO,"")</f>
        <v/>
      </c>
      <c r="Q14" s="55" t="str">
        <f>IFERROR(T_LINHA_MONO*(1-ESQ_PROJ2[[#This Row],[QT %]]),"")</f>
        <v/>
      </c>
      <c r="R14" s="55" t="str">
        <f>IFERROR(T_LINHA_TRF*(1-ESQ_PROJ2[[#This Row],[QT %]]),"")</f>
        <v/>
      </c>
      <c r="S14" s="67" t="str">
        <f>IF(ESQ_PROJ2[[#This Row],[PROTECAO]]="OK","Protecao OK","Ajustar Disj/Condutor")</f>
        <v>Ajustar Disj/Condutor</v>
      </c>
      <c r="T14" s="72" t="str">
        <f>IF(ESQ_PROJ2[[#This Row],[ETA]]=1,"MONO",IF(ESQ_PROJ2[[#This Row],[ETA]]=2,"BIF","TRI"))</f>
        <v>TRI</v>
      </c>
      <c r="U14" s="72">
        <v>3</v>
      </c>
      <c r="V14" s="72" t="str">
        <f t="shared" si="0"/>
        <v>AEREO</v>
      </c>
      <c r="W14" s="72">
        <f>30</f>
        <v>30</v>
      </c>
      <c r="X14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4" s="72">
        <f>IFERROR(VLOOKUP(ESQ_PROJ2[[#This Row],[Ib]],TabelaDisjuntores[],2,TRUE),0)</f>
        <v>0</v>
      </c>
      <c r="Z14" s="72">
        <f>IFERROR(VLOOKUP(ESQ_PROJ2[[#This Row],[CONDUTOR]],CABOS[],2,0),0)</f>
        <v>0</v>
      </c>
      <c r="AA14" s="72" t="str">
        <f>IF(AND(ESQ_PROJ2[[#This Row],[Ib]]&lt;=ESQ_PROJ1[[#This Row],[In]],ESQ_PROJ2[[#This Row],[In]]&lt;=ESQ_PROJ2[[#This Row],[Iz]]),"OK","VERIFICAR")</f>
        <v>VERIFICAR</v>
      </c>
      <c r="AB14" s="97">
        <f>IFERROR(SQRT((ESQ_PROJ2[[#This Row],[X]]-$AF$4)^2+(ESQ_PROJ2[[#This Row],[Y]]-$AF$5)^2),0)</f>
        <v>0</v>
      </c>
      <c r="AC14" s="9" t="str">
        <f>IF(ESQ_PROJ2[[#This Row],[CONDUTOR]]="","",VLOOKUP(ESQ_PROJ2[[#This Row],[CONDUTOR]],CONDUTORES,2,0))</f>
        <v/>
      </c>
    </row>
    <row r="15" spans="1:33" x14ac:dyDescent="0.3">
      <c r="A15" s="54" t="s">
        <v>317</v>
      </c>
      <c r="B15" s="134"/>
      <c r="C15" s="54" t="str">
        <f>IFERROR(IF(ESQ_PROJ2[[#This Row],[PONTO]]="RAMAL",B14,VLOOKUP(ESQ_PROJ2[[#This Row],[PONTO]],GERAL_PROJ2[],2,0)),"")</f>
        <v/>
      </c>
      <c r="D15" s="54" t="str">
        <f>IFERROR(IF(ESQ_PROJ2[[#This Row],[PONTO]]="RAMAL",15,VLOOKUP(ESQ_PROJ2[[#This Row],[PONTO]],GERAL_PROJ2[],3,0)),"")</f>
        <v/>
      </c>
      <c r="E15" s="154" t="str">
        <f>IFERROR(IF(ESQ_PROJ2[[#This Row],[PONTO]]="RAMAL","",VLOOKUP(ESQ_PROJ2[[#This Row],[PONTO]],GERAL_PROJ2[],7,0)),"")</f>
        <v/>
      </c>
      <c r="F15" s="154" t="str">
        <f>IFERROR(IF(ESQ_PROJ2[[#This Row],[PONTO]]="RAMAL","",VLOOKUP(ESQ_PROJ2[[#This Row],[PONTO]],GERAL_PROJ2[],4,0)),"")</f>
        <v/>
      </c>
      <c r="G15" s="154" t="str">
        <f>IFERROR(IF(ESQ_PROJ2[[#This Row],[PONTO]]="RAMAL","",VLOOKUP(ESQ_PROJ2[[#This Row],[PONTO]],GERAL_PROJ2[],5,0)),"")</f>
        <v/>
      </c>
      <c r="H15" s="55" t="str">
        <f>IFERROR(IF(ESQ_PROJ2[[#This Row],[PONTO]]="RAMAL",DMDI,VLOOKUP(ESQ_PROJ2[[#This Row],[PONTO]],GERAL_PROJ2[],8,0)),"")</f>
        <v/>
      </c>
      <c r="I15" s="55" t="str">
        <f>IFERROR(IF(ESQ_PROJ2[[#This Row],[PONTO]]="RAMAL",ESQ_PROJ2[[#This Row],[KVA PONTO]],VLOOKUP(ESQ_PROJ2[[#This Row],[PONTO]],GERAL_PROJ2[],9,0)),"")</f>
        <v/>
      </c>
      <c r="J15" s="55" t="str">
        <f>IFERROR(VLOOKUP(ESQ_PROJ2[[#This Row],[PONTO]],GERAL_PROJ2[],12,0),"")</f>
        <v/>
      </c>
      <c r="K15" s="61" t="str">
        <f>IFERROR(ESQ_PROJ2[[#This Row],[Ib]],"")</f>
        <v/>
      </c>
      <c r="L15" s="117" t="str">
        <f>IFERROR(IFERROR(ESQ_PROJ2[[#This Row],[ACUMULADA]]/((IF(ESQ_PROJ2[[#This Row],[FASE]]="MONO",T_LINHA_MONO,IF(ESQ_PROJ2[[#This Row],[FASE]]="BIF",T_LINHA_TRF,T_LINHA_TRF*SQRT(3)))/1000)*VLOOKUP(ESQ_PROJ2[[#This Row],[CONDUTOR]],CABOS[],9,0))+30,W15+60*(X15/Z15)),"")</f>
        <v/>
      </c>
      <c r="M15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5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5" s="116" t="str">
        <f>IF(ESQ_PROJ2[[#This Row],[PONTO]]="","",IFERROR(SUMIF(ESQ_PROJ2[PONTO],ESQ_PROJ2[[#This Row],[TRECHO]],ESQ_PROJ2[Coluna1])+ESQ_PROJ2[[#This Row],[QT-PONTO]],""))</f>
        <v/>
      </c>
      <c r="P15" s="57" t="str">
        <f>IFERROR(ESQ_PROJ2[[#This Row],[Coluna1]]/T_LINHA_MONO,"")</f>
        <v/>
      </c>
      <c r="Q15" s="55" t="str">
        <f>IFERROR(T_LINHA_MONO*(1-ESQ_PROJ2[[#This Row],[QT %]]),"")</f>
        <v/>
      </c>
      <c r="R15" s="55" t="str">
        <f>IFERROR(T_LINHA_TRF*(1-ESQ_PROJ2[[#This Row],[QT %]]),"")</f>
        <v/>
      </c>
      <c r="S15" s="67" t="str">
        <f>IF(ESQ_PROJ2[[#This Row],[PROTECAO]]="OK","Protecao OK","Ajustar Disj/Condutor")</f>
        <v>Ajustar Disj/Condutor</v>
      </c>
      <c r="T15" s="72" t="str">
        <f>IF(ESQ_PROJ2[[#This Row],[ETA]]=1,"MONO",IF(ESQ_PROJ2[[#This Row],[ETA]]=2,"BIF","TRI"))</f>
        <v>TRI</v>
      </c>
      <c r="U15" s="72">
        <v>3</v>
      </c>
      <c r="V15" s="72" t="str">
        <f t="shared" si="0"/>
        <v>AEREO</v>
      </c>
      <c r="W15" s="72">
        <f>30</f>
        <v>30</v>
      </c>
      <c r="X15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5" s="72">
        <f>IFERROR(VLOOKUP(ESQ_PROJ2[[#This Row],[Ib]],TabelaDisjuntores[],2,TRUE),0)</f>
        <v>0</v>
      </c>
      <c r="Z15" s="72">
        <f>IFERROR(VLOOKUP(ESQ_PROJ2[[#This Row],[CONDUTOR]],CABOS[],2,0),0)</f>
        <v>0</v>
      </c>
      <c r="AA15" s="72" t="str">
        <f>IF(AND(ESQ_PROJ2[[#This Row],[Ib]]&lt;=ESQ_PROJ1[[#This Row],[In]],ESQ_PROJ2[[#This Row],[In]]&lt;=ESQ_PROJ2[[#This Row],[Iz]]),"OK","VERIFICAR")</f>
        <v>VERIFICAR</v>
      </c>
      <c r="AB15" s="97">
        <f>IFERROR(SQRT((ESQ_PROJ2[[#This Row],[X]]-$AF$4)^2+(ESQ_PROJ2[[#This Row],[Y]]-$AF$5)^2),0)</f>
        <v>0</v>
      </c>
      <c r="AC15" s="9" t="str">
        <f>IF(ESQ_PROJ2[[#This Row],[CONDUTOR]]="","",VLOOKUP(ESQ_PROJ2[[#This Row],[CONDUTOR]],CONDUTORES,2,0))</f>
        <v/>
      </c>
      <c r="AE15" t="s">
        <v>272</v>
      </c>
    </row>
    <row r="16" spans="1:33" ht="14.4" customHeight="1" x14ac:dyDescent="0.3">
      <c r="A16" s="172" t="s">
        <v>325</v>
      </c>
      <c r="B16" s="134"/>
      <c r="C16" s="54" t="str">
        <f>IFERROR(IF(ESQ_PROJ2[[#This Row],[PONTO]]="RAMAL",B15,VLOOKUP(ESQ_PROJ2[[#This Row],[PONTO]],GERAL_PROJ2[],2,0)),"")</f>
        <v/>
      </c>
      <c r="D16" s="54" t="str">
        <f>IFERROR(IF(ESQ_PROJ2[[#This Row],[PONTO]]="RAMAL",15,VLOOKUP(ESQ_PROJ2[[#This Row],[PONTO]],GERAL_PROJ2[],3,0)),"")</f>
        <v/>
      </c>
      <c r="E16" s="154" t="str">
        <f>IFERROR(IF(ESQ_PROJ2[[#This Row],[PONTO]]="RAMAL","",VLOOKUP(ESQ_PROJ2[[#This Row],[PONTO]],GERAL_PROJ2[],7,0)),"")</f>
        <v/>
      </c>
      <c r="F16" s="154" t="str">
        <f>IFERROR(IF(ESQ_PROJ2[[#This Row],[PONTO]]="RAMAL","",VLOOKUP(ESQ_PROJ2[[#This Row],[PONTO]],GERAL_PROJ2[],4,0)),"")</f>
        <v/>
      </c>
      <c r="G16" s="154" t="str">
        <f>IFERROR(IF(ESQ_PROJ2[[#This Row],[PONTO]]="RAMAL","",VLOOKUP(ESQ_PROJ2[[#This Row],[PONTO]],GERAL_PROJ2[],5,0)),"")</f>
        <v/>
      </c>
      <c r="H16" s="55" t="str">
        <f>IFERROR(IF(ESQ_PROJ2[[#This Row],[PONTO]]="RAMAL",DMDI,VLOOKUP(ESQ_PROJ2[[#This Row],[PONTO]],GERAL_PROJ2[],8,0)),"")</f>
        <v/>
      </c>
      <c r="I16" s="55" t="str">
        <f>IFERROR(IF(ESQ_PROJ2[[#This Row],[PONTO]]="RAMAL",ESQ_PROJ2[[#This Row],[KVA PONTO]],VLOOKUP(ESQ_PROJ2[[#This Row],[PONTO]],GERAL_PROJ2[],9,0)),"")</f>
        <v/>
      </c>
      <c r="J16" s="55" t="str">
        <f>IFERROR(VLOOKUP(ESQ_PROJ2[[#This Row],[PONTO]],GERAL_PROJ2[],12,0),"")</f>
        <v/>
      </c>
      <c r="K16" s="61" t="str">
        <f>IFERROR(ESQ_PROJ2[[#This Row],[Ib]],"")</f>
        <v/>
      </c>
      <c r="L16" s="117" t="str">
        <f>IFERROR(IFERROR(ESQ_PROJ2[[#This Row],[ACUMULADA]]/((IF(ESQ_PROJ2[[#This Row],[FASE]]="MONO",T_LINHA_MONO,IF(ESQ_PROJ2[[#This Row],[FASE]]="BIF",T_LINHA_TRF,T_LINHA_TRF*SQRT(3)))/1000)*VLOOKUP(ESQ_PROJ2[[#This Row],[CONDUTOR]],CABOS[],9,0))+30,W16+60*(X16/Z16)),"")</f>
        <v/>
      </c>
      <c r="M16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6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6" s="116" t="str">
        <f>IF(ESQ_PROJ2[[#This Row],[PONTO]]="","",IFERROR(SUMIF(ESQ_PROJ2[PONTO],ESQ_PROJ2[[#This Row],[TRECHO]],ESQ_PROJ2[Coluna1])+ESQ_PROJ2[[#This Row],[QT-PONTO]],""))</f>
        <v/>
      </c>
      <c r="P16" s="57" t="str">
        <f>IFERROR(ESQ_PROJ2[[#This Row],[Coluna1]]/T_LINHA_MONO,"")</f>
        <v/>
      </c>
      <c r="Q16" s="55" t="str">
        <f>IFERROR(T_LINHA_MONO*(1-ESQ_PROJ2[[#This Row],[QT %]]),"")</f>
        <v/>
      </c>
      <c r="R16" s="55" t="str">
        <f>IFERROR(T_LINHA_TRF*(1-ESQ_PROJ2[[#This Row],[QT %]]),"")</f>
        <v/>
      </c>
      <c r="S16" s="67" t="str">
        <f>IF(ESQ_PROJ2[[#This Row],[PROTECAO]]="OK","Protecao OK","Ajustar Disj/Condutor")</f>
        <v>Ajustar Disj/Condutor</v>
      </c>
      <c r="T16" s="72" t="str">
        <f>IF(ESQ_PROJ2[[#This Row],[ETA]]=1,"MONO",IF(ESQ_PROJ2[[#This Row],[ETA]]=2,"BIF","TRI"))</f>
        <v>TRI</v>
      </c>
      <c r="U16" s="72">
        <v>3</v>
      </c>
      <c r="V16" s="72" t="str">
        <f t="shared" si="0"/>
        <v>AEREO</v>
      </c>
      <c r="W16" s="72">
        <f>30</f>
        <v>30</v>
      </c>
      <c r="X16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6" s="72">
        <f>IFERROR(VLOOKUP(ESQ_PROJ2[[#This Row],[Ib]],TabelaDisjuntores[],2,TRUE),0)</f>
        <v>0</v>
      </c>
      <c r="Z16" s="72">
        <f>IFERROR(VLOOKUP(ESQ_PROJ2[[#This Row],[CONDUTOR]],CABOS[],2,0),0)</f>
        <v>0</v>
      </c>
      <c r="AA16" s="72" t="str">
        <f>IF(AND(ESQ_PROJ2[[#This Row],[Ib]]&lt;=ESQ_PROJ1[[#This Row],[In]],ESQ_PROJ2[[#This Row],[In]]&lt;=ESQ_PROJ2[[#This Row],[Iz]]),"OK","VERIFICAR")</f>
        <v>VERIFICAR</v>
      </c>
      <c r="AB16" s="97">
        <f>IFERROR(SQRT((ESQ_PROJ2[[#This Row],[X]]-$AF$4)^2+(ESQ_PROJ2[[#This Row],[Y]]-$AF$5)^2),0)</f>
        <v>0</v>
      </c>
      <c r="AC16" s="9" t="str">
        <f>IF(ESQ_PROJ2[[#This Row],[CONDUTOR]]="","",VLOOKUP(ESQ_PROJ2[[#This Row],[CONDUTOR]],CONDUTORES,2,0))</f>
        <v/>
      </c>
      <c r="AE16" s="262" t="s">
        <v>274</v>
      </c>
      <c r="AF16" s="262"/>
      <c r="AG16" s="262"/>
    </row>
    <row r="17" spans="1:33" x14ac:dyDescent="0.3">
      <c r="A17" s="54" t="s">
        <v>324</v>
      </c>
      <c r="B17" s="134"/>
      <c r="C17" s="54" t="str">
        <f>IFERROR(IF(ESQ_PROJ2[[#This Row],[PONTO]]="RAMAL",B16,VLOOKUP(ESQ_PROJ2[[#This Row],[PONTO]],GERAL_PROJ2[],2,0)),"")</f>
        <v/>
      </c>
      <c r="D17" s="54" t="str">
        <f>IFERROR(IF(ESQ_PROJ2[[#This Row],[PONTO]]="RAMAL",15,VLOOKUP(ESQ_PROJ2[[#This Row],[PONTO]],GERAL_PROJ2[],3,0)),"")</f>
        <v/>
      </c>
      <c r="E17" s="154" t="str">
        <f>IFERROR(IF(ESQ_PROJ2[[#This Row],[PONTO]]="RAMAL","",VLOOKUP(ESQ_PROJ2[[#This Row],[PONTO]],GERAL_PROJ2[],7,0)),"")</f>
        <v/>
      </c>
      <c r="F17" s="154" t="str">
        <f>IFERROR(IF(ESQ_PROJ2[[#This Row],[PONTO]]="RAMAL","",VLOOKUP(ESQ_PROJ2[[#This Row],[PONTO]],GERAL_PROJ2[],4,0)),"")</f>
        <v/>
      </c>
      <c r="G17" s="154" t="str">
        <f>IFERROR(IF(ESQ_PROJ2[[#This Row],[PONTO]]="RAMAL","",VLOOKUP(ESQ_PROJ2[[#This Row],[PONTO]],GERAL_PROJ2[],5,0)),"")</f>
        <v/>
      </c>
      <c r="H17" s="55" t="str">
        <f>IFERROR(IF(ESQ_PROJ2[[#This Row],[PONTO]]="RAMAL",DMDI,VLOOKUP(ESQ_PROJ2[[#This Row],[PONTO]],GERAL_PROJ2[],8,0)),"")</f>
        <v/>
      </c>
      <c r="I17" s="55" t="str">
        <f>IFERROR(IF(ESQ_PROJ2[[#This Row],[PONTO]]="RAMAL",ESQ_PROJ2[[#This Row],[KVA PONTO]],VLOOKUP(ESQ_PROJ2[[#This Row],[PONTO]],GERAL_PROJ2[],9,0)),"")</f>
        <v/>
      </c>
      <c r="J17" s="55" t="str">
        <f>IFERROR(VLOOKUP(ESQ_PROJ2[[#This Row],[PONTO]],GERAL_PROJ2[],12,0),"")</f>
        <v/>
      </c>
      <c r="K17" s="61" t="str">
        <f>IFERROR(ESQ_PROJ2[[#This Row],[Ib]],"")</f>
        <v/>
      </c>
      <c r="L17" s="117" t="str">
        <f>IFERROR(IFERROR(ESQ_PROJ2[[#This Row],[ACUMULADA]]/((IF(ESQ_PROJ2[[#This Row],[FASE]]="MONO",T_LINHA_MONO,IF(ESQ_PROJ2[[#This Row],[FASE]]="BIF",T_LINHA_TRF,T_LINHA_TRF*SQRT(3)))/1000)*VLOOKUP(ESQ_PROJ2[[#This Row],[CONDUTOR]],CABOS[],9,0))+30,W17+60*(X17/Z17)),"")</f>
        <v/>
      </c>
      <c r="M17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7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7" s="116" t="str">
        <f>IF(ESQ_PROJ2[[#This Row],[PONTO]]="","",IFERROR(SUMIF(ESQ_PROJ2[PONTO],ESQ_PROJ2[[#This Row],[TRECHO]],ESQ_PROJ2[Coluna1])+ESQ_PROJ2[[#This Row],[QT-PONTO]],""))</f>
        <v/>
      </c>
      <c r="P17" s="57" t="str">
        <f>IFERROR(ESQ_PROJ2[[#This Row],[Coluna1]]/T_LINHA_MONO,"")</f>
        <v/>
      </c>
      <c r="Q17" s="55" t="str">
        <f>IFERROR(T_LINHA_MONO*(1-ESQ_PROJ2[[#This Row],[QT %]]),"")</f>
        <v/>
      </c>
      <c r="R17" s="55" t="str">
        <f>IFERROR(T_LINHA_TRF*(1-ESQ_PROJ2[[#This Row],[QT %]]),"")</f>
        <v/>
      </c>
      <c r="S17" s="67" t="str">
        <f>IF(ESQ_PROJ2[[#This Row],[PROTECAO]]="OK","Protecao OK","Ajustar Disj/Condutor")</f>
        <v>Ajustar Disj/Condutor</v>
      </c>
      <c r="T17" s="72" t="str">
        <f>IF(ESQ_PROJ2[[#This Row],[ETA]]=1,"MONO",IF(ESQ_PROJ2[[#This Row],[ETA]]=2,"BIF","TRI"))</f>
        <v>TRI</v>
      </c>
      <c r="U17" s="72">
        <v>3</v>
      </c>
      <c r="V17" s="72" t="str">
        <f t="shared" si="0"/>
        <v>AEREO</v>
      </c>
      <c r="W17" s="72">
        <f>30</f>
        <v>30</v>
      </c>
      <c r="X17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7" s="72">
        <f>IFERROR(VLOOKUP(ESQ_PROJ2[[#This Row],[Ib]],TabelaDisjuntores[],2,TRUE),0)</f>
        <v>0</v>
      </c>
      <c r="Z17" s="72">
        <f>IFERROR(VLOOKUP(ESQ_PROJ2[[#This Row],[CONDUTOR]],CABOS[],2,0),0)</f>
        <v>0</v>
      </c>
      <c r="AA17" s="72" t="str">
        <f>IF(AND(ESQ_PROJ2[[#This Row],[Ib]]&lt;=ESQ_PROJ1[[#This Row],[In]],ESQ_PROJ2[[#This Row],[In]]&lt;=ESQ_PROJ2[[#This Row],[Iz]]),"OK","VERIFICAR")</f>
        <v>VERIFICAR</v>
      </c>
      <c r="AB17" s="97">
        <f>IFERROR(SQRT((ESQ_PROJ2[[#This Row],[X]]-$AF$4)^2+(ESQ_PROJ2[[#This Row],[Y]]-$AF$5)^2),0)</f>
        <v>0</v>
      </c>
      <c r="AC17" s="9" t="str">
        <f>IF(ESQ_PROJ2[[#This Row],[CONDUTOR]]="","",VLOOKUP(ESQ_PROJ2[[#This Row],[CONDUTOR]],CONDUTORES,2,0))</f>
        <v/>
      </c>
      <c r="AE17" s="262"/>
      <c r="AF17" s="262"/>
      <c r="AG17" s="262"/>
    </row>
    <row r="18" spans="1:33" x14ac:dyDescent="0.3">
      <c r="A18" s="172" t="s">
        <v>326</v>
      </c>
      <c r="B18" s="134"/>
      <c r="C18" s="54" t="str">
        <f>IFERROR(IF(ESQ_PROJ2[[#This Row],[PONTO]]="RAMAL",B17,VLOOKUP(ESQ_PROJ2[[#This Row],[PONTO]],GERAL_PROJ2[],2,0)),"")</f>
        <v/>
      </c>
      <c r="D18" s="54" t="str">
        <f>IFERROR(IF(ESQ_PROJ2[[#This Row],[PONTO]]="RAMAL",15,VLOOKUP(ESQ_PROJ2[[#This Row],[PONTO]],GERAL_PROJ2[],3,0)),"")</f>
        <v/>
      </c>
      <c r="E18" s="154" t="str">
        <f>IFERROR(IF(ESQ_PROJ2[[#This Row],[PONTO]]="RAMAL","",VLOOKUP(ESQ_PROJ2[[#This Row],[PONTO]],GERAL_PROJ2[],7,0)),"")</f>
        <v/>
      </c>
      <c r="F18" s="154" t="str">
        <f>IFERROR(IF(ESQ_PROJ2[[#This Row],[PONTO]]="RAMAL","",VLOOKUP(ESQ_PROJ2[[#This Row],[PONTO]],GERAL_PROJ2[],4,0)),"")</f>
        <v/>
      </c>
      <c r="G18" s="154" t="str">
        <f>IFERROR(IF(ESQ_PROJ2[[#This Row],[PONTO]]="RAMAL","",VLOOKUP(ESQ_PROJ2[[#This Row],[PONTO]],GERAL_PROJ2[],5,0)),"")</f>
        <v/>
      </c>
      <c r="H18" s="55" t="str">
        <f>IFERROR(IF(ESQ_PROJ2[[#This Row],[PONTO]]="RAMAL",DMDI,VLOOKUP(ESQ_PROJ2[[#This Row],[PONTO]],GERAL_PROJ2[],8,0)),"")</f>
        <v/>
      </c>
      <c r="I18" s="55" t="str">
        <f>IFERROR(IF(ESQ_PROJ2[[#This Row],[PONTO]]="RAMAL",ESQ_PROJ2[[#This Row],[KVA PONTO]],VLOOKUP(ESQ_PROJ2[[#This Row],[PONTO]],GERAL_PROJ2[],9,0)),"")</f>
        <v/>
      </c>
      <c r="J18" s="55" t="str">
        <f>IFERROR(VLOOKUP(ESQ_PROJ2[[#This Row],[PONTO]],GERAL_PROJ2[],12,0),"")</f>
        <v/>
      </c>
      <c r="K18" s="61" t="str">
        <f>IFERROR(ESQ_PROJ2[[#This Row],[Ib]],"")</f>
        <v/>
      </c>
      <c r="L18" s="117" t="str">
        <f>IFERROR(IFERROR(ESQ_PROJ2[[#This Row],[ACUMULADA]]/((IF(ESQ_PROJ2[[#This Row],[FASE]]="MONO",T_LINHA_MONO,IF(ESQ_PROJ2[[#This Row],[FASE]]="BIF",T_LINHA_TRF,T_LINHA_TRF*SQRT(3)))/1000)*VLOOKUP(ESQ_PROJ2[[#This Row],[CONDUTOR]],CABOS[],9,0))+30,W18+60*(X18/Z18)),"")</f>
        <v/>
      </c>
      <c r="M18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8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8" s="116" t="str">
        <f>IF(ESQ_PROJ2[[#This Row],[PONTO]]="","",IFERROR(SUMIF(ESQ_PROJ2[PONTO],ESQ_PROJ2[[#This Row],[TRECHO]],ESQ_PROJ2[Coluna1])+ESQ_PROJ2[[#This Row],[QT-PONTO]],""))</f>
        <v/>
      </c>
      <c r="P18" s="57" t="str">
        <f>IFERROR(ESQ_PROJ2[[#This Row],[Coluna1]]/T_LINHA_MONO,"")</f>
        <v/>
      </c>
      <c r="Q18" s="55" t="str">
        <f>IFERROR(T_LINHA_MONO*(1-ESQ_PROJ2[[#This Row],[QT %]]),"")</f>
        <v/>
      </c>
      <c r="R18" s="55" t="str">
        <f>IFERROR(T_LINHA_TRF*(1-ESQ_PROJ2[[#This Row],[QT %]]),"")</f>
        <v/>
      </c>
      <c r="S18" s="67" t="str">
        <f>IF(ESQ_PROJ2[[#This Row],[PROTECAO]]="OK","Protecao OK","Ajustar Disj/Condutor")</f>
        <v>Ajustar Disj/Condutor</v>
      </c>
      <c r="T18" s="72" t="str">
        <f>IF(ESQ_PROJ2[[#This Row],[ETA]]=1,"MONO",IF(ESQ_PROJ2[[#This Row],[ETA]]=2,"BIF","TRI"))</f>
        <v>TRI</v>
      </c>
      <c r="U18" s="72">
        <v>3</v>
      </c>
      <c r="V18" s="72" t="str">
        <f t="shared" si="0"/>
        <v>AEREO</v>
      </c>
      <c r="W18" s="72">
        <f>30</f>
        <v>30</v>
      </c>
      <c r="X18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8" s="72">
        <f>IFERROR(VLOOKUP(ESQ_PROJ2[[#This Row],[Ib]],TabelaDisjuntores[],2,TRUE),0)</f>
        <v>0</v>
      </c>
      <c r="Z18" s="72">
        <f>IFERROR(VLOOKUP(ESQ_PROJ2[[#This Row],[CONDUTOR]],CABOS[],2,0),0)</f>
        <v>0</v>
      </c>
      <c r="AA18" s="72" t="str">
        <f>IF(AND(ESQ_PROJ2[[#This Row],[Ib]]&lt;=ESQ_PROJ1[[#This Row],[In]],ESQ_PROJ2[[#This Row],[In]]&lt;=ESQ_PROJ2[[#This Row],[Iz]]),"OK","VERIFICAR")</f>
        <v>VERIFICAR</v>
      </c>
      <c r="AB18" s="97">
        <f>IFERROR(SQRT((ESQ_PROJ2[[#This Row],[X]]-$AF$4)^2+(ESQ_PROJ2[[#This Row],[Y]]-$AF$5)^2),0)</f>
        <v>0</v>
      </c>
      <c r="AC18" s="9" t="str">
        <f>IF(ESQ_PROJ2[[#This Row],[CONDUTOR]]="","",VLOOKUP(ESQ_PROJ2[[#This Row],[CONDUTOR]],CONDUTORES,2,0))</f>
        <v/>
      </c>
      <c r="AE18" s="262"/>
      <c r="AF18" s="262"/>
      <c r="AG18" s="262"/>
    </row>
    <row r="19" spans="1:33" x14ac:dyDescent="0.3">
      <c r="A19" s="54" t="s">
        <v>327</v>
      </c>
      <c r="B19" s="134"/>
      <c r="C19" s="54" t="str">
        <f>IFERROR(IF(ESQ_PROJ2[[#This Row],[PONTO]]="RAMAL",B18,VLOOKUP(ESQ_PROJ2[[#This Row],[PONTO]],GERAL_PROJ2[],2,0)),"")</f>
        <v/>
      </c>
      <c r="D19" s="54" t="str">
        <f>IFERROR(IF(ESQ_PROJ2[[#This Row],[PONTO]]="RAMAL",15,VLOOKUP(ESQ_PROJ2[[#This Row],[PONTO]],GERAL_PROJ2[],3,0)),"")</f>
        <v/>
      </c>
      <c r="E19" s="154" t="str">
        <f>IFERROR(IF(ESQ_PROJ2[[#This Row],[PONTO]]="RAMAL","",VLOOKUP(ESQ_PROJ2[[#This Row],[PONTO]],GERAL_PROJ2[],7,0)),"")</f>
        <v/>
      </c>
      <c r="F19" s="154" t="str">
        <f>IFERROR(IF(ESQ_PROJ2[[#This Row],[PONTO]]="RAMAL","",VLOOKUP(ESQ_PROJ2[[#This Row],[PONTO]],GERAL_PROJ2[],4,0)),"")</f>
        <v/>
      </c>
      <c r="G19" s="154" t="str">
        <f>IFERROR(IF(ESQ_PROJ2[[#This Row],[PONTO]]="RAMAL","",VLOOKUP(ESQ_PROJ2[[#This Row],[PONTO]],GERAL_PROJ2[],5,0)),"")</f>
        <v/>
      </c>
      <c r="H19" s="55" t="str">
        <f>IFERROR(IF(ESQ_PROJ2[[#This Row],[PONTO]]="RAMAL",DMDI,VLOOKUP(ESQ_PROJ2[[#This Row],[PONTO]],GERAL_PROJ2[],8,0)),"")</f>
        <v/>
      </c>
      <c r="I19" s="55" t="str">
        <f>IFERROR(IF(ESQ_PROJ2[[#This Row],[PONTO]]="RAMAL",ESQ_PROJ2[[#This Row],[KVA PONTO]],VLOOKUP(ESQ_PROJ2[[#This Row],[PONTO]],GERAL_PROJ2[],9,0)),"")</f>
        <v/>
      </c>
      <c r="J19" s="55" t="str">
        <f>IFERROR(VLOOKUP(ESQ_PROJ2[[#This Row],[PONTO]],GERAL_PROJ2[],12,0),"")</f>
        <v/>
      </c>
      <c r="K19" s="61" t="str">
        <f>IFERROR(ESQ_PROJ2[[#This Row],[Ib]],"")</f>
        <v/>
      </c>
      <c r="L19" s="117" t="str">
        <f>IFERROR(IFERROR(ESQ_PROJ2[[#This Row],[ACUMULADA]]/((IF(ESQ_PROJ2[[#This Row],[FASE]]="MONO",T_LINHA_MONO,IF(ESQ_PROJ2[[#This Row],[FASE]]="BIF",T_LINHA_TRF,T_LINHA_TRF*SQRT(3)))/1000)*VLOOKUP(ESQ_PROJ2[[#This Row],[CONDUTOR]],CABOS[],9,0))+30,W19+60*(X19/Z19)),"")</f>
        <v/>
      </c>
      <c r="M19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19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19" s="116" t="str">
        <f>IF(ESQ_PROJ2[[#This Row],[PONTO]]="","",IFERROR(SUMIF(ESQ_PROJ2[PONTO],ESQ_PROJ2[[#This Row],[TRECHO]],ESQ_PROJ2[Coluna1])+ESQ_PROJ2[[#This Row],[QT-PONTO]],""))</f>
        <v/>
      </c>
      <c r="P19" s="57" t="str">
        <f>IFERROR(ESQ_PROJ2[[#This Row],[Coluna1]]/T_LINHA_MONO,"")</f>
        <v/>
      </c>
      <c r="Q19" s="55" t="str">
        <f>IFERROR(T_LINHA_MONO*(1-ESQ_PROJ2[[#This Row],[QT %]]),"")</f>
        <v/>
      </c>
      <c r="R19" s="55" t="str">
        <f>IFERROR(T_LINHA_TRF*(1-ESQ_PROJ2[[#This Row],[QT %]]),"")</f>
        <v/>
      </c>
      <c r="S19" s="67" t="str">
        <f>IF(ESQ_PROJ2[[#This Row],[PROTECAO]]="OK","Protecao OK","Ajustar Disj/Condutor")</f>
        <v>Ajustar Disj/Condutor</v>
      </c>
      <c r="T19" s="72" t="str">
        <f>IF(ESQ_PROJ2[[#This Row],[ETA]]=1,"MONO",IF(ESQ_PROJ2[[#This Row],[ETA]]=2,"BIF","TRI"))</f>
        <v>TRI</v>
      </c>
      <c r="U19" s="72">
        <v>3</v>
      </c>
      <c r="V19" s="72" t="str">
        <f t="shared" si="0"/>
        <v>AEREO</v>
      </c>
      <c r="W19" s="72">
        <f>30</f>
        <v>30</v>
      </c>
      <c r="X19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19" s="72">
        <f>IFERROR(VLOOKUP(ESQ_PROJ2[[#This Row],[Ib]],TabelaDisjuntores[],2,TRUE),0)</f>
        <v>0</v>
      </c>
      <c r="Z19" s="72">
        <f>IFERROR(VLOOKUP(ESQ_PROJ2[[#This Row],[CONDUTOR]],CABOS[],2,0),0)</f>
        <v>0</v>
      </c>
      <c r="AA19" s="72" t="str">
        <f>IF(AND(ESQ_PROJ2[[#This Row],[Ib]]&lt;=ESQ_PROJ1[[#This Row],[In]],ESQ_PROJ2[[#This Row],[In]]&lt;=ESQ_PROJ2[[#This Row],[Iz]]),"OK","VERIFICAR")</f>
        <v>VERIFICAR</v>
      </c>
      <c r="AB19" s="97">
        <f>IFERROR(SQRT((ESQ_PROJ2[[#This Row],[X]]-$AF$4)^2+(ESQ_PROJ2[[#This Row],[Y]]-$AF$5)^2),0)</f>
        <v>0</v>
      </c>
      <c r="AC19" s="9" t="str">
        <f>IF(ESQ_PROJ2[[#This Row],[CONDUTOR]]="","",VLOOKUP(ESQ_PROJ2[[#This Row],[CONDUTOR]],CONDUTORES,2,0))</f>
        <v/>
      </c>
      <c r="AE19" s="262"/>
      <c r="AF19" s="262"/>
      <c r="AG19" s="262"/>
    </row>
    <row r="20" spans="1:33" x14ac:dyDescent="0.3">
      <c r="A20" s="172" t="s">
        <v>328</v>
      </c>
      <c r="B20" s="134"/>
      <c r="C20" s="54" t="str">
        <f>IFERROR(IF(ESQ_PROJ2[[#This Row],[PONTO]]="RAMAL",B19,VLOOKUP(ESQ_PROJ2[[#This Row],[PONTO]],GERAL_PROJ2[],2,0)),"")</f>
        <v/>
      </c>
      <c r="D20" s="54" t="str">
        <f>IFERROR(IF(ESQ_PROJ2[[#This Row],[PONTO]]="RAMAL",15,VLOOKUP(ESQ_PROJ2[[#This Row],[PONTO]],GERAL_PROJ2[],3,0)),"")</f>
        <v/>
      </c>
      <c r="E20" s="154" t="str">
        <f>IFERROR(IF(ESQ_PROJ2[[#This Row],[PONTO]]="RAMAL","",VLOOKUP(ESQ_PROJ2[[#This Row],[PONTO]],GERAL_PROJ2[],7,0)),"")</f>
        <v/>
      </c>
      <c r="F20" s="154" t="str">
        <f>IFERROR(IF(ESQ_PROJ2[[#This Row],[PONTO]]="RAMAL","",VLOOKUP(ESQ_PROJ2[[#This Row],[PONTO]],GERAL_PROJ2[],4,0)),"")</f>
        <v/>
      </c>
      <c r="G20" s="154" t="str">
        <f>IFERROR(IF(ESQ_PROJ2[[#This Row],[PONTO]]="RAMAL","",VLOOKUP(ESQ_PROJ2[[#This Row],[PONTO]],GERAL_PROJ2[],5,0)),"")</f>
        <v/>
      </c>
      <c r="H20" s="55" t="str">
        <f>IFERROR(IF(ESQ_PROJ2[[#This Row],[PONTO]]="RAMAL",DMDI,VLOOKUP(ESQ_PROJ2[[#This Row],[PONTO]],GERAL_PROJ2[],8,0)),"")</f>
        <v/>
      </c>
      <c r="I20" s="55" t="str">
        <f>IFERROR(IF(ESQ_PROJ2[[#This Row],[PONTO]]="RAMAL",ESQ_PROJ2[[#This Row],[KVA PONTO]],VLOOKUP(ESQ_PROJ2[[#This Row],[PONTO]],GERAL_PROJ2[],9,0)),"")</f>
        <v/>
      </c>
      <c r="J20" s="55" t="str">
        <f>IFERROR(VLOOKUP(ESQ_PROJ2[[#This Row],[PONTO]],GERAL_PROJ2[],12,0),"")</f>
        <v/>
      </c>
      <c r="K20" s="61" t="str">
        <f>IFERROR(ESQ_PROJ2[[#This Row],[Ib]],"")</f>
        <v/>
      </c>
      <c r="L20" s="117" t="str">
        <f>IFERROR(IFERROR(ESQ_PROJ2[[#This Row],[ACUMULADA]]/((IF(ESQ_PROJ2[[#This Row],[FASE]]="MONO",T_LINHA_MONO,IF(ESQ_PROJ2[[#This Row],[FASE]]="BIF",T_LINHA_TRF,T_LINHA_TRF*SQRT(3)))/1000)*VLOOKUP(ESQ_PROJ2[[#This Row],[CONDUTOR]],CABOS[],9,0))+30,W20+60*(X20/Z20)),"")</f>
        <v/>
      </c>
      <c r="M20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20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20" s="116" t="str">
        <f>IF(ESQ_PROJ2[[#This Row],[PONTO]]="","",IFERROR(SUMIF(ESQ_PROJ2[PONTO],ESQ_PROJ2[[#This Row],[TRECHO]],ESQ_PROJ2[Coluna1])+ESQ_PROJ2[[#This Row],[QT-PONTO]],""))</f>
        <v/>
      </c>
      <c r="P20" s="57" t="str">
        <f>IFERROR(ESQ_PROJ2[[#This Row],[Coluna1]]/T_LINHA_MONO,"")</f>
        <v/>
      </c>
      <c r="Q20" s="55" t="str">
        <f>IFERROR(T_LINHA_MONO*(1-ESQ_PROJ2[[#This Row],[QT %]]),"")</f>
        <v/>
      </c>
      <c r="R20" s="55" t="str">
        <f>IFERROR(T_LINHA_TRF*(1-ESQ_PROJ2[[#This Row],[QT %]]),"")</f>
        <v/>
      </c>
      <c r="S20" s="67" t="str">
        <f>IF(ESQ_PROJ2[[#This Row],[PROTECAO]]="OK","Protecao OK","Ajustar Disj/Condutor")</f>
        <v>Ajustar Disj/Condutor</v>
      </c>
      <c r="T20" s="72" t="str">
        <f>IF(ESQ_PROJ2[[#This Row],[ETA]]=1,"MONO",IF(ESQ_PROJ2[[#This Row],[ETA]]=2,"BIF","TRI"))</f>
        <v>TRI</v>
      </c>
      <c r="U20" s="72">
        <v>3</v>
      </c>
      <c r="V20" s="72" t="str">
        <f t="shared" si="0"/>
        <v>AEREO</v>
      </c>
      <c r="W20" s="72">
        <f>30</f>
        <v>30</v>
      </c>
      <c r="X20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20" s="72">
        <f>IFERROR(VLOOKUP(ESQ_PROJ2[[#This Row],[Ib]],TabelaDisjuntores[],2,TRUE),0)</f>
        <v>0</v>
      </c>
      <c r="Z20" s="72">
        <f>IFERROR(VLOOKUP(ESQ_PROJ2[[#This Row],[CONDUTOR]],CABOS[],2,0),0)</f>
        <v>0</v>
      </c>
      <c r="AA20" s="72" t="str">
        <f>IF(AND(ESQ_PROJ2[[#This Row],[Ib]]&lt;=ESQ_PROJ1[[#This Row],[In]],ESQ_PROJ2[[#This Row],[In]]&lt;=ESQ_PROJ2[[#This Row],[Iz]]),"OK","VERIFICAR")</f>
        <v>VERIFICAR</v>
      </c>
      <c r="AB20" s="97">
        <f>IFERROR(SQRT((ESQ_PROJ2[[#This Row],[X]]-$AF$4)^2+(ESQ_PROJ2[[#This Row],[Y]]-$AF$5)^2),0)</f>
        <v>0</v>
      </c>
      <c r="AC20" s="9" t="str">
        <f>IF(ESQ_PROJ2[[#This Row],[CONDUTOR]]="","",VLOOKUP(ESQ_PROJ2[[#This Row],[CONDUTOR]],CONDUTORES,2,0))</f>
        <v/>
      </c>
    </row>
    <row r="21" spans="1:33" x14ac:dyDescent="0.3">
      <c r="A21" s="54" t="s">
        <v>329</v>
      </c>
      <c r="B21" s="134"/>
      <c r="C21" s="54" t="str">
        <f>IFERROR(IF(ESQ_PROJ2[[#This Row],[PONTO]]="RAMAL",B20,VLOOKUP(ESQ_PROJ2[[#This Row],[PONTO]],GERAL_PROJ2[],2,0)),"")</f>
        <v/>
      </c>
      <c r="D21" s="54" t="str">
        <f>IFERROR(IF(ESQ_PROJ2[[#This Row],[PONTO]]="RAMAL",15,VLOOKUP(ESQ_PROJ2[[#This Row],[PONTO]],GERAL_PROJ2[],3,0)),"")</f>
        <v/>
      </c>
      <c r="E21" s="154" t="str">
        <f>IFERROR(IF(ESQ_PROJ2[[#This Row],[PONTO]]="RAMAL","",VLOOKUP(ESQ_PROJ2[[#This Row],[PONTO]],GERAL_PROJ2[],7,0)),"")</f>
        <v/>
      </c>
      <c r="F21" s="154" t="str">
        <f>IFERROR(IF(ESQ_PROJ2[[#This Row],[PONTO]]="RAMAL","",VLOOKUP(ESQ_PROJ2[[#This Row],[PONTO]],GERAL_PROJ2[],4,0)),"")</f>
        <v/>
      </c>
      <c r="G21" s="154" t="str">
        <f>IFERROR(IF(ESQ_PROJ2[[#This Row],[PONTO]]="RAMAL","",VLOOKUP(ESQ_PROJ2[[#This Row],[PONTO]],GERAL_PROJ2[],5,0)),"")</f>
        <v/>
      </c>
      <c r="H21" s="55" t="str">
        <f>IFERROR(IF(ESQ_PROJ2[[#This Row],[PONTO]]="RAMAL",DMDI,VLOOKUP(ESQ_PROJ2[[#This Row],[PONTO]],GERAL_PROJ2[],8,0)),"")</f>
        <v/>
      </c>
      <c r="I21" s="55" t="str">
        <f>IFERROR(IF(ESQ_PROJ2[[#This Row],[PONTO]]="RAMAL",ESQ_PROJ2[[#This Row],[KVA PONTO]],VLOOKUP(ESQ_PROJ2[[#This Row],[PONTO]],GERAL_PROJ2[],9,0)),"")</f>
        <v/>
      </c>
      <c r="J21" s="55" t="str">
        <f>IFERROR(VLOOKUP(ESQ_PROJ2[[#This Row],[PONTO]],GERAL_PROJ2[],12,0),"")</f>
        <v/>
      </c>
      <c r="K21" s="61" t="str">
        <f>IFERROR(ESQ_PROJ2[[#This Row],[Ib]],"")</f>
        <v/>
      </c>
      <c r="L21" s="117" t="str">
        <f>IFERROR(IFERROR(ESQ_PROJ2[[#This Row],[ACUMULADA]]/((IF(ESQ_PROJ2[[#This Row],[FASE]]="MONO",T_LINHA_MONO,IF(ESQ_PROJ2[[#This Row],[FASE]]="BIF",T_LINHA_TRF,T_LINHA_TRF*SQRT(3)))/1000)*VLOOKUP(ESQ_PROJ2[[#This Row],[CONDUTOR]],CABOS[],9,0))+30,W21+60*(X21/Z21)),"")</f>
        <v/>
      </c>
      <c r="M21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21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21" s="116" t="str">
        <f>IF(ESQ_PROJ2[[#This Row],[PONTO]]="","",IFERROR(SUMIF(ESQ_PROJ2[PONTO],ESQ_PROJ2[[#This Row],[TRECHO]],ESQ_PROJ2[Coluna1])+ESQ_PROJ2[[#This Row],[QT-PONTO]],""))</f>
        <v/>
      </c>
      <c r="P21" s="57" t="str">
        <f>IFERROR(ESQ_PROJ2[[#This Row],[Coluna1]]/T_LINHA_MONO,"")</f>
        <v/>
      </c>
      <c r="Q21" s="55" t="str">
        <f>IFERROR(T_LINHA_MONO*(1-ESQ_PROJ2[[#This Row],[QT %]]),"")</f>
        <v/>
      </c>
      <c r="R21" s="55" t="str">
        <f>IFERROR(T_LINHA_TRF*(1-ESQ_PROJ2[[#This Row],[QT %]]),"")</f>
        <v/>
      </c>
      <c r="S21" s="67" t="str">
        <f>IF(ESQ_PROJ2[[#This Row],[PROTECAO]]="OK","Protecao OK","Ajustar Disj/Condutor")</f>
        <v>Ajustar Disj/Condutor</v>
      </c>
      <c r="T21" s="72" t="str">
        <f>IF(ESQ_PROJ2[[#This Row],[ETA]]=1,"MONO",IF(ESQ_PROJ2[[#This Row],[ETA]]=2,"BIF","TRI"))</f>
        <v>TRI</v>
      </c>
      <c r="U21" s="72">
        <v>3</v>
      </c>
      <c r="V21" s="72" t="str">
        <f t="shared" si="0"/>
        <v>AEREO</v>
      </c>
      <c r="W21" s="72">
        <f>30</f>
        <v>30</v>
      </c>
      <c r="X21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21" s="72">
        <f>IFERROR(VLOOKUP(ESQ_PROJ2[[#This Row],[Ib]],TabelaDisjuntores[],2,TRUE),0)</f>
        <v>0</v>
      </c>
      <c r="Z21" s="72">
        <f>IFERROR(VLOOKUP(ESQ_PROJ2[[#This Row],[CONDUTOR]],CABOS[],2,0),0)</f>
        <v>0</v>
      </c>
      <c r="AA21" s="72" t="str">
        <f>IF(AND(ESQ_PROJ2[[#This Row],[Ib]]&lt;=ESQ_PROJ1[[#This Row],[In]],ESQ_PROJ2[[#This Row],[In]]&lt;=ESQ_PROJ2[[#This Row],[Iz]]),"OK","VERIFICAR")</f>
        <v>VERIFICAR</v>
      </c>
      <c r="AB21" s="97">
        <f>IFERROR(SQRT((ESQ_PROJ2[[#This Row],[X]]-$AF$4)^2+(ESQ_PROJ2[[#This Row],[Y]]-$AF$5)^2),0)</f>
        <v>0</v>
      </c>
      <c r="AC21" s="9" t="str">
        <f>IF(ESQ_PROJ2[[#This Row],[CONDUTOR]]="","",VLOOKUP(ESQ_PROJ2[[#This Row],[CONDUTOR]],CONDUTORES,2,0))</f>
        <v/>
      </c>
      <c r="AE21" s="146" t="str">
        <f>IF(J20="","FALTA CONDUTOR NO RAMAL","")</f>
        <v>FALTA CONDUTOR NO RAMAL</v>
      </c>
      <c r="AF21" s="146"/>
      <c r="AG21" s="146"/>
    </row>
    <row r="22" spans="1:33" x14ac:dyDescent="0.3">
      <c r="A22" s="172"/>
      <c r="B22" s="134"/>
      <c r="C22" s="54" t="str">
        <f>IFERROR(IF(ESQ_PROJ2[[#This Row],[PONTO]]="RAMAL",B21,VLOOKUP(ESQ_PROJ2[[#This Row],[PONTO]],GERAL_PROJ2[],2,0)),"")</f>
        <v/>
      </c>
      <c r="D22" s="54" t="str">
        <f>IFERROR(IF(ESQ_PROJ2[[#This Row],[PONTO]]="RAMAL",15,VLOOKUP(ESQ_PROJ2[[#This Row],[PONTO]],GERAL_PROJ2[],3,0)),"")</f>
        <v/>
      </c>
      <c r="E22" s="154" t="str">
        <f>IFERROR(IF(ESQ_PROJ2[[#This Row],[PONTO]]="RAMAL","",VLOOKUP(ESQ_PROJ2[[#This Row],[PONTO]],GERAL_PROJ2[],7,0)),"")</f>
        <v/>
      </c>
      <c r="F22" s="154" t="str">
        <f>IFERROR(IF(ESQ_PROJ2[[#This Row],[PONTO]]="RAMAL","",VLOOKUP(ESQ_PROJ2[[#This Row],[PONTO]],GERAL_PROJ2[],4,0)),"")</f>
        <v/>
      </c>
      <c r="G22" s="154" t="str">
        <f>IFERROR(IF(ESQ_PROJ2[[#This Row],[PONTO]]="RAMAL","",VLOOKUP(ESQ_PROJ2[[#This Row],[PONTO]],GERAL_PROJ2[],5,0)),"")</f>
        <v/>
      </c>
      <c r="H22" s="55" t="str">
        <f>IFERROR(IF(ESQ_PROJ2[[#This Row],[PONTO]]="RAMAL",DMDI,VLOOKUP(ESQ_PROJ2[[#This Row],[PONTO]],GERAL_PROJ2[],8,0)),"")</f>
        <v/>
      </c>
      <c r="I22" s="55" t="str">
        <f>IFERROR(IF(ESQ_PROJ2[[#This Row],[PONTO]]="RAMAL",ESQ_PROJ2[[#This Row],[KVA PONTO]],VLOOKUP(ESQ_PROJ2[[#This Row],[PONTO]],GERAL_PROJ2[],9,0)),"")</f>
        <v/>
      </c>
      <c r="J22" s="55" t="str">
        <f>IFERROR(VLOOKUP(ESQ_PROJ2[[#This Row],[PONTO]],GERAL_PROJ2[],12,0),"")</f>
        <v/>
      </c>
      <c r="K22" s="61" t="str">
        <f>IFERROR(ESQ_PROJ2[[#This Row],[Ib]],"")</f>
        <v/>
      </c>
      <c r="L22" s="117" t="str">
        <f>IFERROR(IFERROR(ESQ_PROJ2[[#This Row],[ACUMULADA]]/((IF(ESQ_PROJ2[[#This Row],[FASE]]="MONO",T_LINHA_MONO,IF(ESQ_PROJ2[[#This Row],[FASE]]="BIF",T_LINHA_TRF,T_LINHA_TRF*SQRT(3)))/1000)*VLOOKUP(ESQ_PROJ2[[#This Row],[CONDUTOR]],CABOS[],9,0))+30,W22+60*(X22/Z22)),"")</f>
        <v/>
      </c>
      <c r="M22" s="68" t="str">
        <f>IFERROR((VLOOKUP(ESQ_PROJ2[[#This Row],[CONDUTOR]],CABOS[],3,0)/VLOOKUP(ESQ_PROJ2[[#This Row],[CONDUTOR]],CABOS[],6,0))*(1+VLOOKUP(ESQ_PROJ2[[#This Row],[CONDUTOR]],CABOS[],5,0)*(ESQ_PROJ2[[#This Row],[T]]-20)),"")</f>
        <v/>
      </c>
      <c r="N22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22" s="116" t="str">
        <f>IF(ESQ_PROJ2[[#This Row],[PONTO]]="","",IFERROR(SUMIF(ESQ_PROJ2[PONTO],ESQ_PROJ2[[#This Row],[TRECHO]],ESQ_PROJ2[Coluna1])+ESQ_PROJ2[[#This Row],[QT-PONTO]],""))</f>
        <v/>
      </c>
      <c r="P22" s="57" t="str">
        <f>IFERROR(ESQ_PROJ2[[#This Row],[Coluna1]]/T_LINHA_MONO,"")</f>
        <v/>
      </c>
      <c r="Q22" s="55" t="str">
        <f>IFERROR(T_LINHA_MONO*(1-ESQ_PROJ2[[#This Row],[QT %]]),"")</f>
        <v/>
      </c>
      <c r="R22" s="55" t="str">
        <f>IFERROR(T_LINHA_TRF*(1-ESQ_PROJ2[[#This Row],[QT %]]),"")</f>
        <v/>
      </c>
      <c r="S22" s="67" t="str">
        <f>IF(ESQ_PROJ2[[#This Row],[PROTECAO]]="OK","Protecao OK","Ajustar Disj/Condutor")</f>
        <v>Ajustar Disj/Condutor</v>
      </c>
      <c r="T22" s="72" t="str">
        <f>IF(ESQ_PROJ2[[#This Row],[ETA]]=1,"MONO",IF(ESQ_PROJ2[[#This Row],[ETA]]=2,"BIF","TRI"))</f>
        <v>TRI</v>
      </c>
      <c r="U22" s="72">
        <v>3</v>
      </c>
      <c r="V22" s="72" t="str">
        <f t="shared" si="0"/>
        <v>AEREO</v>
      </c>
      <c r="W22" s="72">
        <f>30</f>
        <v>30</v>
      </c>
      <c r="X22" s="72" t="str">
        <f>IFERROR(IF(ESQ_PROJ2[[#This Row],[FASE]]="MONO",ESQ_PROJ2[[#This Row],[ACUMULADA]]*1000/(T_LINHA_TRF*ESQ_PROJ2[[#This Row],[ETA]]),ESQ_PROJ2[[#This Row],[ACUMULADA]]*1000/(SQRT(3)*$R$7*ESQ_PROJ2[[#This Row],[ETA]])),"")</f>
        <v/>
      </c>
      <c r="Y22" s="72">
        <f>IFERROR(VLOOKUP(ESQ_PROJ2[[#This Row],[Ib]],TabelaDisjuntores[],2,TRUE),0)</f>
        <v>0</v>
      </c>
      <c r="Z22" s="72">
        <f>IFERROR(VLOOKUP(ESQ_PROJ2[[#This Row],[CONDUTOR]],CABOS[],2,0),0)</f>
        <v>0</v>
      </c>
      <c r="AA22" s="72" t="str">
        <f>IF(AND(ESQ_PROJ2[[#This Row],[Ib]]&lt;=ESQ_PROJ1[[#This Row],[In]],ESQ_PROJ2[[#This Row],[In]]&lt;=ESQ_PROJ2[[#This Row],[Iz]]),"OK","VERIFICAR")</f>
        <v>VERIFICAR</v>
      </c>
      <c r="AB22" s="97">
        <f>IFERROR(SQRT((ESQ_PROJ2[[#This Row],[X]]-$AF$4)^2+(ESQ_PROJ2[[#This Row],[Y]]-$AF$5)^2),0)</f>
        <v>0</v>
      </c>
      <c r="AC22" s="9" t="str">
        <f>IF(ESQ_PROJ2[[#This Row],[CONDUTOR]]="","",VLOOKUP(ESQ_PROJ2[[#This Row],[CONDUTOR]],CONDUTORES,2,0))</f>
        <v/>
      </c>
    </row>
    <row r="23" spans="1:33" x14ac:dyDescent="0.3">
      <c r="A23" s="172" t="s">
        <v>323</v>
      </c>
      <c r="B23" s="70" t="s">
        <v>275</v>
      </c>
      <c r="C23" s="130"/>
      <c r="D23" s="54">
        <v>30</v>
      </c>
      <c r="E23" s="154" t="str">
        <f>IFERROR(IF(ESQ_PROJ2[[#This Row],[PONTO]]="RAMAL","",VLOOKUP(ESQ_PROJ2[[#This Row],[PONTO]],GERAL_PROJ2[],7,0)),"")</f>
        <v/>
      </c>
      <c r="F23" s="154" t="str">
        <f>IFERROR(IF(ESQ_PROJ2[[#This Row],[PONTO]]="RAMAL","",VLOOKUP(ESQ_PROJ2[[#This Row],[PONTO]],GERAL_PROJ2[],4,0)),"")</f>
        <v/>
      </c>
      <c r="G23" s="154" t="str">
        <f>IFERROR(IF(ESQ_PROJ2[[#This Row],[PONTO]]="RAMAL","",VLOOKUP(ESQ_PROJ2[[#This Row],[PONTO]],GERAL_PROJ2[],5,0)),"")</f>
        <v/>
      </c>
      <c r="H23" s="55">
        <f>IFERROR(IF(ESQ_PROJ2[[#This Row],[PONTO]]="RAMAL",DMDI,VLOOKUP(ESQ_PROJ2[[#This Row],[PONTO]],GERAL_PROJ2[],8,0)),"")</f>
        <v>1.88</v>
      </c>
      <c r="I23" s="55">
        <f>IFERROR(IF(ESQ_PROJ2[[#This Row],[PONTO]]="RAMAL",ESQ_PROJ2[[#This Row],[KVA PONTO]],VLOOKUP(ESQ_PROJ2[[#This Row],[PONTO]],GERAL_PROJ2[],9,0)),"")</f>
        <v>1.88</v>
      </c>
      <c r="J23" s="135" t="s">
        <v>97</v>
      </c>
      <c r="K23" s="61">
        <f>IFERROR(ESQ_PROJ2[[#This Row],[Ib]],"")</f>
        <v>1.6445734940552976</v>
      </c>
      <c r="L23" s="117">
        <f>IFERROR(IFERROR(ESQ_PROJ2[[#This Row],[ACUMULADA]]/((IF(ESQ_PROJ2[[#This Row],[FASE]]="MONO",T_LINHA_MONO,IF(ESQ_PROJ2[[#This Row],[FASE]]="BIF",T_LINHA_TRF,T_LINHA_TRF*SQRT(3)))/1000)*VLOOKUP(ESQ_PROJ2[[#This Row],[CONDUTOR]],CABOS[],9,0))+30,W23+60*(X23/Z23)),"")</f>
        <v>34.698781411586566</v>
      </c>
      <c r="M23" s="68">
        <f>IFERROR((VLOOKUP(ESQ_PROJ2[[#This Row],[CONDUTOR]],CABOS[],3,0)/VLOOKUP(ESQ_PROJ2[[#This Row],[CONDUTOR]],CABOS[],6,0))*(1+VLOOKUP(ESQ_PROJ2[[#This Row],[CONDUTOR]],CABOS[],5,0)*(ESQ_PROJ2[[#This Row],[T]]-20)),"")</f>
        <v>2.0636037487625933</v>
      </c>
      <c r="N23" s="62" t="str">
        <f>IFERROR(IF(ESQ_PROJ2[[#This Row],[FASE]]="MONO",6,IF(ESQ_PROJ2[[#This Row],[FASE]]="BIF",2,1))*ESQ_PROJ2[[#This Row],[ACUMULADA]]*(SQRT(ESQ_PROJ2[[#This Row],[R CORR]]^2+VLOOKUP(ESQ_PROJ2[[#This Row],[CONDUTOR]],CABOS[],4,0)^2)/(($R$7^2)/100))*ESQ_PROJ2[[#This Row],[M]]*T_LINHA_MONO/100+IF(ESQ_PROJ2[[#This Row],[TRECHO]]=0,T_LINHA_MONO*QT_MTTR3,0),"")</f>
        <v/>
      </c>
      <c r="O23" s="116" t="str">
        <f>IF(ESQ_PROJ2[[#This Row],[PONTO]]="","",IFERROR(SUMIF(ESQ_PROJ2[PONTO],ESQ_PROJ2[[#This Row],[TRECHO]],ESQ_PROJ2[Coluna1])+ESQ_PROJ2[[#This Row],[QT-PONTO]],""))</f>
        <v/>
      </c>
      <c r="P23" s="57" t="str">
        <f>IFERROR(ESQ_PROJ2[[#This Row],[Coluna1]]/T_LINHA_MONO,"")</f>
        <v/>
      </c>
      <c r="Q23" s="55" t="str">
        <f>IFERROR(T_LINHA_MONO*(1-ESQ_PROJ2[[#This Row],[QT %]]),"")</f>
        <v/>
      </c>
      <c r="R23" s="55" t="str">
        <f>IFERROR(T_LINHA_TRF*(1-ESQ_PROJ2[[#This Row],[QT %]]),"")</f>
        <v/>
      </c>
      <c r="S23" s="67" t="str">
        <f>IF(ESQ_PROJ2[[#This Row],[PROTECAO]]="OK","Protecao OK","Ajustar Disj/Condutor")</f>
        <v>Ajustar Disj/Condutor</v>
      </c>
      <c r="T23" s="72" t="str">
        <f>IF(ESQ_PROJ2[[#This Row],[ETA]]=1,"MONO",IF(ESQ_PROJ2[[#This Row],[ETA]]=2,"BIF","TRI"))</f>
        <v>TRI</v>
      </c>
      <c r="U23" s="72">
        <v>3</v>
      </c>
      <c r="V23" s="72" t="str">
        <f t="shared" si="0"/>
        <v>AEREO</v>
      </c>
      <c r="W23" s="72">
        <f>30</f>
        <v>30</v>
      </c>
      <c r="X23" s="72">
        <f>IFERROR(IF(ESQ_PROJ2[[#This Row],[FASE]]="MONO",ESQ_PROJ2[[#This Row],[ACUMULADA]]*1000/(T_LINHA_TRF*ESQ_PROJ2[[#This Row],[ETA]]),ESQ_PROJ2[[#This Row],[ACUMULADA]]*1000/(SQRT(3)*$R$7*ESQ_PROJ2[[#This Row],[ETA]])),"")</f>
        <v>1.6445734940552976</v>
      </c>
      <c r="Y23" s="72">
        <f>IFERROR(VLOOKUP(ESQ_PROJ2[[#This Row],[Ib]],TabelaDisjuntores[],2,TRUE),0)</f>
        <v>0</v>
      </c>
      <c r="Z23" s="72">
        <f>IFERROR(VLOOKUP(ESQ_PROJ2[[#This Row],[CONDUTOR]],CABOS[],2,0),0)</f>
        <v>63</v>
      </c>
      <c r="AA23" s="72" t="str">
        <f>IF(AND(ESQ_PROJ2[[#This Row],[Ib]]&lt;=ESQ_PROJ1[[#This Row],[In]],ESQ_PROJ2[[#This Row],[In]]&lt;=ESQ_PROJ2[[#This Row],[Iz]]),"OK","VERIFICAR")</f>
        <v>VERIFICAR</v>
      </c>
      <c r="AB23" s="97">
        <f>IFERROR(SQRT((ESQ_PROJ2[[#This Row],[X]]-$AF$4)^2+(ESQ_PROJ2[[#This Row],[Y]]-$AF$5)^2),0)</f>
        <v>0</v>
      </c>
      <c r="AC23" s="9">
        <f>IF(ESQ_PROJ2[[#This Row],[CONDUTOR]]="","",VLOOKUP(ESQ_PROJ2[[#This Row],[CONDUTOR]],CONDUTORES,2,0))</f>
        <v>63</v>
      </c>
    </row>
    <row r="24" spans="1:33" x14ac:dyDescent="0.3">
      <c r="E24" s="154" t="str">
        <f>IFERROR(IF(Tabela7[[#This Row],[PONTO]]="RAMAL","",VLOOKUP(Tabela7[[#This Row],[PONTO]],GERAL[],7,0)),"")</f>
        <v/>
      </c>
    </row>
  </sheetData>
  <mergeCells count="24">
    <mergeCell ref="AC5:AC6"/>
    <mergeCell ref="AE16:AG19"/>
    <mergeCell ref="AE2:AF3"/>
    <mergeCell ref="C2:C3"/>
    <mergeCell ref="H5:H6"/>
    <mergeCell ref="F2:F3"/>
    <mergeCell ref="N5:N6"/>
    <mergeCell ref="P5:P6"/>
    <mergeCell ref="AB5:AB6"/>
    <mergeCell ref="U5:U6"/>
    <mergeCell ref="C5:C6"/>
    <mergeCell ref="J5:J6"/>
    <mergeCell ref="F5:G5"/>
    <mergeCell ref="D5:D6"/>
    <mergeCell ref="O5:O6"/>
    <mergeCell ref="Q5:Q6"/>
    <mergeCell ref="S5:S6"/>
    <mergeCell ref="A5:A6"/>
    <mergeCell ref="B2:B3"/>
    <mergeCell ref="D2:D3"/>
    <mergeCell ref="G2:G3"/>
    <mergeCell ref="K5:K6"/>
    <mergeCell ref="B5:B6"/>
    <mergeCell ref="I5:I6"/>
  </mergeCells>
  <conditionalFormatting sqref="S9:S22 T9:AA23">
    <cfRule type="cellIs" dxfId="5" priority="4" operator="equal">
      <formula>"Condutor Suporta Amperagem"</formula>
    </cfRule>
    <cfRule type="cellIs" dxfId="4" priority="5" operator="equal">
      <formula>"Condutor Sobrecarregado"</formula>
    </cfRule>
  </conditionalFormatting>
  <conditionalFormatting sqref="S8:AA8">
    <cfRule type="cellIs" dxfId="3" priority="1" operator="equal">
      <formula>"Condutor Suporta Amperagem"</formula>
    </cfRule>
    <cfRule type="cellIs" dxfId="2" priority="2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3B6E7E1C-4527-4758-96FA-D8253E61501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4"/>
  <sheetViews>
    <sheetView zoomScaleNormal="100" workbookViewId="0">
      <pane ySplit="7" topLeftCell="A8" activePane="bottomLeft" state="frozen"/>
      <selection activeCell="A35" sqref="A35:Y35"/>
      <selection pane="bottomLeft" activeCell="C23" sqref="C23"/>
    </sheetView>
  </sheetViews>
  <sheetFormatPr defaultRowHeight="14.4" x14ac:dyDescent="0.3"/>
  <cols>
    <col min="2" max="2" width="11.6640625" bestFit="1" customWidth="1"/>
    <col min="3" max="3" width="12.6640625" customWidth="1"/>
    <col min="4" max="4" width="14.88671875" customWidth="1"/>
    <col min="5" max="5" width="8.6640625" customWidth="1"/>
    <col min="6" max="6" width="10.44140625" bestFit="1" customWidth="1"/>
    <col min="7" max="7" width="11.5546875" bestFit="1" customWidth="1"/>
    <col min="8" max="8" width="8.21875" customWidth="1"/>
    <col min="9" max="9" width="8.88671875" customWidth="1"/>
    <col min="10" max="10" width="16.109375" bestFit="1" customWidth="1"/>
    <col min="11" max="11" width="7.109375" hidden="1" customWidth="1"/>
    <col min="12" max="12" width="6.109375" hidden="1" customWidth="1"/>
    <col min="13" max="13" width="10.77734375" hidden="1" customWidth="1"/>
    <col min="14" max="14" width="15.44140625" hidden="1" customWidth="1"/>
    <col min="15" max="15" width="17.5546875" hidden="1" customWidth="1"/>
    <col min="16" max="16" width="8.77734375" bestFit="1" customWidth="1"/>
    <col min="17" max="17" width="11.6640625" customWidth="1"/>
    <col min="18" max="18" width="7.5546875" hidden="1" customWidth="1"/>
    <col min="19" max="19" width="20.6640625" hidden="1" customWidth="1"/>
    <col min="20" max="20" width="9" hidden="1" customWidth="1"/>
    <col min="21" max="21" width="8" bestFit="1" customWidth="1"/>
    <col min="22" max="22" width="16" hidden="1" customWidth="1"/>
    <col min="23" max="23" width="13.21875" hidden="1" customWidth="1"/>
    <col min="24" max="24" width="13.33203125" hidden="1" customWidth="1"/>
    <col min="25" max="25" width="6.5546875" hidden="1" customWidth="1"/>
    <col min="26" max="26" width="6.44140625" hidden="1" customWidth="1"/>
    <col min="27" max="27" width="13.33203125" hidden="1" customWidth="1"/>
    <col min="28" max="28" width="11.5546875" hidden="1" customWidth="1"/>
    <col min="29" max="29" width="10" style="9" bestFit="1" customWidth="1"/>
    <col min="30" max="30" width="4.6640625" customWidth="1"/>
    <col min="31" max="31" width="11.5546875" bestFit="1" customWidth="1"/>
    <col min="32" max="32" width="28.33203125" bestFit="1" customWidth="1"/>
  </cols>
  <sheetData>
    <row r="1" spans="1:33" x14ac:dyDescent="0.3">
      <c r="J1" s="118" t="s">
        <v>94</v>
      </c>
    </row>
    <row r="2" spans="1:33" x14ac:dyDescent="0.3">
      <c r="B2" s="259" t="s">
        <v>237</v>
      </c>
      <c r="C2" s="263" t="e">
        <f>SMALL(Tabela71023[127],1)</f>
        <v>#NUM!</v>
      </c>
      <c r="D2" s="260" t="e">
        <f>LARGE(Tabela71023[QT %],1)</f>
        <v>#NUM!</v>
      </c>
      <c r="E2" s="170"/>
      <c r="F2" s="215"/>
      <c r="G2" s="215"/>
      <c r="H2" s="63"/>
      <c r="J2" s="118" t="s">
        <v>97</v>
      </c>
      <c r="AE2" s="204" t="s">
        <v>36</v>
      </c>
      <c r="AF2" s="205"/>
    </row>
    <row r="3" spans="1:33" x14ac:dyDescent="0.3">
      <c r="B3" s="209"/>
      <c r="C3" s="261"/>
      <c r="D3" s="261"/>
      <c r="E3" s="170"/>
      <c r="F3" s="209"/>
      <c r="G3" s="209"/>
      <c r="H3" s="63"/>
      <c r="AE3" s="206"/>
      <c r="AF3" s="206"/>
    </row>
    <row r="4" spans="1:33" x14ac:dyDescent="0.3">
      <c r="AE4" s="11" t="s">
        <v>26</v>
      </c>
      <c r="AF4" s="13" t="str">
        <f>IFERROR(SUMPRODUCT(I8:I12,F8:F12)/SUM(I8:I12),"INSERIR DADOS")</f>
        <v>INSERIR DADOS</v>
      </c>
    </row>
    <row r="5" spans="1:33" ht="13.8" customHeight="1" x14ac:dyDescent="0.3">
      <c r="A5" s="220" t="s">
        <v>322</v>
      </c>
      <c r="B5" s="259" t="s">
        <v>13</v>
      </c>
      <c r="C5" s="220" t="s">
        <v>238</v>
      </c>
      <c r="D5" s="220" t="s">
        <v>239</v>
      </c>
      <c r="E5" s="58"/>
      <c r="F5" s="264" t="s">
        <v>16</v>
      </c>
      <c r="G5" s="222"/>
      <c r="H5" s="217" t="s">
        <v>240</v>
      </c>
      <c r="I5" s="217" t="s">
        <v>241</v>
      </c>
      <c r="J5" s="217" t="s">
        <v>33</v>
      </c>
      <c r="K5" s="217"/>
      <c r="L5" s="50"/>
      <c r="M5" s="50"/>
      <c r="N5" s="217" t="s">
        <v>242</v>
      </c>
      <c r="O5" s="217" t="s">
        <v>243</v>
      </c>
      <c r="P5" s="217" t="s">
        <v>244</v>
      </c>
      <c r="Q5" s="217" t="s">
        <v>245</v>
      </c>
      <c r="R5" s="50"/>
      <c r="S5" s="217" t="s">
        <v>246</v>
      </c>
      <c r="U5" s="217" t="s">
        <v>247</v>
      </c>
      <c r="AB5" s="217" t="s">
        <v>31</v>
      </c>
      <c r="AC5" s="217" t="s">
        <v>277</v>
      </c>
      <c r="AE5" s="12" t="s">
        <v>27</v>
      </c>
      <c r="AF5" s="13" t="str">
        <f>IFERROR(SUMPRODUCT(I8:I12,G8:G12)/SUM(I8:I12),"INSERIR DADOS")</f>
        <v>INSERIR DADOS</v>
      </c>
    </row>
    <row r="6" spans="1:33" ht="34.200000000000003" customHeight="1" x14ac:dyDescent="0.3">
      <c r="A6" s="218"/>
      <c r="B6" s="209"/>
      <c r="C6" s="209"/>
      <c r="D6" s="209"/>
      <c r="E6" s="58" t="s">
        <v>321</v>
      </c>
      <c r="F6" s="8" t="s">
        <v>23</v>
      </c>
      <c r="G6" s="8" t="s">
        <v>24</v>
      </c>
      <c r="H6" s="209"/>
      <c r="I6" s="209"/>
      <c r="J6" s="209"/>
      <c r="K6" s="209"/>
      <c r="L6" s="14"/>
      <c r="M6" s="14"/>
      <c r="N6" s="209"/>
      <c r="O6" s="209"/>
      <c r="P6" s="209"/>
      <c r="Q6" s="209"/>
      <c r="R6" s="14"/>
      <c r="S6" s="209"/>
      <c r="U6" s="209"/>
      <c r="AB6" s="209"/>
      <c r="AC6" s="209"/>
    </row>
    <row r="7" spans="1:33" ht="15" thickBot="1" x14ac:dyDescent="0.35">
      <c r="A7" s="171" t="s">
        <v>13</v>
      </c>
      <c r="B7" s="53" t="s">
        <v>13</v>
      </c>
      <c r="C7" s="53" t="s">
        <v>14</v>
      </c>
      <c r="D7" s="53" t="s">
        <v>25</v>
      </c>
      <c r="E7" s="53" t="s">
        <v>320</v>
      </c>
      <c r="F7" s="53" t="s">
        <v>26</v>
      </c>
      <c r="G7" s="53" t="s">
        <v>27</v>
      </c>
      <c r="H7" s="53" t="s">
        <v>248</v>
      </c>
      <c r="I7" s="53" t="s">
        <v>18</v>
      </c>
      <c r="J7" s="53" t="s">
        <v>33</v>
      </c>
      <c r="K7" s="66" t="s">
        <v>55</v>
      </c>
      <c r="L7" s="66" t="s">
        <v>249</v>
      </c>
      <c r="M7" s="66" t="s">
        <v>250</v>
      </c>
      <c r="N7" s="53" t="s">
        <v>251</v>
      </c>
      <c r="O7" s="53" t="s">
        <v>252</v>
      </c>
      <c r="P7" s="53" t="s">
        <v>244</v>
      </c>
      <c r="Q7" s="66" t="s">
        <v>253</v>
      </c>
      <c r="R7" s="66" t="s">
        <v>254</v>
      </c>
      <c r="S7" s="53" t="s">
        <v>255</v>
      </c>
      <c r="T7" s="73" t="s">
        <v>256</v>
      </c>
      <c r="U7" s="73" t="s">
        <v>257</v>
      </c>
      <c r="V7" s="73" t="s">
        <v>258</v>
      </c>
      <c r="W7" s="73" t="s">
        <v>259</v>
      </c>
      <c r="X7" s="73" t="s">
        <v>260</v>
      </c>
      <c r="Y7" s="73" t="s">
        <v>261</v>
      </c>
      <c r="Z7" s="73" t="s">
        <v>262</v>
      </c>
      <c r="AA7" s="73" t="s">
        <v>263</v>
      </c>
      <c r="AB7" s="53" t="s">
        <v>264</v>
      </c>
      <c r="AC7" s="53" t="s">
        <v>278</v>
      </c>
    </row>
    <row r="8" spans="1:33" x14ac:dyDescent="0.3">
      <c r="A8" s="172" t="s">
        <v>311</v>
      </c>
      <c r="B8" s="54"/>
      <c r="C8" s="54" t="str">
        <f>IFERROR(IF(Tabela71023[[#This Row],[PONTO]]="RAMAL",B7,VLOOKUP(Tabela71023[[#This Row],[PONTO]],GERAL_PROJ2[],2,0)),"")</f>
        <v/>
      </c>
      <c r="D8" s="54" t="str">
        <f>IFERROR(IF(Tabela71023[[#This Row],[PONTO]]="RAMAL",15,VLOOKUP(Tabela71023[[#This Row],[PONTO]],GERAL_PROJ2[],3,0)),"")</f>
        <v/>
      </c>
      <c r="E8" s="154" t="str">
        <f>IFERROR(IF(Tabela71023[[#This Row],[PONTO]]="RAMAL","",VLOOKUP(Tabela71023[[#This Row],[PONTO]],GERAL_PROJ2[],7,0)),"")</f>
        <v/>
      </c>
      <c r="F8" s="55" t="str">
        <f>IFERROR(IF(Tabela71023[[#This Row],[PONTO]]="RAMAL","",VLOOKUP(Tabela71023[[#This Row],[PONTO]],GERAL_PROJ2[],4,0)),"")</f>
        <v/>
      </c>
      <c r="G8" s="55" t="str">
        <f>IFERROR(IF(Tabela71023[[#This Row],[PONTO]]="RAMAL","",VLOOKUP(Tabela71023[[#This Row],[PONTO]],GERAL_PROJ2[],5,0)),"")</f>
        <v/>
      </c>
      <c r="H8" s="55" t="str">
        <f>IFERROR(IF(Tabela71023[[#This Row],[PONTO]]="RAMAL",DMDI,VLOOKUP(Tabela71023[[#This Row],[PONTO]],GERAL_PROJ2[],8,0)),"")</f>
        <v/>
      </c>
      <c r="I8" s="55" t="str">
        <f>IFERROR(IF(Tabela71023[[#This Row],[PONTO]]="RAMAL",Tabela71023[[#This Row],[KVA PONTO]],VLOOKUP(Tabela71023[[#This Row],[PONTO]],GERAL_PROJ2[],9,0)),"")</f>
        <v/>
      </c>
      <c r="J8" s="55" t="str">
        <f>IFERROR(VLOOKUP(Tabela71023[[#This Row],[PONTO]],GERAL_PROJ2[],12,0),"")</f>
        <v/>
      </c>
      <c r="K8" s="61" t="str">
        <f>IFERROR(Tabela71023[[#This Row],[Ib]],"")</f>
        <v/>
      </c>
      <c r="L8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Row],[CONDUTOR]],CABOS[],9,0))+30,W8+60*(X8/Z8)),"")</f>
        <v/>
      </c>
      <c r="M8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8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8" s="116" t="str">
        <f>IF(Tabela71023[[#This Row],[PONTO]]="","",IFERROR(SUMIF(Tabela71023[PONTO],Tabela71023[[#This Row],[TRECHO]],Tabela71023[Coluna1])+Tabela71023[[#This Row],[QT-PONTO]],""))</f>
        <v/>
      </c>
      <c r="P8" s="56" t="str">
        <f>IFERROR(Tabela71023[[#This Row],[Coluna1]]/T_LINHA_MONO,"")</f>
        <v/>
      </c>
      <c r="Q8" s="55" t="str">
        <f>IFERROR(T_LINHA_MONO*(1-Tabela71023[[#This Row],[QT %]]),"")</f>
        <v/>
      </c>
      <c r="R8" s="55" t="str">
        <f>IFERROR(T_LINHA_TRF*(1-Tabela71023[[#This Row],[QT %]]),"")</f>
        <v/>
      </c>
      <c r="S8" s="67" t="str">
        <f>IF(Tabela71023[[#This Row],[PROTECAO]]="OK","Protecao OK","Ajustar Disj/Condutor")</f>
        <v>Ajustar Disj/Condutor</v>
      </c>
      <c r="T8" s="72" t="str">
        <f>IF(Tabela71023[[#This Row],[ETA]]=1,"MONO",IF(Tabela71023[[#This Row],[ETA]]=2,"BIF","TRI"))</f>
        <v>TRI</v>
      </c>
      <c r="U8" s="72">
        <v>3</v>
      </c>
      <c r="V8" s="72" t="str">
        <f t="shared" ref="V8:V23" si="0">"AEREO"</f>
        <v>AEREO</v>
      </c>
      <c r="W8" s="72">
        <f>30</f>
        <v>30</v>
      </c>
      <c r="X8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8" s="72">
        <f>IFERROR(VLOOKUP(Tabela71023[[#This Row],[Ib]],TabelaDisjuntores[],2,TRUE),0)</f>
        <v>0</v>
      </c>
      <c r="Z8" s="72">
        <f>IFERROR(VLOOKUP(Tabela71023[[#This Row],[CONDUTOR]],CABOS[],2,0),0)</f>
        <v>0</v>
      </c>
      <c r="AA8" s="72" t="str">
        <f>IF(AND(Tabela71023[[#This Row],[Ib]]&lt;=Tabela71023[[#This Row],[In]],Tabela71023[[#This Row],[In]]&lt;=Tabela71023[[#This Row],[Iz]]),"OK","VERIFICAR")</f>
        <v>VERIFICAR</v>
      </c>
      <c r="AB8" s="97">
        <f>IFERROR(SQRT((Tabela71023[[#This Row],[X]]-$AF$4)^2+(Tabela71023[[#This Row],[Y]]-$AF$5)^2),0)</f>
        <v>0</v>
      </c>
      <c r="AC8" s="9" t="str">
        <f>IFERROR(IF(Tabela71023[[#This Row],[CONDUTOR]]="","",VLOOKUP(Tabela71023[[#This Row],[CONDUTOR]],CONDUTORES,2,0)),"")</f>
        <v/>
      </c>
      <c r="AE8" t="s">
        <v>265</v>
      </c>
    </row>
    <row r="9" spans="1:33" x14ac:dyDescent="0.3">
      <c r="A9" s="54" t="s">
        <v>312</v>
      </c>
      <c r="B9" s="130"/>
      <c r="C9" s="54" t="str">
        <f>IFERROR(IF(Tabela71023[[#This Row],[PONTO]]="RAMAL",B8,VLOOKUP(Tabela71023[[#This Row],[PONTO]],GERAL_PROJ2[],2,0)),"")</f>
        <v/>
      </c>
      <c r="D9" s="54" t="str">
        <f>IFERROR(IF(Tabela71023[[#This Row],[PONTO]]="RAMAL",15,VLOOKUP(Tabela71023[[#This Row],[PONTO]],GERAL_PROJ2[],3,0)),"")</f>
        <v/>
      </c>
      <c r="E9" s="154" t="str">
        <f>IFERROR(IF(Tabela71023[[#This Row],[PONTO]]="RAMAL","",VLOOKUP(Tabela71023[[#This Row],[PONTO]],GERAL_PROJ2[],7,0)),"")</f>
        <v/>
      </c>
      <c r="F9" s="55" t="str">
        <f>IFERROR(IF(Tabela71023[[#This Row],[PONTO]]="RAMAL","",VLOOKUP(Tabela71023[[#This Row],[PONTO]],GERAL_PROJ2[],4,0)),"")</f>
        <v/>
      </c>
      <c r="G9" s="55" t="str">
        <f>IFERROR(IF(Tabela71023[[#This Row],[PONTO]]="RAMAL","",VLOOKUP(Tabela71023[[#This Row],[PONTO]],GERAL_PROJ2[],5,0)),"")</f>
        <v/>
      </c>
      <c r="H9" s="55" t="str">
        <f>IFERROR(IF(Tabela71023[[#This Row],[PONTO]]="RAMAL",DMDI,VLOOKUP(Tabela71023[[#This Row],[PONTO]],GERAL_PROJ2[],8,0)),"")</f>
        <v/>
      </c>
      <c r="I9" s="55" t="str">
        <f>IFERROR(IF(Tabela71023[[#This Row],[PONTO]]="RAMAL",Tabela71023[[#This Row],[KVA PONTO]],VLOOKUP(Tabela71023[[#This Row],[PONTO]],GERAL_PROJ2[],9,0)),"")</f>
        <v/>
      </c>
      <c r="J9" s="55" t="str">
        <f>IFERROR(VLOOKUP(Tabela71023[[#This Row],[PONTO]],GERAL_PROJ2[],12,0),"")</f>
        <v/>
      </c>
      <c r="K9" s="61" t="str">
        <f>IFERROR(Tabela71023[[#This Row],[Ib]],"")</f>
        <v/>
      </c>
      <c r="L9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Row],[CONDUTOR]],CABOS[],9,0))+30,W9+60*(X9/Z9)),"")</f>
        <v/>
      </c>
      <c r="M9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9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9" s="116" t="str">
        <f>IF(Tabela71023[[#This Row],[PONTO]]="","",IFERROR(SUMIF(Tabela71023[PONTO],Tabela71023[[#This Row],[TRECHO]],Tabela71023[Coluna1])+Tabela71023[[#This Row],[QT-PONTO]],""))</f>
        <v/>
      </c>
      <c r="P9" s="57" t="str">
        <f>IFERROR(Tabela71023[[#This Row],[Coluna1]]/T_LINHA_MONO,"")</f>
        <v/>
      </c>
      <c r="Q9" s="55" t="str">
        <f>IFERROR(T_LINHA_MONO*(1-Tabela71023[[#This Row],[QT %]]),"")</f>
        <v/>
      </c>
      <c r="R9" s="55" t="str">
        <f>IFERROR(T_LINHA_TRF*(1-Tabela71023[[#This Row],[QT %]]),"")</f>
        <v/>
      </c>
      <c r="S9" s="67" t="str">
        <f>IF(Tabela71023[[#This Row],[PROTECAO]]="OK","Protecao OK","Ajustar Disj/Condutor")</f>
        <v>Ajustar Disj/Condutor</v>
      </c>
      <c r="T9" s="72" t="str">
        <f>IF(Tabela71023[[#This Row],[ETA]]=1,"MONO",IF(Tabela71023[[#This Row],[ETA]]=2,"BIF","TRI"))</f>
        <v>TRI</v>
      </c>
      <c r="U9" s="72">
        <v>3</v>
      </c>
      <c r="V9" s="72" t="str">
        <f t="shared" si="0"/>
        <v>AEREO</v>
      </c>
      <c r="W9" s="72">
        <f>30</f>
        <v>30</v>
      </c>
      <c r="X9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9" s="72">
        <f>IFERROR(VLOOKUP(Tabela71023[[#This Row],[Ib]],TabelaDisjuntores[],2,TRUE),0)</f>
        <v>0</v>
      </c>
      <c r="Z9" s="72">
        <f>IFERROR(VLOOKUP(Tabela71023[[#This Row],[CONDUTOR]],CABOS[],2,0),0)</f>
        <v>0</v>
      </c>
      <c r="AA9" s="72" t="str">
        <f>IF(AND(Tabela71023[[#This Row],[Ib]]&lt;=Tabela71023[[#This Row],[In]],Tabela71023[[#This Row],[In]]&lt;=Tabela71023[[#This Row],[Iz]]),"OK","VERIFICAR")</f>
        <v>VERIFICAR</v>
      </c>
      <c r="AB9" s="97">
        <f>IFERROR(SQRT((Tabela71023[[#This Row],[X]]-$AF$4)^2+(Tabela71023[[#This Row],[Y]]-$AF$5)^2),0)</f>
        <v>0</v>
      </c>
      <c r="AC9" s="9" t="str">
        <f>IFERROR(IF(Tabela71023[[#This Row],[CONDUTOR]]="","",VLOOKUP(Tabela71023[[#This Row],[CONDUTOR]],CONDUTORES,2,0)),"")</f>
        <v/>
      </c>
    </row>
    <row r="10" spans="1:33" x14ac:dyDescent="0.3">
      <c r="A10" s="172" t="s">
        <v>313</v>
      </c>
      <c r="B10" s="130"/>
      <c r="C10" s="54" t="str">
        <f>IFERROR(IF(Tabela71023[[#This Row],[PONTO]]="RAMAL",B9,VLOOKUP(Tabela71023[[#This Row],[PONTO]],GERAL_PROJ2[],2,0)),"")</f>
        <v/>
      </c>
      <c r="D10" s="54" t="str">
        <f>IFERROR(IF(Tabela71023[[#This Row],[PONTO]]="RAMAL",15,VLOOKUP(Tabela71023[[#This Row],[PONTO]],GERAL_PROJ2[],3,0)),"")</f>
        <v/>
      </c>
      <c r="E10" s="154" t="str">
        <f>IFERROR(IF(Tabela71023[[#This Row],[PONTO]]="RAMAL","",VLOOKUP(Tabela71023[[#This Row],[PONTO]],GERAL_PROJ2[],7,0)),"")</f>
        <v/>
      </c>
      <c r="F10" s="55" t="str">
        <f>IFERROR(IF(Tabela71023[[#This Row],[PONTO]]="RAMAL","",VLOOKUP(Tabela71023[[#This Row],[PONTO]],GERAL_PROJ2[],4,0)),"")</f>
        <v/>
      </c>
      <c r="G10" s="55" t="str">
        <f>IFERROR(IF(Tabela71023[[#This Row],[PONTO]]="RAMAL","",VLOOKUP(Tabela71023[[#This Row],[PONTO]],GERAL_PROJ2[],5,0)),"")</f>
        <v/>
      </c>
      <c r="H10" s="55" t="str">
        <f>IFERROR(IF(Tabela71023[[#This Row],[PONTO]]="RAMAL",DMDI,VLOOKUP(Tabela71023[[#This Row],[PONTO]],GERAL_PROJ2[],8,0)),"")</f>
        <v/>
      </c>
      <c r="I10" s="55" t="str">
        <f>IFERROR(IF(Tabela71023[[#This Row],[PONTO]]="RAMAL",Tabela71023[[#This Row],[KVA PONTO]],VLOOKUP(Tabela71023[[#This Row],[PONTO]],GERAL_PROJ2[],9,0)),"")</f>
        <v/>
      </c>
      <c r="J10" s="55" t="str">
        <f>IFERROR(VLOOKUP(Tabela71023[[#This Row],[PONTO]],GERAL_PROJ2[],12,0),"")</f>
        <v/>
      </c>
      <c r="K10" s="61" t="str">
        <f>IFERROR(Tabela71023[[#This Row],[Ib]],"")</f>
        <v/>
      </c>
      <c r="L10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Row],[CONDUTOR]],CABOS[],9,0))+30,W10+60*(X10/Z10)),"")</f>
        <v/>
      </c>
      <c r="M10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0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0" s="116" t="str">
        <f>IF(Tabela71023[[#This Row],[PONTO]]="","",IFERROR(SUMIF(Tabela71023[PONTO],Tabela71023[[#This Row],[TRECHO]],Tabela71023[Coluna1])+Tabela71023[[#This Row],[QT-PONTO]],""))</f>
        <v/>
      </c>
      <c r="P10" s="57" t="str">
        <f>IFERROR(Tabela71023[[#This Row],[Coluna1]]/T_LINHA_MONO,"")</f>
        <v/>
      </c>
      <c r="Q10" s="55" t="str">
        <f>IFERROR(T_LINHA_MONO*(1-Tabela71023[[#This Row],[QT %]]),"")</f>
        <v/>
      </c>
      <c r="R10" s="55" t="str">
        <f>IFERROR(T_LINHA_TRF*(1-Tabela71023[[#This Row],[QT %]]),"")</f>
        <v/>
      </c>
      <c r="S10" s="67" t="str">
        <f>IF(Tabela71023[[#This Row],[PROTECAO]]="OK","Protecao OK","Ajustar Disj/Condutor")</f>
        <v>Ajustar Disj/Condutor</v>
      </c>
      <c r="T10" s="72" t="str">
        <f>IF(Tabela71023[[#This Row],[ETA]]=1,"MONO",IF(Tabela71023[[#This Row],[ETA]]=2,"BIF","TRI"))</f>
        <v>TRI</v>
      </c>
      <c r="U10" s="72">
        <v>3</v>
      </c>
      <c r="V10" s="72" t="str">
        <f t="shared" si="0"/>
        <v>AEREO</v>
      </c>
      <c r="W10" s="72">
        <f>30</f>
        <v>30</v>
      </c>
      <c r="X10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0" s="72">
        <f>IFERROR(VLOOKUP(Tabela71023[[#This Row],[Ib]],TabelaDisjuntores[],2,TRUE),0)</f>
        <v>0</v>
      </c>
      <c r="Z10" s="72">
        <f>IFERROR(VLOOKUP(Tabela71023[[#This Row],[CONDUTOR]],CABOS[],2,0),0)</f>
        <v>0</v>
      </c>
      <c r="AA10" s="72" t="str">
        <f>IF(AND(Tabela71023[[#This Row],[Ib]]&lt;=Tabela71023[[#This Row],[In]],Tabela71023[[#This Row],[In]]&lt;=Tabela71023[[#This Row],[Iz]]),"OK","VERIFICAR")</f>
        <v>VERIFICAR</v>
      </c>
      <c r="AB10" s="97">
        <f>IFERROR(SQRT((Tabela71023[[#This Row],[X]]-$AF$4)^2+(Tabela71023[[#This Row],[Y]]-$AF$5)^2),0)</f>
        <v>0</v>
      </c>
      <c r="AC10" s="9" t="str">
        <f>IFERROR(IF(Tabela71023[[#This Row],[CONDUTOR]]="","",VLOOKUP(Tabela71023[[#This Row],[CONDUTOR]],CONDUTORES,2,0)),"")</f>
        <v/>
      </c>
      <c r="AE10" t="s">
        <v>15</v>
      </c>
      <c r="AF10" t="s">
        <v>266</v>
      </c>
    </row>
    <row r="11" spans="1:33" x14ac:dyDescent="0.3">
      <c r="A11" s="54" t="s">
        <v>314</v>
      </c>
      <c r="B11" s="134"/>
      <c r="C11" s="54" t="str">
        <f>IFERROR(IF(Tabela71023[[#This Row],[PONTO]]="RAMAL",B10,VLOOKUP(Tabela71023[[#This Row],[PONTO]],GERAL_PROJ2[],2,0)),"")</f>
        <v/>
      </c>
      <c r="D11" s="54" t="str">
        <f>IFERROR(IF(Tabela71023[[#This Row],[PONTO]]="RAMAL",15,VLOOKUP(Tabela71023[[#This Row],[PONTO]],GERAL_PROJ2[],3,0)),"")</f>
        <v/>
      </c>
      <c r="E11" s="154" t="str">
        <f>IFERROR(IF(Tabela71023[[#This Row],[PONTO]]="RAMAL","",VLOOKUP(Tabela71023[[#This Row],[PONTO]],GERAL_PROJ2[],7,0)),"")</f>
        <v/>
      </c>
      <c r="F11" s="55" t="str">
        <f>IFERROR(IF(Tabela71023[[#This Row],[PONTO]]="RAMAL","",VLOOKUP(Tabela71023[[#This Row],[PONTO]],GERAL_PROJ2[],4,0)),"")</f>
        <v/>
      </c>
      <c r="G11" s="55" t="str">
        <f>IFERROR(IF(Tabela71023[[#This Row],[PONTO]]="RAMAL","",VLOOKUP(Tabela71023[[#This Row],[PONTO]],GERAL_PROJ2[],5,0)),"")</f>
        <v/>
      </c>
      <c r="H11" s="55" t="str">
        <f>IFERROR(IF(Tabela71023[[#This Row],[PONTO]]="RAMAL",DMDI,VLOOKUP(Tabela71023[[#This Row],[PONTO]],GERAL_PROJ2[],8,0)),"")</f>
        <v/>
      </c>
      <c r="I11" s="55" t="str">
        <f>IFERROR(IF(Tabela71023[[#This Row],[PONTO]]="RAMAL",Tabela71023[[#This Row],[KVA PONTO]],VLOOKUP(Tabela71023[[#This Row],[PONTO]],GERAL_PROJ2[],9,0)),"")</f>
        <v/>
      </c>
      <c r="J11" s="55" t="str">
        <f>IFERROR(VLOOKUP(Tabela71023[[#This Row],[PONTO]],GERAL_PROJ2[],12,0),"")</f>
        <v/>
      </c>
      <c r="K11" s="61" t="str">
        <f>IFERROR(Tabela71023[[#This Row],[Ib]],"")</f>
        <v/>
      </c>
      <c r="L11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Row],[CONDUTOR]],CABOS[],9,0))+30,W11+60*(X11/Z11)),"")</f>
        <v/>
      </c>
      <c r="M11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1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1" s="116" t="str">
        <f>IF(Tabela71023[[#This Row],[PONTO]]="","",IFERROR(SUMIF(Tabela71023[PONTO],Tabela71023[[#This Row],[TRECHO]],Tabela71023[Coluna1])+Tabela71023[[#This Row],[QT-PONTO]],""))</f>
        <v/>
      </c>
      <c r="P11" s="57" t="str">
        <f>IFERROR(Tabela71023[[#This Row],[Coluna1]]/T_LINHA_MONO,"")</f>
        <v/>
      </c>
      <c r="Q11" s="55" t="str">
        <f>IFERROR(T_LINHA_MONO*(1-Tabela71023[[#This Row],[QT %]]),"")</f>
        <v/>
      </c>
      <c r="R11" s="55" t="str">
        <f>IFERROR(T_LINHA_TRF*(1-Tabela71023[[#This Row],[QT %]]),"")</f>
        <v/>
      </c>
      <c r="S11" s="67" t="str">
        <f>IF(Tabela71023[[#This Row],[PROTECAO]]="OK","Protecao OK","Ajustar Disj/Condutor")</f>
        <v>Ajustar Disj/Condutor</v>
      </c>
      <c r="T11" s="72" t="str">
        <f>IF(Tabela71023[[#This Row],[ETA]]=1,"MONO",IF(Tabela71023[[#This Row],[ETA]]=2,"BIF","TRI"))</f>
        <v>TRI</v>
      </c>
      <c r="U11" s="72">
        <v>3</v>
      </c>
      <c r="V11" s="72" t="str">
        <f t="shared" si="0"/>
        <v>AEREO</v>
      </c>
      <c r="W11" s="72">
        <f>30</f>
        <v>30</v>
      </c>
      <c r="X11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1" s="72">
        <f>IFERROR(VLOOKUP(Tabela71023[[#This Row],[Ib]],TabelaDisjuntores[],2,TRUE),0)</f>
        <v>0</v>
      </c>
      <c r="Z11" s="72">
        <f>IFERROR(VLOOKUP(Tabela71023[[#This Row],[CONDUTOR]],CABOS[],2,0),0)</f>
        <v>0</v>
      </c>
      <c r="AA11" s="72" t="str">
        <f>IF(AND(Tabela71023[[#This Row],[Ib]]&lt;=Tabela71023[[#This Row],[In]],Tabela71023[[#This Row],[In]]&lt;=Tabela71023[[#This Row],[Iz]]),"OK","VERIFICAR")</f>
        <v>VERIFICAR</v>
      </c>
      <c r="AB11" s="97">
        <f>IFERROR(SQRT((Tabela71023[[#This Row],[X]]-$AF$4)^2+(Tabela71023[[#This Row],[Y]]-$AF$5)^2),0)</f>
        <v>0</v>
      </c>
      <c r="AC11" s="9" t="str">
        <f>IFERROR(IF(Tabela71023[[#This Row],[CONDUTOR]]="","",VLOOKUP(Tabela71023[[#This Row],[CONDUTOR]],CONDUTORES,2,0)),"")</f>
        <v/>
      </c>
      <c r="AE11" t="s">
        <v>267</v>
      </c>
      <c r="AF11" t="s">
        <v>268</v>
      </c>
    </row>
    <row r="12" spans="1:33" x14ac:dyDescent="0.3">
      <c r="A12" s="172" t="s">
        <v>319</v>
      </c>
      <c r="B12" s="134"/>
      <c r="C12" s="54" t="str">
        <f>IFERROR(IF(Tabela71023[[#This Row],[PONTO]]="RAMAL",B11,VLOOKUP(Tabela71023[[#This Row],[PONTO]],GERAL_PROJ2[],2,0)),"")</f>
        <v/>
      </c>
      <c r="D12" s="54" t="str">
        <f>IFERROR(IF(Tabela71023[[#This Row],[PONTO]]="RAMAL",15,VLOOKUP(Tabela71023[[#This Row],[PONTO]],GERAL_PROJ2[],3,0)),"")</f>
        <v/>
      </c>
      <c r="E12" s="154" t="str">
        <f>IFERROR(IF(Tabela71023[[#This Row],[PONTO]]="RAMAL","",VLOOKUP(Tabela71023[[#This Row],[PONTO]],GERAL_PROJ2[],7,0)),"")</f>
        <v/>
      </c>
      <c r="F12" s="55" t="str">
        <f>IFERROR(IF(Tabela71023[[#This Row],[PONTO]]="RAMAL","",VLOOKUP(Tabela71023[[#This Row],[PONTO]],GERAL_PROJ2[],4,0)),"")</f>
        <v/>
      </c>
      <c r="G12" s="55" t="str">
        <f>IFERROR(IF(Tabela71023[[#This Row],[PONTO]]="RAMAL","",VLOOKUP(Tabela71023[[#This Row],[PONTO]],GERAL_PROJ2[],5,0)),"")</f>
        <v/>
      </c>
      <c r="H12" s="55" t="str">
        <f>IFERROR(IF(Tabela71023[[#This Row],[PONTO]]="RAMAL",DMDI,VLOOKUP(Tabela71023[[#This Row],[PONTO]],GERAL_PROJ2[],8,0)),"")</f>
        <v/>
      </c>
      <c r="I12" s="55" t="str">
        <f>IFERROR(IF(Tabela71023[[#This Row],[PONTO]]="RAMAL",Tabela71023[[#This Row],[KVA PONTO]],VLOOKUP(Tabela71023[[#This Row],[PONTO]],GERAL_PROJ2[],9,0)),"")</f>
        <v/>
      </c>
      <c r="J12" s="55" t="str">
        <f>IFERROR(VLOOKUP(Tabela71023[[#This Row],[PONTO]],GERAL_PROJ2[],12,0),"")</f>
        <v/>
      </c>
      <c r="K12" s="61" t="str">
        <f>IFERROR(Tabela71023[[#This Row],[Ib]],"")</f>
        <v/>
      </c>
      <c r="L12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Row],[CONDUTOR]],CABOS[],9,0))+30,W12+60*(X12/Z12)),"")</f>
        <v/>
      </c>
      <c r="M12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2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2" s="116" t="str">
        <f>IF(Tabela71023[[#This Row],[PONTO]]="","",IFERROR(SUMIF(Tabela71023[PONTO],Tabela71023[[#This Row],[TRECHO]],Tabela71023[Coluna1])+Tabela71023[[#This Row],[QT-PONTO]],""))</f>
        <v/>
      </c>
      <c r="P12" s="57" t="str">
        <f>IFERROR(Tabela71023[[#This Row],[Coluna1]]/T_LINHA_MONO,"")</f>
        <v/>
      </c>
      <c r="Q12" s="55" t="str">
        <f>IFERROR(T_LINHA_MONO*(1-Tabela71023[[#This Row],[QT %]]),"")</f>
        <v/>
      </c>
      <c r="R12" s="55" t="str">
        <f>IFERROR(T_LINHA_TRF*(1-Tabela71023[[#This Row],[QT %]]),"")</f>
        <v/>
      </c>
      <c r="S12" s="67" t="str">
        <f>IF(Tabela71023[[#This Row],[PROTECAO]]="OK","Protecao OK","Ajustar Disj/Condutor")</f>
        <v>Ajustar Disj/Condutor</v>
      </c>
      <c r="T12" s="72" t="str">
        <f>IF(Tabela71023[[#This Row],[ETA]]=1,"MONO",IF(Tabela71023[[#This Row],[ETA]]=2,"BIF","TRI"))</f>
        <v>TRI</v>
      </c>
      <c r="U12" s="72">
        <v>3</v>
      </c>
      <c r="V12" s="72" t="str">
        <f t="shared" si="0"/>
        <v>AEREO</v>
      </c>
      <c r="W12" s="72">
        <f>30</f>
        <v>30</v>
      </c>
      <c r="X12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2" s="72">
        <f>IFERROR(VLOOKUP(Tabela71023[[#This Row],[Ib]],TabelaDisjuntores[],2,TRUE),0)</f>
        <v>0</v>
      </c>
      <c r="Z12" s="72">
        <f>IFERROR(VLOOKUP(Tabela71023[[#This Row],[CONDUTOR]],CABOS[],2,0),0)</f>
        <v>0</v>
      </c>
      <c r="AA12" s="72" t="str">
        <f>IF(AND(Tabela71023[[#This Row],[Ib]]&lt;=Tabela71023[[#This Row],[In]],Tabela71023[[#This Row],[In]]&lt;=Tabela71023[[#This Row],[Iz]]),"OK","VERIFICAR")</f>
        <v>VERIFICAR</v>
      </c>
      <c r="AB12" s="97">
        <f>IFERROR(SQRT((Tabela71023[[#This Row],[X]]-$AF$4)^2+(Tabela71023[[#This Row],[Y]]-$AF$5)^2),0)</f>
        <v>0</v>
      </c>
      <c r="AC12" s="9" t="str">
        <f>IFERROR(IF(Tabela71023[[#This Row],[CONDUTOR]]="","",VLOOKUP(Tabela71023[[#This Row],[CONDUTOR]],CONDUTORES,2,0)),"")</f>
        <v/>
      </c>
      <c r="AE12" t="s">
        <v>33</v>
      </c>
      <c r="AF12" t="s">
        <v>269</v>
      </c>
    </row>
    <row r="13" spans="1:33" x14ac:dyDescent="0.3">
      <c r="A13" s="54" t="s">
        <v>315</v>
      </c>
      <c r="B13" s="134"/>
      <c r="C13" s="54" t="str">
        <f>IFERROR(IF(Tabela71023[[#This Row],[PONTO]]="RAMAL",B12,VLOOKUP(Tabela71023[[#This Row],[PONTO]],GERAL_PROJ2[],2,0)),"")</f>
        <v/>
      </c>
      <c r="D13" s="54" t="str">
        <f>IFERROR(IF(Tabela71023[[#This Row],[PONTO]]="RAMAL",15,VLOOKUP(Tabela71023[[#This Row],[PONTO]],GERAL_PROJ2[],3,0)),"")</f>
        <v/>
      </c>
      <c r="E13" s="154" t="str">
        <f>IFERROR(IF(Tabela71023[[#This Row],[PONTO]]="RAMAL","",VLOOKUP(Tabela71023[[#This Row],[PONTO]],GERAL_PROJ2[],7,0)),"")</f>
        <v/>
      </c>
      <c r="F13" s="55" t="str">
        <f>IFERROR(IF(Tabela71023[[#This Row],[PONTO]]="RAMAL","",VLOOKUP(Tabela71023[[#This Row],[PONTO]],GERAL_PROJ2[],4,0)),"")</f>
        <v/>
      </c>
      <c r="G13" s="55" t="str">
        <f>IFERROR(IF(Tabela71023[[#This Row],[PONTO]]="RAMAL","",VLOOKUP(Tabela71023[[#This Row],[PONTO]],GERAL_PROJ2[],5,0)),"")</f>
        <v/>
      </c>
      <c r="H13" s="55" t="str">
        <f>IFERROR(IF(Tabela71023[[#This Row],[PONTO]]="RAMAL",DMDI,VLOOKUP(Tabela71023[[#This Row],[PONTO]],GERAL_PROJ2[],8,0)),"")</f>
        <v/>
      </c>
      <c r="I13" s="55" t="str">
        <f>IFERROR(IF(Tabela71023[[#This Row],[PONTO]]="RAMAL",Tabela71023[[#This Row],[KVA PONTO]],VLOOKUP(Tabela71023[[#This Row],[PONTO]],GERAL_PROJ2[],9,0)),"")</f>
        <v/>
      </c>
      <c r="J13" s="55" t="str">
        <f>IFERROR(VLOOKUP(Tabela71023[[#This Row],[PONTO]],GERAL_PROJ2[],12,0),"")</f>
        <v/>
      </c>
      <c r="K13" s="61" t="str">
        <f>IFERROR(Tabela71023[[#This Row],[Ib]],"")</f>
        <v/>
      </c>
      <c r="L13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Row],[CONDUTOR]],CABOS[],9,0))+30,W13+60*(X13/Z13)),"")</f>
        <v/>
      </c>
      <c r="M13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3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3" s="116" t="str">
        <f>IF(Tabela71023[[#This Row],[PONTO]]="","",IFERROR(SUMIF(Tabela71023[PONTO],Tabela71023[[#This Row],[TRECHO]],Tabela71023[Coluna1])+Tabela71023[[#This Row],[QT-PONTO]],""))</f>
        <v/>
      </c>
      <c r="P13" s="57" t="str">
        <f>IFERROR(Tabela71023[[#This Row],[Coluna1]]/T_LINHA_MONO,"")</f>
        <v/>
      </c>
      <c r="Q13" s="55" t="str">
        <f>IFERROR(T_LINHA_MONO*(1-Tabela71023[[#This Row],[QT %]]),"")</f>
        <v/>
      </c>
      <c r="R13" s="55" t="str">
        <f>IFERROR(T_LINHA_TRF*(1-Tabela71023[[#This Row],[QT %]]),"")</f>
        <v/>
      </c>
      <c r="S13" s="67" t="str">
        <f>IF(Tabela71023[[#This Row],[PROTECAO]]="OK","Protecao OK","Ajustar Disj/Condutor")</f>
        <v>Ajustar Disj/Condutor</v>
      </c>
      <c r="T13" s="72" t="str">
        <f>IF(Tabela71023[[#This Row],[ETA]]=1,"MONO",IF(Tabela71023[[#This Row],[ETA]]=2,"BIF","TRI"))</f>
        <v>TRI</v>
      </c>
      <c r="U13" s="72">
        <v>3</v>
      </c>
      <c r="V13" s="72" t="str">
        <f t="shared" si="0"/>
        <v>AEREO</v>
      </c>
      <c r="W13" s="72">
        <f>30</f>
        <v>30</v>
      </c>
      <c r="X13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3" s="72">
        <f>IFERROR(VLOOKUP(Tabela71023[[#This Row],[Ib]],TabelaDisjuntores[],2,TRUE),0)</f>
        <v>0</v>
      </c>
      <c r="Z13" s="72">
        <f>IFERROR(VLOOKUP(Tabela71023[[#This Row],[CONDUTOR]],CABOS[],2,0),0)</f>
        <v>0</v>
      </c>
      <c r="AA13" s="72" t="str">
        <f>IF(AND(Tabela71023[[#This Row],[Ib]]&lt;=Tabela71023[[#This Row],[In]],Tabela71023[[#This Row],[In]]&lt;=Tabela71023[[#This Row],[Iz]]),"OK","VERIFICAR")</f>
        <v>VERIFICAR</v>
      </c>
      <c r="AB13" s="97">
        <f>IFERROR(SQRT((Tabela71023[[#This Row],[X]]-$AF$4)^2+(Tabela71023[[#This Row],[Y]]-$AF$5)^2),0)</f>
        <v>0</v>
      </c>
      <c r="AC13" s="9" t="str">
        <f>IFERROR(IF(Tabela71023[[#This Row],[CONDUTOR]]="","",VLOOKUP(Tabela71023[[#This Row],[CONDUTOR]],CONDUTORES,2,0)),"")</f>
        <v/>
      </c>
      <c r="AE13" t="s">
        <v>270</v>
      </c>
      <c r="AF13" t="s">
        <v>271</v>
      </c>
    </row>
    <row r="14" spans="1:33" x14ac:dyDescent="0.3">
      <c r="A14" s="172" t="s">
        <v>316</v>
      </c>
      <c r="B14" s="134"/>
      <c r="C14" s="54" t="str">
        <f>IFERROR(IF(Tabela71023[[#This Row],[PONTO]]="RAMAL",B13,VLOOKUP(Tabela71023[[#This Row],[PONTO]],GERAL_PROJ2[],2,0)),"")</f>
        <v/>
      </c>
      <c r="D14" s="54" t="str">
        <f>IFERROR(IF(Tabela71023[[#This Row],[PONTO]]="RAMAL",15,VLOOKUP(Tabela71023[[#This Row],[PONTO]],GERAL_PROJ2[],3,0)),"")</f>
        <v/>
      </c>
      <c r="E14" s="154" t="str">
        <f>IFERROR(IF(Tabela71023[[#This Row],[PONTO]]="RAMAL","",VLOOKUP(Tabela71023[[#This Row],[PONTO]],GERAL_PROJ2[],7,0)),"")</f>
        <v/>
      </c>
      <c r="F14" s="55" t="str">
        <f>IFERROR(IF(Tabela71023[[#This Row],[PONTO]]="RAMAL","",VLOOKUP(Tabela71023[[#This Row],[PONTO]],GERAL_PROJ2[],4,0)),"")</f>
        <v/>
      </c>
      <c r="G14" s="55" t="str">
        <f>IFERROR(IF(Tabela71023[[#This Row],[PONTO]]="RAMAL","",VLOOKUP(Tabela71023[[#This Row],[PONTO]],GERAL_PROJ2[],5,0)),"")</f>
        <v/>
      </c>
      <c r="H14" s="55" t="str">
        <f>IFERROR(IF(Tabela71023[[#This Row],[PONTO]]="RAMAL",DMDI,VLOOKUP(Tabela71023[[#This Row],[PONTO]],GERAL_PROJ2[],8,0)),"")</f>
        <v/>
      </c>
      <c r="I14" s="55" t="str">
        <f>IFERROR(IF(Tabela71023[[#This Row],[PONTO]]="RAMAL",Tabela71023[[#This Row],[KVA PONTO]],VLOOKUP(Tabela71023[[#This Row],[PONTO]],GERAL_PROJ2[],9,0)),"")</f>
        <v/>
      </c>
      <c r="J14" s="55" t="str">
        <f>IFERROR(VLOOKUP(Tabela71023[[#This Row],[PONTO]],GERAL_PROJ2[],12,0),"")</f>
        <v/>
      </c>
      <c r="K14" s="61" t="str">
        <f>IFERROR(Tabela71023[[#This Row],[Ib]],"")</f>
        <v/>
      </c>
      <c r="L14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Row],[CONDUTOR]],CABOS[],9,0))+30,W14+60*(X14/Z14)),"")</f>
        <v/>
      </c>
      <c r="M14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4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4" s="116" t="str">
        <f>IF(Tabela71023[[#This Row],[PONTO]]="","",IFERROR(SUMIF(Tabela71023[PONTO],Tabela71023[[#This Row],[TRECHO]],Tabela71023[Coluna1])+Tabela71023[[#This Row],[QT-PONTO]],""))</f>
        <v/>
      </c>
      <c r="P14" s="57" t="str">
        <f>IFERROR(Tabela71023[[#This Row],[Coluna1]]/T_LINHA_MONO,"")</f>
        <v/>
      </c>
      <c r="Q14" s="55" t="str">
        <f>IFERROR(T_LINHA_MONO*(1-Tabela71023[[#This Row],[QT %]]),"")</f>
        <v/>
      </c>
      <c r="R14" s="55" t="str">
        <f>IFERROR(T_LINHA_TRF*(1-Tabela71023[[#This Row],[QT %]]),"")</f>
        <v/>
      </c>
      <c r="S14" s="67" t="str">
        <f>IF(Tabela71023[[#This Row],[PROTECAO]]="OK","Protecao OK","Ajustar Disj/Condutor")</f>
        <v>Ajustar Disj/Condutor</v>
      </c>
      <c r="T14" s="72" t="str">
        <f>IF(Tabela71023[[#This Row],[ETA]]=1,"MONO",IF(Tabela71023[[#This Row],[ETA]]=2,"BIF","TRI"))</f>
        <v>TRI</v>
      </c>
      <c r="U14" s="72">
        <v>3</v>
      </c>
      <c r="V14" s="72" t="str">
        <f t="shared" si="0"/>
        <v>AEREO</v>
      </c>
      <c r="W14" s="72">
        <f>30</f>
        <v>30</v>
      </c>
      <c r="X14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4" s="72">
        <f>IFERROR(VLOOKUP(Tabela71023[[#This Row],[Ib]],TabelaDisjuntores[],2,TRUE),0)</f>
        <v>0</v>
      </c>
      <c r="Z14" s="72">
        <f>IFERROR(VLOOKUP(Tabela71023[[#This Row],[CONDUTOR]],CABOS[],2,0),0)</f>
        <v>0</v>
      </c>
      <c r="AA14" s="72" t="str">
        <f>IF(AND(Tabela71023[[#This Row],[Ib]]&lt;=Tabela71023[[#This Row],[In]],Tabela71023[[#This Row],[In]]&lt;=Tabela71023[[#This Row],[Iz]]),"OK","VERIFICAR")</f>
        <v>VERIFICAR</v>
      </c>
      <c r="AB14" s="97">
        <f>IFERROR(SQRT((Tabela71023[[#This Row],[X]]-$AF$4)^2+(Tabela71023[[#This Row],[Y]]-$AF$5)^2),0)</f>
        <v>0</v>
      </c>
      <c r="AC14" s="9" t="str">
        <f>IFERROR(IF(Tabela71023[[#This Row],[CONDUTOR]]="","",VLOOKUP(Tabela71023[[#This Row],[CONDUTOR]],CONDUTORES,2,0)),"")</f>
        <v/>
      </c>
    </row>
    <row r="15" spans="1:33" x14ac:dyDescent="0.3">
      <c r="A15" s="54" t="s">
        <v>317</v>
      </c>
      <c r="B15" s="134"/>
      <c r="C15" s="54" t="str">
        <f>IFERROR(IF(Tabela71023[[#This Row],[PONTO]]="RAMAL",B14,VLOOKUP(Tabela71023[[#This Row],[PONTO]],GERAL_PROJ2[],2,0)),"")</f>
        <v/>
      </c>
      <c r="D15" s="54" t="str">
        <f>IFERROR(IF(Tabela71023[[#This Row],[PONTO]]="RAMAL",15,VLOOKUP(Tabela71023[[#This Row],[PONTO]],GERAL_PROJ2[],3,0)),"")</f>
        <v/>
      </c>
      <c r="E15" s="154" t="str">
        <f>IFERROR(IF(Tabela71023[[#This Row],[PONTO]]="RAMAL","",VLOOKUP(Tabela71023[[#This Row],[PONTO]],GERAL_PROJ2[],7,0)),"")</f>
        <v/>
      </c>
      <c r="F15" s="55" t="str">
        <f>IFERROR(IF(Tabela71023[[#This Row],[PONTO]]="RAMAL","",VLOOKUP(Tabela71023[[#This Row],[PONTO]],GERAL_PROJ2[],4,0)),"")</f>
        <v/>
      </c>
      <c r="G15" s="55" t="str">
        <f>IFERROR(IF(Tabela71023[[#This Row],[PONTO]]="RAMAL","",VLOOKUP(Tabela71023[[#This Row],[PONTO]],GERAL_PROJ2[],5,0)),"")</f>
        <v/>
      </c>
      <c r="H15" s="55" t="str">
        <f>IFERROR(IF(Tabela71023[[#This Row],[PONTO]]="RAMAL",DMDI,VLOOKUP(Tabela71023[[#This Row],[PONTO]],GERAL_PROJ2[],8,0)),"")</f>
        <v/>
      </c>
      <c r="I15" s="55" t="str">
        <f>IFERROR(IF(Tabela71023[[#This Row],[PONTO]]="RAMAL",Tabela71023[[#This Row],[KVA PONTO]],VLOOKUP(Tabela71023[[#This Row],[PONTO]],GERAL_PROJ2[],9,0)),"")</f>
        <v/>
      </c>
      <c r="J15" s="55" t="str">
        <f>IFERROR(VLOOKUP(Tabela71023[[#This Row],[PONTO]],GERAL_PROJ2[],12,0),"")</f>
        <v/>
      </c>
      <c r="K15" s="61" t="str">
        <f>IFERROR(Tabela71023[[#This Row],[Ib]],"")</f>
        <v/>
      </c>
      <c r="L15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Row],[CONDUTOR]],CABOS[],9,0))+30,W15+60*(X15/Z15)),"")</f>
        <v/>
      </c>
      <c r="M15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5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5" s="116" t="str">
        <f>IF(Tabela71023[[#This Row],[PONTO]]="","",IFERROR(SUMIF(Tabela71023[PONTO],Tabela71023[[#This Row],[TRECHO]],Tabela71023[Coluna1])+Tabela71023[[#This Row],[QT-PONTO]],""))</f>
        <v/>
      </c>
      <c r="P15" s="57" t="str">
        <f>IFERROR(Tabela71023[[#This Row],[Coluna1]]/T_LINHA_MONO,"")</f>
        <v/>
      </c>
      <c r="Q15" s="55" t="str">
        <f>IFERROR(T_LINHA_MONO*(1-Tabela71023[[#This Row],[QT %]]),"")</f>
        <v/>
      </c>
      <c r="R15" s="55" t="str">
        <f>IFERROR(T_LINHA_TRF*(1-Tabela71023[[#This Row],[QT %]]),"")</f>
        <v/>
      </c>
      <c r="S15" s="67" t="str">
        <f>IF(Tabela71023[[#This Row],[PROTECAO]]="OK","Protecao OK","Ajustar Disj/Condutor")</f>
        <v>Ajustar Disj/Condutor</v>
      </c>
      <c r="T15" s="72" t="str">
        <f>IF(Tabela71023[[#This Row],[ETA]]=1,"MONO",IF(Tabela71023[[#This Row],[ETA]]=2,"BIF","TRI"))</f>
        <v>TRI</v>
      </c>
      <c r="U15" s="72">
        <v>3</v>
      </c>
      <c r="V15" s="72" t="str">
        <f t="shared" si="0"/>
        <v>AEREO</v>
      </c>
      <c r="W15" s="72">
        <f>30</f>
        <v>30</v>
      </c>
      <c r="X15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5" s="72">
        <f>IFERROR(VLOOKUP(Tabela71023[[#This Row],[Ib]],TabelaDisjuntores[],2,TRUE),0)</f>
        <v>0</v>
      </c>
      <c r="Z15" s="72">
        <f>IFERROR(VLOOKUP(Tabela71023[[#This Row],[CONDUTOR]],CABOS[],2,0),0)</f>
        <v>0</v>
      </c>
      <c r="AA15" s="72" t="str">
        <f>IF(AND(Tabela71023[[#This Row],[Ib]]&lt;=Tabela71023[[#This Row],[In]],Tabela71023[[#This Row],[In]]&lt;=Tabela71023[[#This Row],[Iz]]),"OK","VERIFICAR")</f>
        <v>VERIFICAR</v>
      </c>
      <c r="AB15" s="97">
        <f>IFERROR(SQRT((Tabela71023[[#This Row],[X]]-$AF$4)^2+(Tabela71023[[#This Row],[Y]]-$AF$5)^2),0)</f>
        <v>0</v>
      </c>
      <c r="AC15" s="9" t="str">
        <f>IFERROR(IF(Tabela71023[[#This Row],[CONDUTOR]]="","",VLOOKUP(Tabela71023[[#This Row],[CONDUTOR]],CONDUTORES,2,0)),"")</f>
        <v/>
      </c>
      <c r="AE15" t="s">
        <v>272</v>
      </c>
    </row>
    <row r="16" spans="1:33" ht="14.4" customHeight="1" x14ac:dyDescent="0.3">
      <c r="A16" s="172" t="s">
        <v>325</v>
      </c>
      <c r="B16" s="134"/>
      <c r="C16" s="54" t="str">
        <f>IFERROR(IF(Tabela71023[[#This Row],[PONTO]]="RAMAL",B15,VLOOKUP(Tabela71023[[#This Row],[PONTO]],GERAL_PROJ2[],2,0)),"")</f>
        <v/>
      </c>
      <c r="D16" s="54" t="str">
        <f>IFERROR(IF(Tabela71023[[#This Row],[PONTO]]="RAMAL",15,VLOOKUP(Tabela71023[[#This Row],[PONTO]],GERAL_PROJ2[],3,0)),"")</f>
        <v/>
      </c>
      <c r="E16" s="154" t="str">
        <f>IFERROR(IF(Tabela71023[[#This Row],[PONTO]]="RAMAL","",VLOOKUP(Tabela71023[[#This Row],[PONTO]],GERAL_PROJ2[],7,0)),"")</f>
        <v/>
      </c>
      <c r="F16" s="55" t="str">
        <f>IFERROR(IF(Tabela71023[[#This Row],[PONTO]]="RAMAL","",VLOOKUP(Tabela71023[[#This Row],[PONTO]],GERAL_PROJ2[],4,0)),"")</f>
        <v/>
      </c>
      <c r="G16" s="55" t="str">
        <f>IFERROR(IF(Tabela71023[[#This Row],[PONTO]]="RAMAL","",VLOOKUP(Tabela71023[[#This Row],[PONTO]],GERAL_PROJ2[],5,0)),"")</f>
        <v/>
      </c>
      <c r="H16" s="55" t="str">
        <f>IFERROR(IF(Tabela71023[[#This Row],[PONTO]]="RAMAL",DMDI,VLOOKUP(Tabela71023[[#This Row],[PONTO]],GERAL_PROJ2[],8,0)),"")</f>
        <v/>
      </c>
      <c r="I16" s="55" t="str">
        <f>IFERROR(IF(Tabela71023[[#This Row],[PONTO]]="RAMAL",Tabela71023[[#This Row],[KVA PONTO]],VLOOKUP(Tabela71023[[#This Row],[PONTO]],GERAL_PROJ2[],9,0)),"")</f>
        <v/>
      </c>
      <c r="J16" s="55" t="str">
        <f>IFERROR(VLOOKUP(Tabela71023[[#This Row],[PONTO]],GERAL_PROJ2[],12,0),"")</f>
        <v/>
      </c>
      <c r="K16" s="61" t="str">
        <f>IFERROR(Tabela71023[[#This Row],[Ib]],"")</f>
        <v/>
      </c>
      <c r="L16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Row],[CONDUTOR]],CABOS[],9,0))+30,W16+60*(X16/Z16)),"")</f>
        <v/>
      </c>
      <c r="M16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6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6" s="116" t="str">
        <f>IF(Tabela71023[[#This Row],[PONTO]]="","",IFERROR(SUMIF(Tabela71023[PONTO],Tabela71023[[#This Row],[TRECHO]],Tabela71023[Coluna1])+Tabela71023[[#This Row],[QT-PONTO]],""))</f>
        <v/>
      </c>
      <c r="P16" s="57" t="str">
        <f>IFERROR(Tabela71023[[#This Row],[Coluna1]]/T_LINHA_MONO,"")</f>
        <v/>
      </c>
      <c r="Q16" s="55" t="str">
        <f>IFERROR(T_LINHA_MONO*(1-Tabela71023[[#This Row],[QT %]]),"")</f>
        <v/>
      </c>
      <c r="R16" s="55" t="str">
        <f>IFERROR(T_LINHA_TRF*(1-Tabela71023[[#This Row],[QT %]]),"")</f>
        <v/>
      </c>
      <c r="S16" s="67" t="str">
        <f>IF(Tabela71023[[#This Row],[PROTECAO]]="OK","Protecao OK","Ajustar Disj/Condutor")</f>
        <v>Ajustar Disj/Condutor</v>
      </c>
      <c r="T16" s="72" t="str">
        <f>IF(Tabela71023[[#This Row],[ETA]]=1,"MONO",IF(Tabela71023[[#This Row],[ETA]]=2,"BIF","TRI"))</f>
        <v>TRI</v>
      </c>
      <c r="U16" s="72">
        <v>3</v>
      </c>
      <c r="V16" s="72" t="str">
        <f t="shared" si="0"/>
        <v>AEREO</v>
      </c>
      <c r="W16" s="72">
        <f>30</f>
        <v>30</v>
      </c>
      <c r="X16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6" s="72">
        <f>IFERROR(VLOOKUP(Tabela71023[[#This Row],[Ib]],TabelaDisjuntores[],2,TRUE),0)</f>
        <v>0</v>
      </c>
      <c r="Z16" s="72">
        <f>IFERROR(VLOOKUP(Tabela71023[[#This Row],[CONDUTOR]],CABOS[],2,0),0)</f>
        <v>0</v>
      </c>
      <c r="AA16" s="72" t="str">
        <f>IF(AND(Tabela71023[[#This Row],[Ib]]&lt;=Tabela71023[[#This Row],[In]],Tabela71023[[#This Row],[In]]&lt;=Tabela71023[[#This Row],[Iz]]),"OK","VERIFICAR")</f>
        <v>VERIFICAR</v>
      </c>
      <c r="AB16" s="97">
        <f>IFERROR(SQRT((Tabela71023[[#This Row],[X]]-$AF$4)^2+(Tabela71023[[#This Row],[Y]]-$AF$5)^2),0)</f>
        <v>0</v>
      </c>
      <c r="AC16" s="9" t="str">
        <f>IFERROR(IF(Tabela71023[[#This Row],[CONDUTOR]]="","",VLOOKUP(Tabela71023[[#This Row],[CONDUTOR]],CONDUTORES,2,0)),"")</f>
        <v/>
      </c>
      <c r="AE16" s="262" t="s">
        <v>274</v>
      </c>
      <c r="AF16" s="262"/>
      <c r="AG16" s="262"/>
    </row>
    <row r="17" spans="1:33" x14ac:dyDescent="0.3">
      <c r="A17" s="54" t="s">
        <v>324</v>
      </c>
      <c r="B17" s="134"/>
      <c r="C17" s="54" t="str">
        <f>IFERROR(IF(Tabela71023[[#This Row],[PONTO]]="RAMAL",B16,VLOOKUP(Tabela71023[[#This Row],[PONTO]],GERAL_PROJ2[],2,0)),"")</f>
        <v/>
      </c>
      <c r="D17" s="54" t="str">
        <f>IFERROR(IF(Tabela71023[[#This Row],[PONTO]]="RAMAL",15,VLOOKUP(Tabela71023[[#This Row],[PONTO]],GERAL_PROJ2[],3,0)),"")</f>
        <v/>
      </c>
      <c r="E17" s="154" t="str">
        <f>IFERROR(IF(Tabela71023[[#This Row],[PONTO]]="RAMAL","",VLOOKUP(Tabela71023[[#This Row],[PONTO]],GERAL_PROJ2[],7,0)),"")</f>
        <v/>
      </c>
      <c r="F17" s="55" t="str">
        <f>IFERROR(IF(Tabela71023[[#This Row],[PONTO]]="RAMAL","",VLOOKUP(Tabela71023[[#This Row],[PONTO]],GERAL_PROJ2[],4,0)),"")</f>
        <v/>
      </c>
      <c r="G17" s="55" t="str">
        <f>IFERROR(IF(Tabela71023[[#This Row],[PONTO]]="RAMAL","",VLOOKUP(Tabela71023[[#This Row],[PONTO]],GERAL_PROJ2[],5,0)),"")</f>
        <v/>
      </c>
      <c r="H17" s="55" t="str">
        <f>IFERROR(IF(Tabela71023[[#This Row],[PONTO]]="RAMAL",DMDI,VLOOKUP(Tabela71023[[#This Row],[PONTO]],GERAL_PROJ2[],8,0)),"")</f>
        <v/>
      </c>
      <c r="I17" s="55" t="str">
        <f>IFERROR(IF(Tabela71023[[#This Row],[PONTO]]="RAMAL",Tabela71023[[#This Row],[KVA PONTO]],VLOOKUP(Tabela71023[[#This Row],[PONTO]],GERAL_PROJ2[],9,0)),"")</f>
        <v/>
      </c>
      <c r="J17" s="55" t="str">
        <f>IFERROR(VLOOKUP(Tabela71023[[#This Row],[PONTO]],GERAL_PROJ2[],12,0),"")</f>
        <v/>
      </c>
      <c r="K17" s="61" t="str">
        <f>IFERROR(Tabela71023[[#This Row],[Ib]],"")</f>
        <v/>
      </c>
      <c r="L17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Row],[CONDUTOR]],CABOS[],9,0))+30,W17+60*(X17/Z17)),"")</f>
        <v/>
      </c>
      <c r="M17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7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7" s="116" t="str">
        <f>IF(Tabela71023[[#This Row],[PONTO]]="","",IFERROR(SUMIF(Tabela71023[PONTO],Tabela71023[[#This Row],[TRECHO]],Tabela71023[Coluna1])+Tabela71023[[#This Row],[QT-PONTO]],""))</f>
        <v/>
      </c>
      <c r="P17" s="57" t="str">
        <f>IFERROR(Tabela71023[[#This Row],[Coluna1]]/T_LINHA_MONO,"")</f>
        <v/>
      </c>
      <c r="Q17" s="55" t="str">
        <f>IFERROR(T_LINHA_MONO*(1-Tabela71023[[#This Row],[QT %]]),"")</f>
        <v/>
      </c>
      <c r="R17" s="55" t="str">
        <f>IFERROR(T_LINHA_TRF*(1-Tabela71023[[#This Row],[QT %]]),"")</f>
        <v/>
      </c>
      <c r="S17" s="67" t="str">
        <f>IF(Tabela71023[[#This Row],[PROTECAO]]="OK","Protecao OK","Ajustar Disj/Condutor")</f>
        <v>Ajustar Disj/Condutor</v>
      </c>
      <c r="T17" s="72" t="str">
        <f>IF(Tabela71023[[#This Row],[ETA]]=1,"MONO",IF(Tabela71023[[#This Row],[ETA]]=2,"BIF","TRI"))</f>
        <v>TRI</v>
      </c>
      <c r="U17" s="72">
        <v>3</v>
      </c>
      <c r="V17" s="72" t="str">
        <f t="shared" si="0"/>
        <v>AEREO</v>
      </c>
      <c r="W17" s="72">
        <f>30</f>
        <v>30</v>
      </c>
      <c r="X17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7" s="72">
        <f>IFERROR(VLOOKUP(Tabela71023[[#This Row],[Ib]],TabelaDisjuntores[],2,TRUE),0)</f>
        <v>0</v>
      </c>
      <c r="Z17" s="72">
        <f>IFERROR(VLOOKUP(Tabela71023[[#This Row],[CONDUTOR]],CABOS[],2,0),0)</f>
        <v>0</v>
      </c>
      <c r="AA17" s="72" t="str">
        <f>IF(AND(Tabela71023[[#This Row],[Ib]]&lt;=Tabela71023[[#This Row],[In]],Tabela71023[[#This Row],[In]]&lt;=Tabela71023[[#This Row],[Iz]]),"OK","VERIFICAR")</f>
        <v>VERIFICAR</v>
      </c>
      <c r="AB17" s="97">
        <f>IFERROR(SQRT((Tabela71023[[#This Row],[X]]-$AF$4)^2+(Tabela71023[[#This Row],[Y]]-$AF$5)^2),0)</f>
        <v>0</v>
      </c>
      <c r="AC17" s="9" t="str">
        <f>IFERROR(IF(Tabela71023[[#This Row],[CONDUTOR]]="","",VLOOKUP(Tabela71023[[#This Row],[CONDUTOR]],CONDUTORES,2,0)),"")</f>
        <v/>
      </c>
      <c r="AE17" s="262"/>
      <c r="AF17" s="262"/>
      <c r="AG17" s="262"/>
    </row>
    <row r="18" spans="1:33" x14ac:dyDescent="0.3">
      <c r="A18" s="172" t="s">
        <v>326</v>
      </c>
      <c r="B18" s="134"/>
      <c r="C18" s="54" t="str">
        <f>IFERROR(IF(Tabela71023[[#This Row],[PONTO]]="RAMAL",B17,VLOOKUP(Tabela71023[[#This Row],[PONTO]],GERAL_PROJ2[],2,0)),"")</f>
        <v/>
      </c>
      <c r="D18" s="54" t="str">
        <f>IFERROR(IF(Tabela71023[[#This Row],[PONTO]]="RAMAL",15,VLOOKUP(Tabela71023[[#This Row],[PONTO]],GERAL_PROJ2[],3,0)),"")</f>
        <v/>
      </c>
      <c r="E18" s="154" t="str">
        <f>IFERROR(IF(Tabela71023[[#This Row],[PONTO]]="RAMAL","",VLOOKUP(Tabela71023[[#This Row],[PONTO]],GERAL_PROJ2[],7,0)),"")</f>
        <v/>
      </c>
      <c r="F18" s="55" t="str">
        <f>IFERROR(IF(Tabela71023[[#This Row],[PONTO]]="RAMAL","",VLOOKUP(Tabela71023[[#This Row],[PONTO]],GERAL_PROJ2[],4,0)),"")</f>
        <v/>
      </c>
      <c r="G18" s="55" t="str">
        <f>IFERROR(IF(Tabela71023[[#This Row],[PONTO]]="RAMAL","",VLOOKUP(Tabela71023[[#This Row],[PONTO]],GERAL_PROJ2[],5,0)),"")</f>
        <v/>
      </c>
      <c r="H18" s="55" t="str">
        <f>IFERROR(IF(Tabela71023[[#This Row],[PONTO]]="RAMAL",DMDI,VLOOKUP(Tabela71023[[#This Row],[PONTO]],GERAL_PROJ2[],8,0)),"")</f>
        <v/>
      </c>
      <c r="I18" s="55" t="str">
        <f>IFERROR(IF(Tabela71023[[#This Row],[PONTO]]="RAMAL",Tabela71023[[#This Row],[KVA PONTO]],VLOOKUP(Tabela71023[[#This Row],[PONTO]],GERAL_PROJ2[],9,0)),"")</f>
        <v/>
      </c>
      <c r="J18" s="55" t="str">
        <f>IFERROR(VLOOKUP(Tabela71023[[#This Row],[PONTO]],GERAL_PROJ2[],12,0),"")</f>
        <v/>
      </c>
      <c r="K18" s="61" t="str">
        <f>IFERROR(Tabela71023[[#This Row],[Ib]],"")</f>
        <v/>
      </c>
      <c r="L18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Row],[CONDUTOR]],CABOS[],9,0))+30,W18+60*(X18/Z18)),"")</f>
        <v/>
      </c>
      <c r="M18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8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8" s="116" t="str">
        <f>IF(Tabela71023[[#This Row],[PONTO]]="","",IFERROR(SUMIF(Tabela71023[PONTO],Tabela71023[[#This Row],[TRECHO]],Tabela71023[Coluna1])+Tabela71023[[#This Row],[QT-PONTO]],""))</f>
        <v/>
      </c>
      <c r="P18" s="57" t="str">
        <f>IFERROR(Tabela71023[[#This Row],[Coluna1]]/T_LINHA_MONO,"")</f>
        <v/>
      </c>
      <c r="Q18" s="55" t="str">
        <f>IFERROR(T_LINHA_MONO*(1-Tabela71023[[#This Row],[QT %]]),"")</f>
        <v/>
      </c>
      <c r="R18" s="55" t="str">
        <f>IFERROR(T_LINHA_TRF*(1-Tabela71023[[#This Row],[QT %]]),"")</f>
        <v/>
      </c>
      <c r="S18" s="67" t="str">
        <f>IF(Tabela71023[[#This Row],[PROTECAO]]="OK","Protecao OK","Ajustar Disj/Condutor")</f>
        <v>Ajustar Disj/Condutor</v>
      </c>
      <c r="T18" s="72" t="str">
        <f>IF(Tabela71023[[#This Row],[ETA]]=1,"MONO",IF(Tabela71023[[#This Row],[ETA]]=2,"BIF","TRI"))</f>
        <v>TRI</v>
      </c>
      <c r="U18" s="72">
        <v>3</v>
      </c>
      <c r="V18" s="72" t="str">
        <f t="shared" si="0"/>
        <v>AEREO</v>
      </c>
      <c r="W18" s="72">
        <f>30</f>
        <v>30</v>
      </c>
      <c r="X18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8" s="72">
        <f>IFERROR(VLOOKUP(Tabela71023[[#This Row],[Ib]],TabelaDisjuntores[],2,TRUE),0)</f>
        <v>0</v>
      </c>
      <c r="Z18" s="72">
        <f>IFERROR(VLOOKUP(Tabela71023[[#This Row],[CONDUTOR]],CABOS[],2,0),0)</f>
        <v>0</v>
      </c>
      <c r="AA18" s="72" t="str">
        <f>IF(AND(Tabela71023[[#This Row],[Ib]]&lt;=Tabela71023[[#This Row],[In]],Tabela71023[[#This Row],[In]]&lt;=Tabela71023[[#This Row],[Iz]]),"OK","VERIFICAR")</f>
        <v>VERIFICAR</v>
      </c>
      <c r="AB18" s="97">
        <f>IFERROR(SQRT((Tabela71023[[#This Row],[X]]-$AF$4)^2+(Tabela71023[[#This Row],[Y]]-$AF$5)^2),0)</f>
        <v>0</v>
      </c>
      <c r="AC18" s="9" t="str">
        <f>IFERROR(IF(Tabela71023[[#This Row],[CONDUTOR]]="","",VLOOKUP(Tabela71023[[#This Row],[CONDUTOR]],CONDUTORES,2,0)),"")</f>
        <v/>
      </c>
      <c r="AE18" s="262"/>
      <c r="AF18" s="262"/>
      <c r="AG18" s="262"/>
    </row>
    <row r="19" spans="1:33" x14ac:dyDescent="0.3">
      <c r="A19" s="54" t="s">
        <v>327</v>
      </c>
      <c r="B19" s="134"/>
      <c r="C19" s="54" t="str">
        <f>IFERROR(IF(Tabela71023[[#This Row],[PONTO]]="RAMAL",B18,VLOOKUP(Tabela71023[[#This Row],[PONTO]],GERAL_PROJ2[],2,0)),"")</f>
        <v/>
      </c>
      <c r="D19" s="54" t="str">
        <f>IFERROR(IF(Tabela71023[[#This Row],[PONTO]]="RAMAL",15,VLOOKUP(Tabela71023[[#This Row],[PONTO]],GERAL_PROJ2[],3,0)),"")</f>
        <v/>
      </c>
      <c r="E19" s="154" t="str">
        <f>IFERROR(IF(Tabela71023[[#This Row],[PONTO]]="RAMAL","",VLOOKUP(Tabela71023[[#This Row],[PONTO]],GERAL_PROJ2[],7,0)),"")</f>
        <v/>
      </c>
      <c r="F19" s="55" t="str">
        <f>IFERROR(IF(Tabela71023[[#This Row],[PONTO]]="RAMAL","",VLOOKUP(Tabela71023[[#This Row],[PONTO]],GERAL_PROJ2[],4,0)),"")</f>
        <v/>
      </c>
      <c r="G19" s="55" t="str">
        <f>IFERROR(IF(Tabela71023[[#This Row],[PONTO]]="RAMAL","",VLOOKUP(Tabela71023[[#This Row],[PONTO]],GERAL_PROJ2[],5,0)),"")</f>
        <v/>
      </c>
      <c r="H19" s="55" t="str">
        <f>IFERROR(IF(Tabela71023[[#This Row],[PONTO]]="RAMAL",DMDI,VLOOKUP(Tabela71023[[#This Row],[PONTO]],GERAL_PROJ2[],8,0)),"")</f>
        <v/>
      </c>
      <c r="I19" s="55" t="str">
        <f>IFERROR(IF(Tabela71023[[#This Row],[PONTO]]="RAMAL",Tabela71023[[#This Row],[KVA PONTO]],VLOOKUP(Tabela71023[[#This Row],[PONTO]],GERAL_PROJ2[],9,0)),"")</f>
        <v/>
      </c>
      <c r="J19" s="55" t="str">
        <f>IFERROR(VLOOKUP(Tabela71023[[#This Row],[PONTO]],GERAL_PROJ2[],12,0),"")</f>
        <v/>
      </c>
      <c r="K19" s="61" t="str">
        <f>IFERROR(Tabela71023[[#This Row],[Ib]],"")</f>
        <v/>
      </c>
      <c r="L19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Row],[CONDUTOR]],CABOS[],9,0))+30,W19+60*(X19/Z19)),"")</f>
        <v/>
      </c>
      <c r="M19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19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19" s="116" t="str">
        <f>IF(Tabela71023[[#This Row],[PONTO]]="","",IFERROR(SUMIF(Tabela71023[PONTO],Tabela71023[[#This Row],[TRECHO]],Tabela71023[Coluna1])+Tabela71023[[#This Row],[QT-PONTO]],""))</f>
        <v/>
      </c>
      <c r="P19" s="57" t="str">
        <f>IFERROR(Tabela71023[[#This Row],[Coluna1]]/T_LINHA_MONO,"")</f>
        <v/>
      </c>
      <c r="Q19" s="55" t="str">
        <f>IFERROR(T_LINHA_MONO*(1-Tabela71023[[#This Row],[QT %]]),"")</f>
        <v/>
      </c>
      <c r="R19" s="55" t="str">
        <f>IFERROR(T_LINHA_TRF*(1-Tabela71023[[#This Row],[QT %]]),"")</f>
        <v/>
      </c>
      <c r="S19" s="67" t="str">
        <f>IF(Tabela71023[[#This Row],[PROTECAO]]="OK","Protecao OK","Ajustar Disj/Condutor")</f>
        <v>Ajustar Disj/Condutor</v>
      </c>
      <c r="T19" s="72" t="str">
        <f>IF(Tabela71023[[#This Row],[ETA]]=1,"MONO",IF(Tabela71023[[#This Row],[ETA]]=2,"BIF","TRI"))</f>
        <v>TRI</v>
      </c>
      <c r="U19" s="72">
        <v>3</v>
      </c>
      <c r="V19" s="72" t="str">
        <f t="shared" si="0"/>
        <v>AEREO</v>
      </c>
      <c r="W19" s="72">
        <f>30</f>
        <v>30</v>
      </c>
      <c r="X19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19" s="72">
        <f>IFERROR(VLOOKUP(Tabela71023[[#This Row],[Ib]],TabelaDisjuntores[],2,TRUE),0)</f>
        <v>0</v>
      </c>
      <c r="Z19" s="72">
        <f>IFERROR(VLOOKUP(Tabela71023[[#This Row],[CONDUTOR]],CABOS[],2,0),0)</f>
        <v>0</v>
      </c>
      <c r="AA19" s="72" t="str">
        <f>IF(AND(Tabela71023[[#This Row],[Ib]]&lt;=Tabela71023[[#This Row],[In]],Tabela71023[[#This Row],[In]]&lt;=Tabela71023[[#This Row],[Iz]]),"OK","VERIFICAR")</f>
        <v>VERIFICAR</v>
      </c>
      <c r="AB19" s="97">
        <f>IFERROR(SQRT((Tabela71023[[#This Row],[X]]-$AF$4)^2+(Tabela71023[[#This Row],[Y]]-$AF$5)^2),0)</f>
        <v>0</v>
      </c>
      <c r="AC19" s="9" t="str">
        <f>IFERROR(IF(Tabela71023[[#This Row],[CONDUTOR]]="","",VLOOKUP(Tabela71023[[#This Row],[CONDUTOR]],CONDUTORES,2,0)),"")</f>
        <v/>
      </c>
      <c r="AE19" s="262"/>
      <c r="AF19" s="262"/>
      <c r="AG19" s="262"/>
    </row>
    <row r="20" spans="1:33" x14ac:dyDescent="0.3">
      <c r="A20" s="172" t="s">
        <v>328</v>
      </c>
      <c r="B20" s="134"/>
      <c r="C20" s="54" t="str">
        <f>IFERROR(IF(Tabela71023[[#This Row],[PONTO]]="RAMAL",B19,VLOOKUP(Tabela71023[[#This Row],[PONTO]],GERAL_PROJ2[],2,0)),"")</f>
        <v/>
      </c>
      <c r="D20" s="54" t="str">
        <f>IFERROR(IF(Tabela71023[[#This Row],[PONTO]]="RAMAL",15,VLOOKUP(Tabela71023[[#This Row],[PONTO]],GERAL_PROJ2[],3,0)),"")</f>
        <v/>
      </c>
      <c r="E20" s="154" t="str">
        <f>IFERROR(IF(Tabela71023[[#This Row],[PONTO]]="RAMAL","",VLOOKUP(Tabela71023[[#This Row],[PONTO]],GERAL_PROJ2[],7,0)),"")</f>
        <v/>
      </c>
      <c r="F20" s="55" t="str">
        <f>IFERROR(IF(Tabela71023[[#This Row],[PONTO]]="RAMAL","",VLOOKUP(Tabela71023[[#This Row],[PONTO]],GERAL_PROJ2[],4,0)),"")</f>
        <v/>
      </c>
      <c r="G20" s="55" t="str">
        <f>IFERROR(IF(Tabela71023[[#This Row],[PONTO]]="RAMAL","",VLOOKUP(Tabela71023[[#This Row],[PONTO]],GERAL_PROJ2[],5,0)),"")</f>
        <v/>
      </c>
      <c r="H20" s="55" t="str">
        <f>IFERROR(IF(Tabela71023[[#This Row],[PONTO]]="RAMAL",DMDI,VLOOKUP(Tabela71023[[#This Row],[PONTO]],GERAL_PROJ2[],8,0)),"")</f>
        <v/>
      </c>
      <c r="I20" s="55" t="str">
        <f>IFERROR(IF(Tabela71023[[#This Row],[PONTO]]="RAMAL",Tabela71023[[#This Row],[KVA PONTO]],VLOOKUP(Tabela71023[[#This Row],[PONTO]],GERAL_PROJ2[],9,0)),"")</f>
        <v/>
      </c>
      <c r="J20" s="55" t="str">
        <f>IFERROR(VLOOKUP(Tabela71023[[#This Row],[PONTO]],GERAL_PROJ2[],12,0),"")</f>
        <v/>
      </c>
      <c r="K20" s="61" t="str">
        <f>IFERROR(Tabela71023[[#This Row],[Ib]],"")</f>
        <v/>
      </c>
      <c r="L20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Row],[CONDUTOR]],CABOS[],9,0))+30,W20+60*(X20/Z20)),"")</f>
        <v/>
      </c>
      <c r="M20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20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20" s="116" t="str">
        <f>IF(Tabela71023[[#This Row],[PONTO]]="","",IFERROR(SUMIF(Tabela71023[PONTO],Tabela71023[[#This Row],[TRECHO]],Tabela71023[Coluna1])+Tabela71023[[#This Row],[QT-PONTO]],""))</f>
        <v/>
      </c>
      <c r="P20" s="57" t="str">
        <f>IFERROR(Tabela71023[[#This Row],[Coluna1]]/T_LINHA_MONO,"")</f>
        <v/>
      </c>
      <c r="Q20" s="55" t="str">
        <f>IFERROR(T_LINHA_MONO*(1-Tabela71023[[#This Row],[QT %]]),"")</f>
        <v/>
      </c>
      <c r="R20" s="55" t="str">
        <f>IFERROR(T_LINHA_TRF*(1-Tabela71023[[#This Row],[QT %]]),"")</f>
        <v/>
      </c>
      <c r="S20" s="67" t="str">
        <f>IF(Tabela71023[[#This Row],[PROTECAO]]="OK","Protecao OK","Ajustar Disj/Condutor")</f>
        <v>Ajustar Disj/Condutor</v>
      </c>
      <c r="T20" s="72" t="str">
        <f>IF(Tabela71023[[#This Row],[ETA]]=1,"MONO",IF(Tabela71023[[#This Row],[ETA]]=2,"BIF","TRI"))</f>
        <v>TRI</v>
      </c>
      <c r="U20" s="72">
        <v>3</v>
      </c>
      <c r="V20" s="72" t="str">
        <f t="shared" si="0"/>
        <v>AEREO</v>
      </c>
      <c r="W20" s="72">
        <f>30</f>
        <v>30</v>
      </c>
      <c r="X20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20" s="72">
        <f>IFERROR(VLOOKUP(Tabela71023[[#This Row],[Ib]],TabelaDisjuntores[],2,TRUE),0)</f>
        <v>0</v>
      </c>
      <c r="Z20" s="72">
        <f>IFERROR(VLOOKUP(Tabela71023[[#This Row],[CONDUTOR]],CABOS[],2,0),0)</f>
        <v>0</v>
      </c>
      <c r="AA20" s="72" t="str">
        <f>IF(AND(Tabela71023[[#This Row],[Ib]]&lt;=Tabela71023[[#This Row],[In]],Tabela71023[[#This Row],[In]]&lt;=Tabela71023[[#This Row],[Iz]]),"OK","VERIFICAR")</f>
        <v>VERIFICAR</v>
      </c>
      <c r="AB20" s="97">
        <f>IFERROR(SQRT((Tabela71023[[#This Row],[X]]-$AF$4)^2+(Tabela71023[[#This Row],[Y]]-$AF$5)^2),0)</f>
        <v>0</v>
      </c>
      <c r="AC20" s="9" t="str">
        <f>IFERROR(IF(Tabela71023[[#This Row],[CONDUTOR]]="","",VLOOKUP(Tabela71023[[#This Row],[CONDUTOR]],CONDUTORES,2,0)),"")</f>
        <v/>
      </c>
    </row>
    <row r="21" spans="1:33" x14ac:dyDescent="0.3">
      <c r="A21" s="54" t="s">
        <v>329</v>
      </c>
      <c r="B21" s="134"/>
      <c r="C21" s="54" t="str">
        <f>IFERROR(IF(Tabela71023[[#This Row],[PONTO]]="RAMAL",B20,VLOOKUP(Tabela71023[[#This Row],[PONTO]],GERAL_PROJ2[],2,0)),"")</f>
        <v/>
      </c>
      <c r="D21" s="54" t="str">
        <f>IFERROR(IF(Tabela71023[[#This Row],[PONTO]]="RAMAL",15,VLOOKUP(Tabela71023[[#This Row],[PONTO]],GERAL_PROJ2[],3,0)),"")</f>
        <v/>
      </c>
      <c r="E21" s="154" t="str">
        <f>IFERROR(IF(Tabela71023[[#This Row],[PONTO]]="RAMAL","",VLOOKUP(Tabela71023[[#This Row],[PONTO]],GERAL_PROJ2[],7,0)),"")</f>
        <v/>
      </c>
      <c r="F21" s="55" t="str">
        <f>IFERROR(IF(Tabela71023[[#This Row],[PONTO]]="RAMAL","",VLOOKUP(Tabela71023[[#This Row],[PONTO]],GERAL_PROJ2[],4,0)),"")</f>
        <v/>
      </c>
      <c r="G21" s="55" t="str">
        <f>IFERROR(IF(Tabela71023[[#This Row],[PONTO]]="RAMAL","",VLOOKUP(Tabela71023[[#This Row],[PONTO]],GERAL_PROJ2[],5,0)),"")</f>
        <v/>
      </c>
      <c r="H21" s="55" t="str">
        <f>IFERROR(IF(Tabela71023[[#This Row],[PONTO]]="RAMAL",DMDI,VLOOKUP(Tabela71023[[#This Row],[PONTO]],GERAL_PROJ2[],8,0)),"")</f>
        <v/>
      </c>
      <c r="I21" s="55" t="str">
        <f>IFERROR(IF(Tabela71023[[#This Row],[PONTO]]="RAMAL",Tabela71023[[#This Row],[KVA PONTO]],VLOOKUP(Tabela71023[[#This Row],[PONTO]],GERAL_PROJ2[],9,0)),"")</f>
        <v/>
      </c>
      <c r="J21" s="55" t="str">
        <f>IFERROR(VLOOKUP(Tabela71023[[#This Row],[PONTO]],GERAL_PROJ2[],12,0),"")</f>
        <v/>
      </c>
      <c r="K21" s="61" t="str">
        <f>IFERROR(Tabela71023[[#This Row],[Ib]],"")</f>
        <v/>
      </c>
      <c r="L21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Row],[CONDUTOR]],CABOS[],9,0))+30,W21+60*(X21/Z21)),"")</f>
        <v/>
      </c>
      <c r="M21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21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21" s="116" t="str">
        <f>IF(Tabela71023[[#This Row],[PONTO]]="","",IFERROR(SUMIF(Tabela71023[PONTO],Tabela71023[[#This Row],[TRECHO]],Tabela71023[Coluna1])+Tabela71023[[#This Row],[QT-PONTO]],""))</f>
        <v/>
      </c>
      <c r="P21" s="57" t="str">
        <f>IFERROR(Tabela71023[[#This Row],[Coluna1]]/T_LINHA_MONO,"")</f>
        <v/>
      </c>
      <c r="Q21" s="55" t="str">
        <f>IFERROR(T_LINHA_MONO*(1-Tabela71023[[#This Row],[QT %]]),"")</f>
        <v/>
      </c>
      <c r="R21" s="55" t="str">
        <f>IFERROR(T_LINHA_TRF*(1-Tabela71023[[#This Row],[QT %]]),"")</f>
        <v/>
      </c>
      <c r="S21" s="67" t="str">
        <f>IF(Tabela71023[[#This Row],[PROTECAO]]="OK","Protecao OK","Ajustar Disj/Condutor")</f>
        <v>Ajustar Disj/Condutor</v>
      </c>
      <c r="T21" s="72" t="str">
        <f>IF(Tabela71023[[#This Row],[ETA]]=1,"MONO",IF(Tabela71023[[#This Row],[ETA]]=2,"BIF","TRI"))</f>
        <v>TRI</v>
      </c>
      <c r="U21" s="72">
        <v>3</v>
      </c>
      <c r="V21" s="72" t="str">
        <f t="shared" si="0"/>
        <v>AEREO</v>
      </c>
      <c r="W21" s="72">
        <f>30</f>
        <v>30</v>
      </c>
      <c r="X21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21" s="72">
        <f>IFERROR(VLOOKUP(Tabela71023[[#This Row],[Ib]],TabelaDisjuntores[],2,TRUE),0)</f>
        <v>0</v>
      </c>
      <c r="Z21" s="72">
        <f>IFERROR(VLOOKUP(Tabela71023[[#This Row],[CONDUTOR]],CABOS[],2,0),0)</f>
        <v>0</v>
      </c>
      <c r="AA21" s="72" t="str">
        <f>IF(AND(Tabela71023[[#This Row],[Ib]]&lt;=Tabela71023[[#This Row],[In]],Tabela71023[[#This Row],[In]]&lt;=Tabela71023[[#This Row],[Iz]]),"OK","VERIFICAR")</f>
        <v>VERIFICAR</v>
      </c>
      <c r="AB21" s="97">
        <f>IFERROR(SQRT((Tabela71023[[#This Row],[X]]-$AF$4)^2+(Tabela71023[[#This Row],[Y]]-$AF$5)^2),0)</f>
        <v>0</v>
      </c>
      <c r="AC21" s="9" t="str">
        <f>IFERROR(IF(Tabela71023[[#This Row],[CONDUTOR]]="","",VLOOKUP(Tabela71023[[#This Row],[CONDUTOR]],CONDUTORES,2,0)),"")</f>
        <v/>
      </c>
      <c r="AE21" s="146" t="str">
        <f>IF(J23="","FALTA CONDUTOR NO RAMAL","")</f>
        <v/>
      </c>
      <c r="AF21" s="146"/>
      <c r="AG21" s="146"/>
    </row>
    <row r="22" spans="1:33" x14ac:dyDescent="0.3">
      <c r="A22" s="172"/>
      <c r="B22" s="134"/>
      <c r="C22" s="54" t="str">
        <f>IFERROR(IF(Tabela71023[[#This Row],[PONTO]]="RAMAL",B21,VLOOKUP(Tabela71023[[#This Row],[PONTO]],GERAL_PROJ2[],2,0)),"")</f>
        <v/>
      </c>
      <c r="D22" s="54" t="str">
        <f>IFERROR(IF(Tabela71023[[#This Row],[PONTO]]="RAMAL",15,VLOOKUP(Tabela71023[[#This Row],[PONTO]],GERAL_PROJ2[],3,0)),"")</f>
        <v/>
      </c>
      <c r="E22" s="154" t="str">
        <f>IFERROR(IF(Tabela71023[[#This Row],[PONTO]]="RAMAL","",VLOOKUP(Tabela71023[[#This Row],[PONTO]],GERAL_PROJ2[],7,0)),"")</f>
        <v/>
      </c>
      <c r="F22" s="55" t="str">
        <f>IFERROR(IF(Tabela71023[[#This Row],[PONTO]]="RAMAL","",VLOOKUP(Tabela71023[[#This Row],[PONTO]],GERAL_PROJ2[],4,0)),"")</f>
        <v/>
      </c>
      <c r="G22" s="55" t="str">
        <f>IFERROR(IF(Tabela71023[[#This Row],[PONTO]]="RAMAL","",VLOOKUP(Tabela71023[[#This Row],[PONTO]],GERAL_PROJ2[],5,0)),"")</f>
        <v/>
      </c>
      <c r="H22" s="55" t="str">
        <f>IFERROR(IF(Tabela71023[[#This Row],[PONTO]]="RAMAL",DMDI,VLOOKUP(Tabela71023[[#This Row],[PONTO]],GERAL_PROJ2[],8,0)),"")</f>
        <v/>
      </c>
      <c r="I22" s="55" t="str">
        <f>IFERROR(IF(Tabela71023[[#This Row],[PONTO]]="RAMAL",Tabela71023[[#This Row],[KVA PONTO]],VLOOKUP(Tabela71023[[#This Row],[PONTO]],GERAL_PROJ2[],9,0)),"")</f>
        <v/>
      </c>
      <c r="J22" s="55" t="str">
        <f>IFERROR(VLOOKUP(Tabela71023[[#This Row],[PONTO]],GERAL_PROJ2[],12,0),"")</f>
        <v/>
      </c>
      <c r="K22" s="61" t="str">
        <f>IFERROR(Tabela71023[[#This Row],[Ib]],"")</f>
        <v/>
      </c>
      <c r="L22" s="117" t="str">
        <f>IFERROR(IFERROR(Tabela71023[[#This Row],[ACUMULADA]]/((IF(Tabela71023[[#This Row],[FASE]]="MONO",T_LINHA_MONO,IF(Tabela71023[[#This Row],[FASE]]="BIF",T_LINHA_TRF,T_LINHA_TRF*SQRT(3)))/1000)*VLOOKUP(Tabela71023[[#This Row],[CONDUTOR]],CABOS[],9,0))+30,W22+60*(X22/Z22)),"")</f>
        <v/>
      </c>
      <c r="M22" s="68" t="str">
        <f>IFERROR((VLOOKUP(Tabela71023[[#This Row],[CONDUTOR]],CABOS[],3,0)/VLOOKUP(Tabela71023[[#This Row],[CONDUTOR]],CABOS[],6,0))*(1+VLOOKUP(Tabela71023[[#This Row],[CONDUTOR]],CABOS[],5,0)*(Tabela71023[[#This Row],[T]]-20)),"")</f>
        <v/>
      </c>
      <c r="N22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22" s="116" t="str">
        <f>IF(Tabela71023[[#This Row],[PONTO]]="","",IFERROR(SUMIF(Tabela71023[PONTO],Tabela71023[[#This Row],[TRECHO]],Tabela71023[Coluna1])+Tabela71023[[#This Row],[QT-PONTO]],""))</f>
        <v/>
      </c>
      <c r="P22" s="57" t="str">
        <f>IFERROR(Tabela71023[[#This Row],[Coluna1]]/T_LINHA_MONO,"")</f>
        <v/>
      </c>
      <c r="Q22" s="55" t="str">
        <f>IFERROR(T_LINHA_MONO*(1-Tabela71023[[#This Row],[QT %]]),"")</f>
        <v/>
      </c>
      <c r="R22" s="55" t="str">
        <f>IFERROR(T_LINHA_TRF*(1-Tabela71023[[#This Row],[QT %]]),"")</f>
        <v/>
      </c>
      <c r="S22" s="67" t="str">
        <f>IF(Tabela71023[[#This Row],[PROTECAO]]="OK","Protecao OK","Ajustar Disj/Condutor")</f>
        <v>Ajustar Disj/Condutor</v>
      </c>
      <c r="T22" s="72" t="str">
        <f>IF(Tabela71023[[#This Row],[ETA]]=1,"MONO",IF(Tabela71023[[#This Row],[ETA]]=2,"BIF","TRI"))</f>
        <v>TRI</v>
      </c>
      <c r="U22" s="72">
        <v>3</v>
      </c>
      <c r="V22" s="72" t="str">
        <f t="shared" si="0"/>
        <v>AEREO</v>
      </c>
      <c r="W22" s="72">
        <f>30</f>
        <v>30</v>
      </c>
      <c r="X22" s="72" t="str">
        <f>IFERROR(IF(Tabela71023[[#This Row],[FASE]]="MONO",Tabela71023[[#This Row],[ACUMULADA]]*1000/(T_LINHA_TRF*Tabela71023[[#This Row],[ETA]]),Tabela71023[[#This Row],[ACUMULADA]]*1000/(SQRT(3)*$R$7*Tabela71023[[#This Row],[ETA]])),"")</f>
        <v/>
      </c>
      <c r="Y22" s="72">
        <f>IFERROR(VLOOKUP(Tabela71023[[#This Row],[Ib]],TabelaDisjuntores[],2,TRUE),0)</f>
        <v>0</v>
      </c>
      <c r="Z22" s="72">
        <f>IFERROR(VLOOKUP(Tabela71023[[#This Row],[CONDUTOR]],CABOS[],2,0),0)</f>
        <v>0</v>
      </c>
      <c r="AA22" s="72" t="str">
        <f>IF(AND(Tabela71023[[#This Row],[Ib]]&lt;=Tabela71023[[#This Row],[In]],Tabela71023[[#This Row],[In]]&lt;=Tabela71023[[#This Row],[Iz]]),"OK","VERIFICAR")</f>
        <v>VERIFICAR</v>
      </c>
      <c r="AB22" s="97">
        <f>IFERROR(SQRT((Tabela71023[[#This Row],[X]]-$AF$4)^2+(Tabela71023[[#This Row],[Y]]-$AF$5)^2),0)</f>
        <v>0</v>
      </c>
      <c r="AC22" s="9" t="str">
        <f>IFERROR(IF(Tabela71023[[#This Row],[CONDUTOR]]="","",VLOOKUP(Tabela71023[[#This Row],[CONDUTOR]],CONDUTORES,2,0)),"")</f>
        <v/>
      </c>
    </row>
    <row r="23" spans="1:33" x14ac:dyDescent="0.3">
      <c r="A23" s="172" t="s">
        <v>323</v>
      </c>
      <c r="B23" s="70" t="s">
        <v>275</v>
      </c>
      <c r="C23" s="130"/>
      <c r="D23" s="54">
        <v>30</v>
      </c>
      <c r="E23" s="154" t="str">
        <f>IFERROR(IF(Tabela71023[[#This Row],[PONTO]]="RAMAL","",VLOOKUP(Tabela71023[[#This Row],[PONTO]],GERAL_PROJ2[],7,0)),"")</f>
        <v/>
      </c>
      <c r="F23" s="55" t="str">
        <f>IFERROR(IF(Tabela71023[[#This Row],[PONTO]]="RAMAL","",VLOOKUP(Tabela71023[[#This Row],[PONTO]],GERAL_PROJ2[],4,0)),"")</f>
        <v/>
      </c>
      <c r="G23" s="55" t="str">
        <f>IFERROR(IF(Tabela71023[[#This Row],[PONTO]]="RAMAL","",VLOOKUP(Tabela71023[[#This Row],[PONTO]],GERAL_PROJ2[],5,0)),"")</f>
        <v/>
      </c>
      <c r="H23" s="55">
        <f>IFERROR(IF(Tabela71023[[#This Row],[PONTO]]="RAMAL",DMDI,VLOOKUP(Tabela71023[[#This Row],[PONTO]],GERAL_PROJ2[],8,0)),"")</f>
        <v>1.88</v>
      </c>
      <c r="I23" s="55">
        <f>IFERROR(IF(Tabela71023[[#This Row],[PONTO]]="RAMAL",Tabela71023[[#This Row],[KVA PONTO]],VLOOKUP(Tabela71023[[#This Row],[PONTO]],GERAL_PROJ2[],9,0)),"")</f>
        <v>1.88</v>
      </c>
      <c r="J23" s="135" t="s">
        <v>97</v>
      </c>
      <c r="K23" s="61">
        <f>IFERROR(Tabela71023[[#This Row],[Ib]],"")</f>
        <v>1.6445734940552976</v>
      </c>
      <c r="L23" s="117">
        <f>IFERROR(IFERROR(Tabela71023[[#This Row],[ACUMULADA]]/((IF(Tabela71023[[#This Row],[FASE]]="MONO",T_LINHA_MONO,IF(Tabela71023[[#This Row],[FASE]]="BIF",T_LINHA_TRF,T_LINHA_TRF*SQRT(3)))/1000)*VLOOKUP(Tabela71023[[#This Row],[CONDUTOR]],CABOS[],9,0))+30,W23+60*(X23/Z23)),"")</f>
        <v>34.698781411586566</v>
      </c>
      <c r="M23" s="68">
        <f>IFERROR((VLOOKUP(Tabela71023[[#This Row],[CONDUTOR]],CABOS[],3,0)/VLOOKUP(Tabela71023[[#This Row],[CONDUTOR]],CABOS[],6,0))*(1+VLOOKUP(Tabela71023[[#This Row],[CONDUTOR]],CABOS[],5,0)*(Tabela71023[[#This Row],[T]]-20)),"")</f>
        <v>2.0636037487625933</v>
      </c>
      <c r="N23" s="62" t="str">
        <f>IFERROR(IF(Tabela71023[[#This Row],[FASE]]="MONO",6,IF(Tabela71023[[#This Row],[FASE]]="BIF",2,1))*Tabela71023[[#This Row],[ACUMULADA]]*(SQRT(Tabela71023[[#This Row],[R CORR]]^2+VLOOKUP(Tabela71023[[#This Row],[CONDUTOR]],CABOS[],4,0)^2)/(($R$7^2)/100))*Tabela71023[[#This Row],[M]]*T_LINHA_MONO/100+IF(Tabela71023[[#This Row],[TRECHO]]=0,T_LINHA_MONO*QT_MTTR3,0),"")</f>
        <v/>
      </c>
      <c r="O23" s="116" t="str">
        <f>IF(Tabela71023[[#This Row],[PONTO]]="","",IFERROR(SUMIF(Tabela71023[PONTO],Tabela71023[[#This Row],[TRECHO]],Tabela71023[Coluna1])+Tabela71023[[#This Row],[QT-PONTO]],""))</f>
        <v/>
      </c>
      <c r="P23" s="57" t="str">
        <f>IFERROR(Tabela71023[[#This Row],[Coluna1]]/T_LINHA_MONO,"")</f>
        <v/>
      </c>
      <c r="Q23" s="55" t="str">
        <f>IFERROR(T_LINHA_MONO*(1-Tabela71023[[#This Row],[QT %]]),"")</f>
        <v/>
      </c>
      <c r="R23" s="55" t="str">
        <f>IFERROR(T_LINHA_TRF*(1-Tabela71023[[#This Row],[QT %]]),"")</f>
        <v/>
      </c>
      <c r="S23" s="67" t="str">
        <f>IF(Tabela71023[[#This Row],[PROTECAO]]="OK","Protecao OK","Ajustar Disj/Condutor")</f>
        <v>Ajustar Disj/Condutor</v>
      </c>
      <c r="T23" s="72" t="str">
        <f>IF(Tabela71023[[#This Row],[ETA]]=1,"MONO",IF(Tabela71023[[#This Row],[ETA]]=2,"BIF","TRI"))</f>
        <v>TRI</v>
      </c>
      <c r="U23" s="72">
        <v>3</v>
      </c>
      <c r="V23" s="72" t="str">
        <f t="shared" si="0"/>
        <v>AEREO</v>
      </c>
      <c r="W23" s="72">
        <f>30</f>
        <v>30</v>
      </c>
      <c r="X23" s="72">
        <f>IFERROR(IF(Tabela71023[[#This Row],[FASE]]="MONO",Tabela71023[[#This Row],[ACUMULADA]]*1000/(T_LINHA_TRF*Tabela71023[[#This Row],[ETA]]),Tabela71023[[#This Row],[ACUMULADA]]*1000/(SQRT(3)*$R$7*Tabela71023[[#This Row],[ETA]])),"")</f>
        <v>1.6445734940552976</v>
      </c>
      <c r="Y23" s="72">
        <f>IFERROR(VLOOKUP(Tabela71023[[#This Row],[Ib]],TabelaDisjuntores[],2,TRUE),0)</f>
        <v>0</v>
      </c>
      <c r="Z23" s="72">
        <f>IFERROR(VLOOKUP(Tabela71023[[#This Row],[CONDUTOR]],CABOS[],2,0),0)</f>
        <v>63</v>
      </c>
      <c r="AA23" s="72" t="str">
        <f>IF(AND(Tabela71023[[#This Row],[Ib]]&lt;=Tabela71023[[#This Row],[In]],Tabela71023[[#This Row],[In]]&lt;=Tabela71023[[#This Row],[Iz]]),"OK","VERIFICAR")</f>
        <v>VERIFICAR</v>
      </c>
      <c r="AB23" s="97">
        <f>IFERROR(SQRT((Tabela71023[[#This Row],[X]]-$AF$4)^2+(Tabela71023[[#This Row],[Y]]-$AF$5)^2),0)</f>
        <v>0</v>
      </c>
      <c r="AC23" s="9">
        <f>IFERROR(IF(Tabela71023[[#This Row],[CONDUTOR]]="","",VLOOKUP(Tabela71023[[#This Row],[CONDUTOR]],CONDUTORES,2,0)),"")</f>
        <v>63</v>
      </c>
    </row>
    <row r="24" spans="1:33" x14ac:dyDescent="0.3">
      <c r="E24" s="154" t="str">
        <f>IFERROR(IF(Tabela7[[#This Row],[PONTO]]="RAMAL","",VLOOKUP(Tabela7[[#This Row],[PONTO]],GERAL[],7,0)),"")</f>
        <v/>
      </c>
    </row>
  </sheetData>
  <mergeCells count="24">
    <mergeCell ref="AE16:AG19"/>
    <mergeCell ref="AE2:AF3"/>
    <mergeCell ref="C2:C3"/>
    <mergeCell ref="H5:H6"/>
    <mergeCell ref="F2:F3"/>
    <mergeCell ref="N5:N6"/>
    <mergeCell ref="P5:P6"/>
    <mergeCell ref="AC5:AC6"/>
    <mergeCell ref="AB5:AB6"/>
    <mergeCell ref="U5:U6"/>
    <mergeCell ref="C5:C6"/>
    <mergeCell ref="J5:J6"/>
    <mergeCell ref="F5:G5"/>
    <mergeCell ref="D5:D6"/>
    <mergeCell ref="O5:O6"/>
    <mergeCell ref="Q5:Q6"/>
    <mergeCell ref="S5:S6"/>
    <mergeCell ref="A5:A6"/>
    <mergeCell ref="B2:B3"/>
    <mergeCell ref="D2:D3"/>
    <mergeCell ref="G2:G3"/>
    <mergeCell ref="K5:K6"/>
    <mergeCell ref="B5:B6"/>
    <mergeCell ref="I5:I6"/>
  </mergeCells>
  <conditionalFormatting sqref="S8:AA8 S9:S22 T9:AA23">
    <cfRule type="cellIs" dxfId="1" priority="2" operator="equal">
      <formula>"Condutor Suporta Amperagem"</formula>
    </cfRule>
    <cfRule type="cellIs" dxfId="0" priority="3" operator="equal">
      <formula>"Condutor Sobrecarregado"</formula>
    </cfRule>
  </conditionalFormatting>
  <pageMargins left="0.511811024" right="0.511811024" top="0.78740157499999996" bottom="0.78740157499999996" header="0.31496062000000002" footer="0.31496062000000002"/>
  <ignoredErrors>
    <ignoredError sqref="P9:AB23 P8:AB8" calculatedColumn="1"/>
  </ignoredErrors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32952A7-3918-47A6-A660-AD758F3B690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117</xm:f>
              </x14:cfvo>
              <x14:cfIcon iconSet="3Symbols2" iconId="0"/>
              <x14:cfIcon iconSet="3Symbols" iconId="0"/>
              <x14:cfIcon iconSet="3Symbols" iconId="2"/>
            </x14:iconSet>
          </x14:cfRule>
          <xm:sqref>Q23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D9DEE6-98C9-48F2-8DE9-4A76648D5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33</vt:i4>
      </vt:variant>
    </vt:vector>
  </HeadingPairs>
  <TitlesOfParts>
    <vt:vector size="48" baseType="lpstr">
      <vt:lpstr>DB</vt:lpstr>
      <vt:lpstr>COORDENADAS</vt:lpstr>
      <vt:lpstr>SUGESTAO_CORTES</vt:lpstr>
      <vt:lpstr>RAMAL</vt:lpstr>
      <vt:lpstr>PROJ1</vt:lpstr>
      <vt:lpstr>LADO 1</vt:lpstr>
      <vt:lpstr>LADO 2</vt:lpstr>
      <vt:lpstr>LADO 3</vt:lpstr>
      <vt:lpstr>LADO 4</vt:lpstr>
      <vt:lpstr>GERAL PROJ</vt:lpstr>
      <vt:lpstr>LADO 1 PROJ</vt:lpstr>
      <vt:lpstr>LADO 2 PROJ</vt:lpstr>
      <vt:lpstr>GERAL PROJ2</vt:lpstr>
      <vt:lpstr>LADO 1 PROJ2</vt:lpstr>
      <vt:lpstr>LADO 2 PROJ2</vt:lpstr>
      <vt:lpstr>ATUAL_CARGA_TOTAL</vt:lpstr>
      <vt:lpstr>ATUAL_CORRENTE_MAXIMA</vt:lpstr>
      <vt:lpstr>ATUAL_DEMANDA_MAXIMA</vt:lpstr>
      <vt:lpstr>ATUAL_DMDI_MEDIO</vt:lpstr>
      <vt:lpstr>ATUAL_ENTRADAS_RAMAIS</vt:lpstr>
      <vt:lpstr>ATUAL_FATOR_LEITURA_TRAFO</vt:lpstr>
      <vt:lpstr>AUX_CLAN</vt:lpstr>
      <vt:lpstr>COEF_VA</vt:lpstr>
      <vt:lpstr>'GERAL PROJ'!CONDUTORES</vt:lpstr>
      <vt:lpstr>'GERAL PROJ2'!CONDUTORES</vt:lpstr>
      <vt:lpstr>'LADO 1 PROJ'!CONDUTORES</vt:lpstr>
      <vt:lpstr>'LADO 1 PROJ2'!CONDUTORES</vt:lpstr>
      <vt:lpstr>'LADO 2'!CONDUTORES</vt:lpstr>
      <vt:lpstr>'LADO 2 PROJ'!CONDUTORES</vt:lpstr>
      <vt:lpstr>'LADO 2 PROJ2'!CONDUTORES</vt:lpstr>
      <vt:lpstr>'LADO 3'!CONDUTORES</vt:lpstr>
      <vt:lpstr>'LADO 4'!CONDUTORES</vt:lpstr>
      <vt:lpstr>CONDUTORES</vt:lpstr>
      <vt:lpstr>COORD</vt:lpstr>
      <vt:lpstr>DEM_ATUAL</vt:lpstr>
      <vt:lpstr>DMDI</vt:lpstr>
      <vt:lpstr>fator_potencia</vt:lpstr>
      <vt:lpstr>QT_MT</vt:lpstr>
      <vt:lpstr>QT_MTTR</vt:lpstr>
      <vt:lpstr>QT_MTTR2</vt:lpstr>
      <vt:lpstr>QT_MTTR3</vt:lpstr>
      <vt:lpstr>QT_TR</vt:lpstr>
      <vt:lpstr>RAMAIS_ATUAL</vt:lpstr>
      <vt:lpstr>T_LINHA_MONO</vt:lpstr>
      <vt:lpstr>T_LINHA_TRF</vt:lpstr>
      <vt:lpstr>TAB_CLAN_DMDI</vt:lpstr>
      <vt:lpstr>TAB_MINI_CABO</vt:lpstr>
      <vt:lpstr>TR_ATUAL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marques</dc:creator>
  <cp:lastModifiedBy>Jonatas da Rocha Lampa</cp:lastModifiedBy>
  <cp:revision>9</cp:revision>
  <cp:lastPrinted>2025-12-22T20:05:19Z</cp:lastPrinted>
  <dcterms:created xsi:type="dcterms:W3CDTF">2025-12-22T19:46:06Z</dcterms:created>
  <dcterms:modified xsi:type="dcterms:W3CDTF">2026-09-14T14:17:01Z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0x0101009B5E8751ED0A0040A15EEFF443F7E8C0</vt:lpwstr>
  </property>
</Properties>
</file>