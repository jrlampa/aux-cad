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G:\Meu Drive\1-HBT\HBT\SETEMBRO\02\PE_A057032667\"/>
    </mc:Choice>
  </mc:AlternateContent>
  <xr:revisionPtr revIDLastSave="0" documentId="13_ncr:1_{A263FC12-22EB-49AE-A48F-985FDF5D0617}" xr6:coauthVersionLast="47" xr6:coauthVersionMax="47" xr10:uidLastSave="{00000000-0000-0000-0000-000000000000}"/>
  <bookViews>
    <workbookView xWindow="7524" yWindow="12852" windowWidth="23256" windowHeight="12456" tabRatio="557" xr2:uid="{00000000-000D-0000-FFFF-FFFF00000000}"/>
  </bookViews>
  <sheets>
    <sheet name="BASE PFC MODELO" sheetId="1" r:id="rId1"/>
  </sheets>
  <definedNames>
    <definedName name="__xlfn_IFERROR">NA()</definedName>
    <definedName name="_xlnm.Print_Area" localSheetId="0">'BASE PFC MODELO'!$A$5:$H$34</definedName>
    <definedName name="Excel_BuiltIn_Print_Area" localSheetId="0">'BASE PFC MODELO'!$A$5:$H$34</definedName>
  </definedName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G70" i="1" l="1"/>
  <c r="G74" i="1" s="1"/>
  <c r="C45" i="1"/>
  <c r="G84" i="1"/>
  <c r="H29" i="1" l="1"/>
  <c r="C32" i="1"/>
  <c r="F32" i="1"/>
  <c r="G86" i="1" s="1"/>
  <c r="G72" i="1"/>
  <c r="G68" i="1"/>
  <c r="G82" i="1"/>
  <c r="G76" i="1" l="1"/>
  <c r="G88" i="1"/>
  <c r="G93" i="1" l="1"/>
</calcChain>
</file>

<file path=xl/sharedStrings.xml><?xml version="1.0" encoding="utf-8"?>
<sst xmlns="http://schemas.openxmlformats.org/spreadsheetml/2006/main" count="146" uniqueCount="100">
  <si>
    <t>RESUMO GERAL DOS CUSTOS</t>
  </si>
  <si>
    <t>A4</t>
  </si>
  <si>
    <t>Subgrupo AS</t>
  </si>
  <si>
    <t>AS</t>
  </si>
  <si>
    <t>DADOS CADASTRAIS</t>
  </si>
  <si>
    <t>B1</t>
  </si>
  <si>
    <t>Subgrupo B2 rural</t>
  </si>
  <si>
    <t>B2rur</t>
  </si>
  <si>
    <t xml:space="preserve">Projeto Nº: </t>
  </si>
  <si>
    <t>Subgrupo B2 irrigação</t>
  </si>
  <si>
    <t>B2irrig</t>
  </si>
  <si>
    <t>Ajuda:</t>
  </si>
  <si>
    <t>Subgrupo B3</t>
  </si>
  <si>
    <t>B3</t>
  </si>
  <si>
    <t xml:space="preserve">Tipo de Ligação: </t>
  </si>
  <si>
    <t>Extensão de Rede</t>
  </si>
  <si>
    <t>Subgrupo A3</t>
  </si>
  <si>
    <t>A3</t>
  </si>
  <si>
    <t>Subgrupo A3a</t>
  </si>
  <si>
    <t>A3a</t>
  </si>
  <si>
    <t>Subgrupo:</t>
  </si>
  <si>
    <t>Subgrupo A2</t>
  </si>
  <si>
    <t>A2</t>
  </si>
  <si>
    <t>Subgrupos:</t>
  </si>
  <si>
    <t>Subgrupo B4a</t>
  </si>
  <si>
    <t>B4a</t>
  </si>
  <si>
    <t xml:space="preserve">Endereço: </t>
  </si>
  <si>
    <t>Subgrupo</t>
  </si>
  <si>
    <t>A1</t>
  </si>
  <si>
    <t xml:space="preserve"> tensão de fornecimento igual ou superior a 230 kV;</t>
  </si>
  <si>
    <t xml:space="preserve"> tensão de fornecimento de 88 kV a 138 kV;</t>
  </si>
  <si>
    <t xml:space="preserve">Município: </t>
  </si>
  <si>
    <t xml:space="preserve"> tensão de fornecimento de 69 kV;</t>
  </si>
  <si>
    <t xml:space="preserve"> tensão de fornecimento de 30 kV a 44 kV;</t>
  </si>
  <si>
    <t xml:space="preserve"> tensão de fornecimento de 2,3 kV a 25 kV;</t>
  </si>
  <si>
    <t xml:space="preserve"> tensão de fornecimento inferior a 2,3 kV;</t>
  </si>
  <si>
    <t xml:space="preserve"> residencial;</t>
  </si>
  <si>
    <t>Ext. Rede</t>
  </si>
  <si>
    <t>B2</t>
  </si>
  <si>
    <t xml:space="preserve"> rural;</t>
  </si>
  <si>
    <t>ORÇAMENTO</t>
  </si>
  <si>
    <t>Acréscimo de carga</t>
  </si>
  <si>
    <t xml:space="preserve"> demais classes;</t>
  </si>
  <si>
    <t>Acréscimo de carga c/ complementação de fases</t>
  </si>
  <si>
    <t xml:space="preserve"> Iluminação Pública.</t>
  </si>
  <si>
    <t>Selecione a origem:</t>
  </si>
  <si>
    <t>GOM</t>
  </si>
  <si>
    <t>Iluminação pública</t>
  </si>
  <si>
    <t>Engenharia - Extensão de rede</t>
  </si>
  <si>
    <t>Engenharia - Acréscimo de carga</t>
  </si>
  <si>
    <t>Descrição</t>
  </si>
  <si>
    <t>Valor</t>
  </si>
  <si>
    <t>Trafos</t>
  </si>
  <si>
    <t>Serviço de Terceiros:</t>
  </si>
  <si>
    <t>Mão de Obra</t>
  </si>
  <si>
    <t>Material:</t>
  </si>
  <si>
    <t>Transporte</t>
  </si>
  <si>
    <t>TOTAL</t>
  </si>
  <si>
    <t>CÁLCULO DA PARTICIPAÇÃO FINANCEIRA DO CONSUMIDOR</t>
  </si>
  <si>
    <t>ENCARGO DE RESPONSABILIDADE DA DISTRIBUIDORA - ERD</t>
  </si>
  <si>
    <t>Demanda disponibilizada no orçamento</t>
  </si>
  <si>
    <t>Fator de proporcionalização</t>
  </si>
  <si>
    <t>Custo total da obra</t>
  </si>
  <si>
    <t>Custo proporcionalizado - COP</t>
  </si>
  <si>
    <t>PARTICIPAÇÃO FINANCEIRA - PF</t>
  </si>
  <si>
    <t>Demanda de Geração</t>
  </si>
  <si>
    <t>Demanda de Carga</t>
  </si>
  <si>
    <t>Classificação do grupo tarifário</t>
  </si>
  <si>
    <t>SUB GRUPO TARIFÁRIO</t>
  </si>
  <si>
    <t>Kcarga</t>
  </si>
  <si>
    <t>Kgeração</t>
  </si>
  <si>
    <t>Fator K</t>
  </si>
  <si>
    <t>Cálculo do Encargo da Distribuidora - ERD</t>
  </si>
  <si>
    <t>Grupo tarifário</t>
  </si>
  <si>
    <t>Fator Kgeração (Kg)</t>
  </si>
  <si>
    <t>Fator Kcarga (Kc)</t>
  </si>
  <si>
    <t>Demanda do cliente - Carga (kW)</t>
  </si>
  <si>
    <t>Demanda do cliente - Geração (kW)</t>
  </si>
  <si>
    <t>ERD</t>
  </si>
  <si>
    <t>RESOLUÇÃO NORMATIVA N.º 1.059</t>
  </si>
  <si>
    <t>PROPORCIONALIZAÇÃO DO CUSTO DA OBRA - REN1.059 ANEEL</t>
  </si>
  <si>
    <t>Demanda Cliente</t>
  </si>
  <si>
    <t>Participação Financeira</t>
  </si>
  <si>
    <t>Subgrupo B1</t>
  </si>
  <si>
    <t>Subgrupo A4</t>
  </si>
  <si>
    <t>ERD para Geração (kg)</t>
  </si>
  <si>
    <t>Subgrupo - BT1 Geração</t>
  </si>
  <si>
    <t>Subgrupo - BT2 Geração</t>
  </si>
  <si>
    <t>BT1</t>
  </si>
  <si>
    <t>BT2</t>
  </si>
  <si>
    <t>BT1 Geração</t>
  </si>
  <si>
    <t>BT2 Geração</t>
  </si>
  <si>
    <t>Versão: 03</t>
  </si>
  <si>
    <t>Valido até: 10/03/2027</t>
  </si>
  <si>
    <t>B4b</t>
  </si>
  <si>
    <t>Iluminação Publica - Bulbo de lampada</t>
  </si>
  <si>
    <t>Irrigação</t>
  </si>
  <si>
    <t>A057032667</t>
  </si>
  <si>
    <t>Rua Jose Timoteo Caldara 834</t>
  </si>
  <si>
    <t>PETRÓPOLIS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</si>
</sst>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R$&quot;\ * #,##0.00_-;\-&quot;R$&quot;\ * #,##0.00_-;_-&quot;R$&quot;\ * &quot;-&quot;??_-;_-@_-"/>
    <numFmt numFmtId="43" formatCode="_-* #,##0.00_-;\-* #,##0.00_-;_-* &quot;-&quot;??_-;_-@_-"/>
    <numFmt numFmtId="164" formatCode="_-* #,##0.000_-;\-* #,##0.000_-;_-* &quot;-&quot;??_-;_-@_-"/>
  </numFmts>
  <fonts count="32">
    <font>
      <sz val="10"/>
      <name val="Arial"/>
    </font>
    <font>
      <b/>
      <sz val="8"/>
      <name val="Arial monospaced for SAP"/>
      <family val="3"/>
    </font>
    <font>
      <sz val="8"/>
      <color indexed="10"/>
      <name val="Arial monospaced for SAP"/>
      <family val="3"/>
    </font>
    <font>
      <sz val="8"/>
      <name val="Arial monospaced for SAP"/>
      <family val="3"/>
    </font>
    <font>
      <sz val="11"/>
      <color indexed="10"/>
      <name val="Arial monospaced for SAP"/>
      <family val="3"/>
    </font>
    <font>
      <b/>
      <sz val="8"/>
      <color indexed="10"/>
      <name val="Arial monospaced for SAP"/>
      <family val="3"/>
    </font>
    <font>
      <b/>
      <sz val="8"/>
      <color indexed="9"/>
      <name val="Arial monospaced for SAP"/>
      <family val="3"/>
    </font>
    <font>
      <sz val="8"/>
      <color indexed="62"/>
      <name val="Arial monospaced for SAP"/>
      <family val="3"/>
    </font>
    <font>
      <b/>
      <sz val="8"/>
      <color indexed="62"/>
      <name val="Arial monospaced for SAP"/>
      <family val="3"/>
    </font>
    <font>
      <b/>
      <sz val="8"/>
      <color rgb="FFFF0000"/>
      <name val="Arial monospaced for SAP"/>
      <family val="3"/>
    </font>
    <font>
      <i/>
      <sz val="8"/>
      <name val="Arial monospaced for SAP"/>
      <family val="3"/>
    </font>
    <font>
      <sz val="8"/>
      <color indexed="8"/>
      <name val="Arial monospaced for SAP"/>
      <family val="3"/>
    </font>
    <font>
      <sz val="8"/>
      <color indexed="9"/>
      <name val="Arial monospaced for SAP"/>
      <family val="3"/>
    </font>
    <font>
      <sz val="8"/>
      <color theme="0"/>
      <name val="Arial monospaced for SAP"/>
      <family val="3"/>
    </font>
    <font>
      <b/>
      <sz val="12"/>
      <name val="Arial monospaced for SAP"/>
      <family val="3"/>
    </font>
    <font>
      <sz val="12"/>
      <name val="Arial monospaced for SAP"/>
      <family val="3"/>
    </font>
    <font>
      <sz val="12"/>
      <color theme="0"/>
      <name val="Arial monospaced for SAP"/>
      <family val="3"/>
    </font>
    <font>
      <b/>
      <sz val="12"/>
      <color theme="0"/>
      <name val="Arial monospaced for SAP"/>
      <family val="3"/>
    </font>
    <font>
      <b/>
      <sz val="8"/>
      <color theme="0"/>
      <name val="Arial monospaced for SAP"/>
      <family val="3"/>
    </font>
    <font>
      <sz val="10"/>
      <name val="Arial"/>
      <family val="2"/>
    </font>
    <font>
      <b/>
      <sz val="8"/>
      <color indexed="8"/>
      <name val="Arial monospaced for SAP"/>
      <family val="3"/>
    </font>
    <font>
      <sz val="10"/>
      <name val="Arial"/>
      <family val="2"/>
    </font>
    <font>
      <sz val="9"/>
      <color indexed="8"/>
      <name val="Arial monospaced for SAP"/>
      <family val="3"/>
    </font>
    <font>
      <sz val="8"/>
      <color rgb="FFFF0000"/>
      <name val="Arial monospaced for SAP"/>
      <family val="3"/>
    </font>
    <font>
      <sz val="10"/>
      <color indexed="8"/>
      <name val="Arial monospaced for SAP"/>
      <family val="3"/>
    </font>
    <font>
      <b/>
      <sz val="11"/>
      <color indexed="8"/>
      <name val="Arial monospaced for SAP"/>
      <family val="3"/>
    </font>
    <font>
      <b/>
      <sz val="11"/>
      <color theme="1"/>
      <name val="Cambria"/>
      <family val="1"/>
    </font>
    <font>
      <sz val="10"/>
      <name val="Arial monospaced for SAP"/>
      <family val="3"/>
    </font>
    <font>
      <sz val="11"/>
      <color theme="0"/>
      <name val="Arial monospaced for SAP"/>
      <family val="3"/>
    </font>
    <font>
      <b/>
      <sz val="10"/>
      <name val="Arial monospaced for SAP"/>
      <family val="3"/>
    </font>
    <font>
      <b/>
      <sz val="12"/>
      <color theme="1"/>
      <name val="Arial monospaced for SAP"/>
      <family val="3"/>
    </font>
    <font>
      <b/>
      <sz val="12"/>
      <name val="Arial monospaced for SAP"/>
      <family val="3"/>
      <charset val="1"/>
    </font>
  </fonts>
  <fills count="12">
    <fill>
      <patternFill patternType="none"/>
    </fill>
    <fill>
      <patternFill patternType="gray125"/>
    </fill>
    <fill>
      <patternFill patternType="solid">
        <fgColor indexed="43"/>
        <bgColor indexed="26"/>
      </patternFill>
    </fill>
    <fill>
      <patternFill patternType="solid">
        <fgColor indexed="30"/>
        <bgColor indexed="21"/>
      </patternFill>
    </fill>
    <fill>
      <patternFill patternType="solid">
        <fgColor indexed="22"/>
        <bgColor indexed="31"/>
      </patternFill>
    </fill>
    <fill>
      <patternFill patternType="solid">
        <fgColor theme="0" tint="-0.249977111117893"/>
        <bgColor indexed="26"/>
      </patternFill>
    </fill>
    <fill>
      <patternFill patternType="solid">
        <fgColor rgb="FF002060"/>
        <bgColor indexed="64"/>
      </patternFill>
    </fill>
    <fill>
      <patternFill patternType="solid">
        <fgColor indexed="9"/>
        <bgColor indexed="26"/>
      </patternFill>
    </fill>
    <fill>
      <patternFill patternType="solid">
        <fgColor rgb="FF002060"/>
        <bgColor indexed="41"/>
      </patternFill>
    </fill>
    <fill>
      <patternFill patternType="solid">
        <fgColor theme="2" tint="-0.749992370372631"/>
        <bgColor indexed="26"/>
      </patternFill>
    </fill>
    <fill>
      <patternFill patternType="solid">
        <fgColor theme="2" tint="-0.749992370372631"/>
        <bgColor indexed="31"/>
      </patternFill>
    </fill>
    <fill>
      <patternFill patternType="solid">
        <fgColor rgb="FFBFBFBF"/>
        <bgColor rgb="FFC0C0C0"/>
      </patternFill>
    </fill>
  </fills>
  <borders count="19">
    <border>
      <left/>
      <right/>
      <top/>
      <bottom/>
      <diagonal/>
    </border>
    <border>
      <left/>
      <right/>
      <top/>
      <bottom style="thin">
        <color indexed="8"/>
      </bottom>
      <diagonal/>
    </border>
    <border>
      <left style="hair">
        <color indexed="8"/>
      </left>
      <right/>
      <top style="hair">
        <color indexed="8"/>
      </top>
      <bottom/>
      <diagonal/>
    </border>
    <border>
      <left/>
      <right/>
      <top style="hair">
        <color indexed="8"/>
      </top>
      <bottom/>
      <diagonal/>
    </border>
    <border>
      <left/>
      <right style="hair">
        <color indexed="8"/>
      </right>
      <top style="hair">
        <color indexed="8"/>
      </top>
      <bottom/>
      <diagonal/>
    </border>
    <border>
      <left style="hair">
        <color indexed="8"/>
      </left>
      <right/>
      <top/>
      <bottom/>
      <diagonal/>
    </border>
    <border>
      <left/>
      <right style="hair">
        <color indexed="8"/>
      </right>
      <top/>
      <bottom/>
      <diagonal/>
    </border>
    <border>
      <left style="thin">
        <color indexed="8"/>
      </left>
      <right style="thin">
        <color indexed="8"/>
      </right>
      <top style="thin">
        <color indexed="8"/>
      </top>
      <bottom style="thin">
        <color indexed="8"/>
      </bottom>
      <diagonal/>
    </border>
    <border>
      <left style="thin">
        <color indexed="8"/>
      </left>
      <right style="thin">
        <color indexed="8"/>
      </right>
      <top style="thin">
        <color indexed="8"/>
      </top>
      <bottom/>
      <diagonal/>
    </border>
    <border>
      <left style="hair">
        <color indexed="8"/>
      </left>
      <right/>
      <top/>
      <bottom style="hair">
        <color indexed="8"/>
      </bottom>
      <diagonal/>
    </border>
    <border>
      <left/>
      <right/>
      <top/>
      <bottom style="hair">
        <color indexed="8"/>
      </bottom>
      <diagonal/>
    </border>
    <border>
      <left/>
      <right style="hair">
        <color indexed="8"/>
      </right>
      <top/>
      <bottom style="hair">
        <color indexed="8"/>
      </bottom>
      <diagonal/>
    </border>
    <border>
      <left/>
      <right/>
      <top style="thin">
        <color indexed="64"/>
      </top>
      <bottom/>
      <diagonal/>
    </border>
    <border>
      <left style="thin">
        <color indexed="64"/>
      </left>
      <right style="thin">
        <color indexed="64"/>
      </right>
      <top style="thin">
        <color indexed="64"/>
      </top>
      <bottom style="thin">
        <color indexed="64"/>
      </bottom>
      <diagonal/>
    </border>
    <border>
      <left/>
      <right style="thin">
        <color indexed="8"/>
      </right>
      <top style="thin">
        <color indexed="8"/>
      </top>
      <bottom style="thin">
        <color indexed="8"/>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s>
  <cellStyleXfs count="3">
    <xf numFmtId="0" fontId="0" fillId="0" borderId="0"/>
    <xf numFmtId="43" fontId="19" fillId="0" borderId="0" applyFont="0" applyFill="0" applyBorder="0" applyAlignment="0" applyProtection="0"/>
    <xf numFmtId="9" fontId="21" fillId="0" borderId="0" applyFill="0" applyBorder="0" applyAlignment="0" applyProtection="0"/>
  </cellStyleXfs>
  <cellXfs count="93">
    <xf numFmtId="0" fontId="0" fillId="0" borderId="0" xfId="0"/>
    <xf numFmtId="0" fontId="2" fillId="0" borderId="0" xfId="0" applyFont="1" applyAlignment="1" applyProtection="1">
      <alignment vertical="center"/>
      <protection hidden="1"/>
    </xf>
    <xf numFmtId="0" fontId="3" fillId="0" borderId="0" xfId="0" applyFont="1" applyAlignment="1" applyProtection="1">
      <alignment vertical="center"/>
      <protection hidden="1"/>
    </xf>
    <xf numFmtId="0" fontId="2" fillId="0" borderId="0" xfId="0" applyFont="1" applyAlignment="1" applyProtection="1">
      <alignment horizontal="left" vertical="center"/>
      <protection hidden="1"/>
    </xf>
    <xf numFmtId="0" fontId="4" fillId="0" borderId="0" xfId="0" applyFont="1" applyAlignment="1" applyProtection="1">
      <alignment horizontal="right" vertical="center"/>
      <protection hidden="1"/>
    </xf>
    <xf numFmtId="14" fontId="4" fillId="0" borderId="0" xfId="0" applyNumberFormat="1" applyFont="1" applyAlignment="1" applyProtection="1">
      <alignment horizontal="left" vertical="center"/>
      <protection hidden="1"/>
    </xf>
    <xf numFmtId="0" fontId="4" fillId="0" borderId="0" xfId="0" applyFont="1" applyAlignment="1" applyProtection="1">
      <alignment vertical="center"/>
      <protection hidden="1"/>
    </xf>
    <xf numFmtId="0" fontId="1" fillId="0" borderId="0" xfId="0" applyFont="1" applyAlignment="1" applyProtection="1">
      <alignment vertical="center"/>
      <protection hidden="1"/>
    </xf>
    <xf numFmtId="0" fontId="3" fillId="0" borderId="2" xfId="0" applyFont="1" applyBorder="1" applyAlignment="1" applyProtection="1">
      <alignment vertical="center"/>
      <protection hidden="1"/>
    </xf>
    <xf numFmtId="0" fontId="3" fillId="0" borderId="3" xfId="0" applyFont="1" applyBorder="1" applyAlignment="1" applyProtection="1">
      <alignment vertical="center"/>
      <protection hidden="1"/>
    </xf>
    <xf numFmtId="0" fontId="3" fillId="0" borderId="4" xfId="0" applyFont="1" applyBorder="1" applyAlignment="1" applyProtection="1">
      <alignment vertical="center"/>
      <protection hidden="1"/>
    </xf>
    <xf numFmtId="0" fontId="3" fillId="0" borderId="0" xfId="0" applyFont="1" applyAlignment="1" applyProtection="1">
      <alignment horizontal="right" vertical="center"/>
      <protection hidden="1"/>
    </xf>
    <xf numFmtId="0" fontId="3" fillId="0" borderId="5" xfId="0" applyFont="1" applyBorder="1" applyAlignment="1" applyProtection="1">
      <alignment vertical="center"/>
      <protection hidden="1"/>
    </xf>
    <xf numFmtId="0" fontId="6" fillId="3" borderId="0" xfId="0" applyFont="1" applyFill="1" applyAlignment="1" applyProtection="1">
      <alignment horizontal="left" vertical="center"/>
      <protection hidden="1"/>
    </xf>
    <xf numFmtId="0" fontId="3" fillId="0" borderId="6" xfId="0" applyFont="1" applyBorder="1" applyAlignment="1" applyProtection="1">
      <alignment vertical="center"/>
      <protection hidden="1"/>
    </xf>
    <xf numFmtId="49" fontId="5" fillId="0" borderId="0" xfId="0" applyNumberFormat="1" applyFont="1" applyAlignment="1" applyProtection="1">
      <alignment horizontal="left" vertical="center"/>
      <protection locked="0" hidden="1"/>
    </xf>
    <xf numFmtId="0" fontId="3" fillId="0" borderId="0" xfId="0" applyFont="1" applyAlignment="1" applyProtection="1">
      <alignment horizontal="left" vertical="center"/>
      <protection hidden="1"/>
    </xf>
    <xf numFmtId="0" fontId="7" fillId="0" borderId="0" xfId="0" applyFont="1" applyAlignment="1" applyProtection="1">
      <alignment vertical="center"/>
      <protection hidden="1"/>
    </xf>
    <xf numFmtId="0" fontId="8" fillId="0" borderId="0" xfId="0" applyFont="1"/>
    <xf numFmtId="0" fontId="8" fillId="0" borderId="0" xfId="0" applyFont="1" applyAlignment="1">
      <alignment horizontal="center"/>
    </xf>
    <xf numFmtId="0" fontId="9" fillId="0" borderId="0" xfId="0" applyFont="1" applyAlignment="1" applyProtection="1">
      <alignment horizontal="right" vertical="center"/>
      <protection hidden="1"/>
    </xf>
    <xf numFmtId="0" fontId="9" fillId="0" borderId="0" xfId="0" applyFont="1" applyAlignment="1" applyProtection="1">
      <alignment horizontal="left" vertical="center"/>
      <protection hidden="1"/>
    </xf>
    <xf numFmtId="0" fontId="10" fillId="0" borderId="0" xfId="0" applyFont="1" applyAlignment="1" applyProtection="1">
      <alignment vertical="center"/>
      <protection hidden="1"/>
    </xf>
    <xf numFmtId="0" fontId="11" fillId="0" borderId="0" xfId="0" applyFont="1" applyAlignment="1" applyProtection="1">
      <alignment horizontal="left" vertical="center"/>
      <protection hidden="1"/>
    </xf>
    <xf numFmtId="4" fontId="3" fillId="0" borderId="0" xfId="0" applyNumberFormat="1" applyFont="1" applyAlignment="1" applyProtection="1">
      <alignment vertical="center"/>
      <protection hidden="1"/>
    </xf>
    <xf numFmtId="4" fontId="5" fillId="2" borderId="7" xfId="0" applyNumberFormat="1" applyFont="1" applyFill="1" applyBorder="1" applyAlignment="1" applyProtection="1">
      <alignment horizontal="center" vertical="center"/>
      <protection locked="0" hidden="1"/>
    </xf>
    <xf numFmtId="0" fontId="1" fillId="4" borderId="8" xfId="0" applyFont="1" applyFill="1" applyBorder="1" applyAlignment="1" applyProtection="1">
      <alignment horizontal="center" vertical="center"/>
      <protection hidden="1"/>
    </xf>
    <xf numFmtId="0" fontId="12" fillId="0" borderId="0" xfId="0" applyFont="1" applyAlignment="1" applyProtection="1">
      <alignment vertical="center"/>
      <protection hidden="1"/>
    </xf>
    <xf numFmtId="0" fontId="3" fillId="0" borderId="7" xfId="0" applyFont="1" applyBorder="1" applyAlignment="1" applyProtection="1">
      <alignment vertical="center"/>
      <protection hidden="1"/>
    </xf>
    <xf numFmtId="0" fontId="11" fillId="0" borderId="7" xfId="0" applyFont="1" applyBorder="1" applyAlignment="1" applyProtection="1">
      <alignment vertical="center"/>
      <protection hidden="1"/>
    </xf>
    <xf numFmtId="0" fontId="12" fillId="0" borderId="0" xfId="0" applyFont="1" applyAlignment="1" applyProtection="1">
      <alignment horizontal="left" vertical="center"/>
      <protection hidden="1"/>
    </xf>
    <xf numFmtId="4" fontId="12" fillId="0" borderId="0" xfId="0" applyNumberFormat="1" applyFont="1" applyAlignment="1" applyProtection="1">
      <alignment horizontal="center" vertical="center"/>
      <protection hidden="1"/>
    </xf>
    <xf numFmtId="0" fontId="3" fillId="0" borderId="9" xfId="0" applyFont="1" applyBorder="1" applyAlignment="1" applyProtection="1">
      <alignment vertical="center"/>
      <protection hidden="1"/>
    </xf>
    <xf numFmtId="0" fontId="3" fillId="0" borderId="10" xfId="0" applyFont="1" applyBorder="1" applyAlignment="1" applyProtection="1">
      <alignment vertical="center"/>
      <protection hidden="1"/>
    </xf>
    <xf numFmtId="0" fontId="3" fillId="0" borderId="11" xfId="0" applyFont="1" applyBorder="1" applyAlignment="1" applyProtection="1">
      <alignment vertical="center"/>
      <protection hidden="1"/>
    </xf>
    <xf numFmtId="0" fontId="13" fillId="0" borderId="0" xfId="0" applyFont="1" applyAlignment="1" applyProtection="1">
      <alignment vertical="center"/>
      <protection hidden="1"/>
    </xf>
    <xf numFmtId="0" fontId="4" fillId="0" borderId="0" xfId="0" applyFont="1" applyAlignment="1" applyProtection="1">
      <alignment horizontal="left" vertical="center"/>
      <protection hidden="1"/>
    </xf>
    <xf numFmtId="0" fontId="16" fillId="6" borderId="0" xfId="0" applyFont="1" applyFill="1" applyAlignment="1" applyProtection="1">
      <alignment horizontal="right" vertical="center"/>
      <protection hidden="1"/>
    </xf>
    <xf numFmtId="0" fontId="11" fillId="0" borderId="0" xfId="0" applyFont="1" applyAlignment="1" applyProtection="1">
      <alignment vertical="center"/>
      <protection hidden="1"/>
    </xf>
    <xf numFmtId="2" fontId="11" fillId="0" borderId="0" xfId="0" applyNumberFormat="1" applyFont="1" applyAlignment="1" applyProtection="1">
      <alignment vertical="center"/>
      <protection hidden="1"/>
    </xf>
    <xf numFmtId="0" fontId="20" fillId="0" borderId="0" xfId="0" applyFont="1" applyAlignment="1" applyProtection="1">
      <alignment vertical="center"/>
      <protection hidden="1"/>
    </xf>
    <xf numFmtId="0" fontId="20" fillId="0" borderId="0" xfId="0" applyFont="1" applyAlignment="1" applyProtection="1">
      <alignment horizontal="right" vertical="center"/>
      <protection hidden="1"/>
    </xf>
    <xf numFmtId="0" fontId="23" fillId="0" borderId="0" xfId="0" applyFont="1" applyAlignment="1" applyProtection="1">
      <alignment vertical="center"/>
      <protection hidden="1"/>
    </xf>
    <xf numFmtId="0" fontId="24" fillId="7" borderId="13" xfId="0" applyFont="1" applyFill="1" applyBorder="1" applyAlignment="1" applyProtection="1">
      <alignment vertical="center"/>
      <protection hidden="1"/>
    </xf>
    <xf numFmtId="0" fontId="25" fillId="4" borderId="13" xfId="0" applyFont="1" applyFill="1" applyBorder="1" applyAlignment="1" applyProtection="1">
      <alignment vertical="center"/>
      <protection hidden="1"/>
    </xf>
    <xf numFmtId="0" fontId="26" fillId="4" borderId="13" xfId="0" applyFont="1" applyFill="1" applyBorder="1" applyAlignment="1" applyProtection="1">
      <alignment vertical="center"/>
      <protection hidden="1"/>
    </xf>
    <xf numFmtId="43" fontId="22" fillId="7" borderId="13" xfId="1" applyFont="1" applyFill="1" applyBorder="1" applyAlignment="1" applyProtection="1">
      <alignment vertical="center"/>
      <protection hidden="1"/>
    </xf>
    <xf numFmtId="43" fontId="11" fillId="7" borderId="13" xfId="1" applyFont="1" applyFill="1" applyBorder="1" applyAlignment="1" applyProtection="1">
      <alignment vertical="center"/>
      <protection hidden="1"/>
    </xf>
    <xf numFmtId="43" fontId="11" fillId="0" borderId="13" xfId="1" applyFont="1" applyBorder="1" applyAlignment="1" applyProtection="1">
      <alignment vertical="center"/>
      <protection hidden="1"/>
    </xf>
    <xf numFmtId="0" fontId="28" fillId="6" borderId="0" xfId="0" applyFont="1" applyFill="1" applyAlignment="1" applyProtection="1">
      <alignment vertical="center"/>
      <protection hidden="1"/>
    </xf>
    <xf numFmtId="0" fontId="16" fillId="6" borderId="0" xfId="0" applyFont="1" applyFill="1" applyAlignment="1" applyProtection="1">
      <alignment horizontal="left" vertical="center"/>
      <protection hidden="1"/>
    </xf>
    <xf numFmtId="2" fontId="11" fillId="0" borderId="0" xfId="2" applyNumberFormat="1" applyFont="1" applyFill="1" applyBorder="1" applyAlignment="1" applyProtection="1">
      <alignment vertical="center"/>
      <protection hidden="1"/>
    </xf>
    <xf numFmtId="10" fontId="11" fillId="0" borderId="0" xfId="2" applyNumberFormat="1" applyFont="1" applyFill="1" applyBorder="1" applyAlignment="1" applyProtection="1">
      <alignment vertical="center"/>
      <protection hidden="1"/>
    </xf>
    <xf numFmtId="9" fontId="11" fillId="0" borderId="0" xfId="2" applyFont="1" applyFill="1" applyBorder="1" applyAlignment="1" applyProtection="1">
      <alignment vertical="center"/>
      <protection hidden="1"/>
    </xf>
    <xf numFmtId="0" fontId="16" fillId="6" borderId="0" xfId="0" applyFont="1" applyFill="1" applyAlignment="1" applyProtection="1">
      <alignment horizontal="left" vertical="center" wrapText="1"/>
      <protection hidden="1"/>
    </xf>
    <xf numFmtId="0" fontId="16" fillId="6" borderId="0" xfId="0" applyFont="1" applyFill="1" applyAlignment="1" applyProtection="1">
      <alignment horizontal="center" vertical="center" wrapText="1"/>
      <protection hidden="1"/>
    </xf>
    <xf numFmtId="43" fontId="27" fillId="0" borderId="0" xfId="1" applyFont="1" applyFill="1" applyBorder="1" applyAlignment="1" applyProtection="1">
      <alignment vertical="center"/>
      <protection locked="0" hidden="1"/>
    </xf>
    <xf numFmtId="0" fontId="16" fillId="6" borderId="0" xfId="0" applyFont="1" applyFill="1" applyAlignment="1" applyProtection="1">
      <alignment vertical="center"/>
      <protection hidden="1"/>
    </xf>
    <xf numFmtId="0" fontId="14" fillId="4" borderId="8" xfId="0" applyFont="1" applyFill="1" applyBorder="1" applyAlignment="1" applyProtection="1">
      <alignment horizontal="center" vertical="center"/>
      <protection hidden="1"/>
    </xf>
    <xf numFmtId="43" fontId="29" fillId="0" borderId="0" xfId="1" applyFont="1" applyFill="1" applyBorder="1" applyAlignment="1" applyProtection="1">
      <alignment vertical="center"/>
      <protection locked="0" hidden="1"/>
    </xf>
    <xf numFmtId="0" fontId="30" fillId="4" borderId="8" xfId="0" applyFont="1" applyFill="1" applyBorder="1" applyAlignment="1" applyProtection="1">
      <alignment horizontal="center" vertical="center"/>
      <protection hidden="1"/>
    </xf>
    <xf numFmtId="0" fontId="15" fillId="0" borderId="7" xfId="0" applyFont="1" applyBorder="1" applyAlignment="1" applyProtection="1">
      <alignment horizontal="right" vertical="center"/>
      <protection hidden="1"/>
    </xf>
    <xf numFmtId="4" fontId="30" fillId="2" borderId="7" xfId="0" applyNumberFormat="1" applyFont="1" applyFill="1" applyBorder="1" applyAlignment="1" applyProtection="1">
      <alignment horizontal="center" vertical="center"/>
      <protection locked="0" hidden="1"/>
    </xf>
    <xf numFmtId="0" fontId="14" fillId="4" borderId="14" xfId="0" applyFont="1" applyFill="1" applyBorder="1" applyAlignment="1" applyProtection="1">
      <alignment vertical="center"/>
      <protection hidden="1"/>
    </xf>
    <xf numFmtId="4" fontId="30" fillId="4" borderId="7" xfId="0" applyNumberFormat="1" applyFont="1" applyFill="1" applyBorder="1" applyAlignment="1" applyProtection="1">
      <alignment horizontal="center" vertical="center"/>
      <protection hidden="1"/>
    </xf>
    <xf numFmtId="43" fontId="16" fillId="9" borderId="13" xfId="1" applyFont="1" applyFill="1" applyBorder="1" applyAlignment="1" applyProtection="1">
      <alignment horizontal="right" vertical="center"/>
      <protection hidden="1"/>
    </xf>
    <xf numFmtId="43" fontId="16" fillId="9" borderId="13" xfId="1" applyFont="1" applyFill="1" applyBorder="1" applyAlignment="1" applyProtection="1">
      <alignment vertical="center"/>
      <protection hidden="1"/>
    </xf>
    <xf numFmtId="43" fontId="17" fillId="9" borderId="13" xfId="1" applyFont="1" applyFill="1" applyBorder="1" applyAlignment="1" applyProtection="1">
      <alignment vertical="center"/>
      <protection hidden="1"/>
    </xf>
    <xf numFmtId="43" fontId="16" fillId="9" borderId="13" xfId="1" applyFont="1" applyFill="1" applyBorder="1" applyAlignment="1" applyProtection="1">
      <alignment horizontal="center" vertical="center" wrapText="1"/>
      <protection hidden="1"/>
    </xf>
    <xf numFmtId="0" fontId="17" fillId="10" borderId="8" xfId="0" applyFont="1" applyFill="1" applyBorder="1" applyAlignment="1" applyProtection="1">
      <alignment horizontal="left" vertical="center"/>
      <protection hidden="1"/>
    </xf>
    <xf numFmtId="0" fontId="14" fillId="5" borderId="15" xfId="0" applyFont="1" applyFill="1" applyBorder="1" applyAlignment="1" applyProtection="1">
      <alignment vertical="center"/>
      <protection locked="0" hidden="1"/>
    </xf>
    <xf numFmtId="44" fontId="14" fillId="5" borderId="16" xfId="0" applyNumberFormat="1" applyFont="1" applyFill="1" applyBorder="1" applyAlignment="1" applyProtection="1">
      <alignment vertical="center"/>
      <protection locked="0" hidden="1"/>
    </xf>
    <xf numFmtId="44" fontId="14" fillId="5" borderId="17" xfId="0" applyNumberFormat="1" applyFont="1" applyFill="1" applyBorder="1" applyAlignment="1" applyProtection="1">
      <alignment vertical="center"/>
      <protection locked="0" hidden="1"/>
    </xf>
    <xf numFmtId="164" fontId="16" fillId="9" borderId="13" xfId="1" applyNumberFormat="1" applyFont="1" applyFill="1" applyBorder="1" applyAlignment="1" applyProtection="1">
      <alignment horizontal="right" vertical="center"/>
      <protection hidden="1"/>
    </xf>
    <xf numFmtId="43" fontId="15" fillId="5" borderId="18" xfId="1" applyFont="1" applyFill="1" applyBorder="1" applyAlignment="1" applyProtection="1">
      <alignment horizontal="right" vertical="center"/>
      <protection locked="0" hidden="1"/>
    </xf>
    <xf numFmtId="0" fontId="3" fillId="0" borderId="13" xfId="0" applyFont="1" applyBorder="1" applyAlignment="1" applyProtection="1">
      <alignment vertical="center"/>
      <protection hidden="1"/>
    </xf>
    <xf numFmtId="0" fontId="17" fillId="10" borderId="0" xfId="0" applyFont="1" applyFill="1" applyAlignment="1" applyProtection="1">
      <alignment horizontal="left" vertical="center"/>
      <protection hidden="1"/>
    </xf>
    <xf numFmtId="0" fontId="14" fillId="0" borderId="12" xfId="0" applyFont="1" applyBorder="1" applyAlignment="1" applyProtection="1">
      <alignment horizontal="center"/>
      <protection hidden="1"/>
    </xf>
    <xf numFmtId="0" fontId="14" fillId="0" borderId="0" xfId="0" applyFont="1" applyAlignment="1" applyProtection="1">
      <alignment horizontal="center" vertical="center"/>
      <protection hidden="1"/>
    </xf>
    <xf numFmtId="0" fontId="17" fillId="6" borderId="0" xfId="0" applyFont="1" applyFill="1" applyAlignment="1" applyProtection="1">
      <alignment horizontal="center" vertical="center"/>
      <protection hidden="1"/>
    </xf>
    <xf numFmtId="0" fontId="17" fillId="6" borderId="1" xfId="0" applyFont="1" applyFill="1" applyBorder="1" applyAlignment="1" applyProtection="1">
      <alignment horizontal="center" vertical="center"/>
      <protection hidden="1"/>
    </xf>
    <xf numFmtId="49" fontId="14" fillId="5" borderId="15" xfId="0" applyNumberFormat="1" applyFont="1" applyFill="1" applyBorder="1" applyAlignment="1" applyProtection="1">
      <alignment horizontal="left" vertical="center"/>
      <protection locked="0" hidden="1"/>
    </xf>
    <xf numFmtId="49" fontId="14" fillId="5" borderId="16" xfId="0" applyNumberFormat="1" applyFont="1" applyFill="1" applyBorder="1" applyAlignment="1" applyProtection="1">
      <alignment horizontal="left" vertical="center"/>
      <protection locked="0" hidden="1"/>
    </xf>
    <xf numFmtId="49" fontId="14" fillId="5" borderId="17" xfId="0" applyNumberFormat="1" applyFont="1" applyFill="1" applyBorder="1" applyAlignment="1" applyProtection="1">
      <alignment horizontal="left" vertical="center"/>
      <protection locked="0" hidden="1"/>
    </xf>
    <xf numFmtId="0" fontId="18" fillId="8" borderId="0" xfId="0" applyFont="1" applyFill="1" applyAlignment="1" applyProtection="1">
      <alignment horizontal="left" vertical="center"/>
      <protection hidden="1"/>
    </xf>
    <xf numFmtId="49" fontId="31" fillId="11" borderId="13" xfId="0" applyNumberFormat="1" applyFont="1" applyFill="1" applyBorder="1" applyAlignment="1" applyProtection="1">
      <alignment horizontal="left" vertical="center"/>
      <protection locked="0" hidden="1"/>
    </xf>
    <xf numFmtId="0" fontId="6" fillId="3" borderId="0" xfId="0" applyFont="1" applyFill="1" applyAlignment="1" applyProtection="1">
      <alignment horizontal="left" vertical="center"/>
      <protection hidden="1"/>
    </xf>
    <xf numFmtId="0" fontId="14" fillId="5" borderId="15" xfId="1" applyNumberFormat="1" applyFont="1" applyFill="1" applyBorder="1" applyAlignment="1" applyProtection="1">
      <alignment horizontal="left" vertical="center"/>
      <protection locked="0" hidden="1"/>
    </xf>
    <xf numFmtId="43" fontId="14" fillId="5" borderId="16" xfId="1" applyFont="1" applyFill="1" applyBorder="1" applyAlignment="1" applyProtection="1">
      <alignment horizontal="left" vertical="center"/>
      <protection locked="0" hidden="1"/>
    </xf>
    <xf numFmtId="43" fontId="14" fillId="5" borderId="17" xfId="1" applyFont="1" applyFill="1" applyBorder="1" applyAlignment="1" applyProtection="1">
      <alignment horizontal="left" vertical="center"/>
      <protection locked="0" hidden="1"/>
    </xf>
    <xf numFmtId="49" fontId="17" fillId="9" borderId="15" xfId="0" applyNumberFormat="1" applyFont="1" applyFill="1" applyBorder="1" applyAlignment="1" applyProtection="1">
      <alignment horizontal="left" vertical="center"/>
      <protection hidden="1"/>
    </xf>
    <xf numFmtId="49" fontId="17" fillId="9" borderId="16" xfId="0" applyNumberFormat="1" applyFont="1" applyFill="1" applyBorder="1" applyAlignment="1" applyProtection="1">
      <alignment horizontal="left" vertical="center"/>
      <protection hidden="1"/>
    </xf>
    <xf numFmtId="49" fontId="17" fillId="9" borderId="17" xfId="0" applyNumberFormat="1" applyFont="1" applyFill="1" applyBorder="1" applyAlignment="1" applyProtection="1">
      <alignment horizontal="left" vertical="center"/>
      <protection hidden="1"/>
    </xf>
  </cellXfs>
  <cellStyles count="3">
    <cellStyle name="Normal" xfId="0" builtinId="0"/>
    <cellStyle name="Porcentagem 2" xfId="2" xr:uid="{00000000-0005-0000-0000-000001000000}"/>
    <cellStyle name="Vírgula" xfId="1" builtinId="3"/>
  </cellStyles>
  <dxfs count="7">
    <dxf>
      <font>
        <b val="0"/>
        <condense val="0"/>
        <extend val="0"/>
        <color indexed="9"/>
      </font>
      <fill>
        <patternFill patternType="none">
          <fgColor indexed="64"/>
          <bgColor indexed="65"/>
        </patternFill>
      </fill>
      <border>
        <left/>
        <right/>
        <top/>
        <bottom/>
      </border>
    </dxf>
    <dxf>
      <font>
        <b val="0"/>
        <condense val="0"/>
        <extend val="0"/>
        <color indexed="9"/>
      </font>
      <fill>
        <patternFill patternType="none">
          <fgColor indexed="64"/>
          <bgColor indexed="65"/>
        </patternFill>
      </fill>
      <border>
        <left/>
        <right/>
        <top/>
        <bottom/>
      </border>
    </dxf>
    <dxf>
      <font>
        <b val="0"/>
        <condense val="0"/>
        <extend val="0"/>
        <color indexed="9"/>
      </font>
      <fill>
        <patternFill patternType="none">
          <fgColor indexed="64"/>
          <bgColor indexed="65"/>
        </patternFill>
      </fill>
      <border>
        <left/>
        <right/>
        <top/>
        <bottom/>
      </border>
    </dxf>
    <dxf>
      <font>
        <b val="0"/>
        <condense val="0"/>
        <extend val="0"/>
        <color indexed="9"/>
      </font>
      <fill>
        <patternFill patternType="none">
          <fgColor indexed="64"/>
          <bgColor indexed="65"/>
        </patternFill>
      </fill>
      <border>
        <left/>
        <right/>
        <top/>
        <bottom/>
      </border>
    </dxf>
    <dxf>
      <font>
        <b val="0"/>
        <condense val="0"/>
        <extend val="0"/>
        <color indexed="9"/>
      </font>
      <fill>
        <patternFill patternType="none">
          <fgColor indexed="64"/>
          <bgColor indexed="65"/>
        </patternFill>
      </fill>
      <border>
        <left/>
        <right/>
        <top/>
        <bottom/>
      </border>
    </dxf>
    <dxf>
      <font>
        <b val="0"/>
        <condense val="0"/>
        <extend val="0"/>
        <color indexed="9"/>
      </font>
      <fill>
        <patternFill patternType="none">
          <fgColor indexed="64"/>
          <bgColor indexed="65"/>
        </patternFill>
      </fill>
      <border>
        <left/>
        <right/>
        <top/>
        <bottom/>
      </border>
    </dxf>
    <dxf>
      <font>
        <b val="0"/>
        <condense val="0"/>
        <extend val="0"/>
        <color indexed="9"/>
      </font>
      <fill>
        <patternFill patternType="none">
          <fgColor indexed="64"/>
          <bgColor indexed="65"/>
        </patternFill>
      </fill>
      <border>
        <left/>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11546</xdr:colOff>
      <xdr:row>0</xdr:row>
      <xdr:rowOff>188317</xdr:rowOff>
    </xdr:from>
    <xdr:ext cx="17883909" cy="504433"/>
    <xdr:sp macro="" textlink="">
      <xdr:nvSpPr>
        <xdr:cNvPr id="8" name="CaixaDeTexto 7">
          <a:extLst>
            <a:ext uri="{FF2B5EF4-FFF2-40B4-BE49-F238E27FC236}">
              <a16:creationId xmlns:a16="http://schemas.microsoft.com/office/drawing/2014/main" id="{6BC37571-84A5-E648-EBD9-E6AF58AA37D0}"/>
            </a:ext>
          </a:extLst>
        </xdr:cNvPr>
        <xdr:cNvSpPr txBox="1"/>
      </xdr:nvSpPr>
      <xdr:spPr>
        <a:xfrm>
          <a:off x="11546" y="188317"/>
          <a:ext cx="17883909" cy="50443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pt-BR" sz="2800" b="1">
              <a:latin typeface="Arial Narrow" panose="020B0606020202030204" pitchFamily="34" charset="0"/>
              <a:cs typeface="72 Black" panose="020B0A04030603020204" pitchFamily="34" charset="0"/>
            </a:rPr>
            <a:t>CÁLCULO</a:t>
          </a:r>
          <a:r>
            <a:rPr lang="pt-BR" sz="2800" b="1" baseline="0">
              <a:latin typeface="Arial Narrow" panose="020B0606020202030204" pitchFamily="34" charset="0"/>
              <a:cs typeface="72 Black" panose="020B0A04030603020204" pitchFamily="34" charset="0"/>
            </a:rPr>
            <a:t> DE PARTICIPAÇÃO FINANCEIRA (CPFC)</a:t>
          </a:r>
          <a:endParaRPr lang="pt-BR" sz="2800" b="1">
            <a:latin typeface="Arial Narrow" panose="020B0606020202030204" pitchFamily="34" charset="0"/>
            <a:cs typeface="72 Black" panose="020B0A04030603020204" pitchFamily="34" charset="0"/>
          </a:endParaRPr>
        </a:p>
      </xdr:txBody>
    </xdr:sp>
    <xdr:clientData/>
  </xdr:oneCellAnchor>
  <xdr:twoCellAnchor>
    <xdr:from>
      <xdr:col>21</xdr:col>
      <xdr:colOff>13982</xdr:colOff>
      <xdr:row>0</xdr:row>
      <xdr:rowOff>0</xdr:rowOff>
    </xdr:from>
    <xdr:to>
      <xdr:col>21</xdr:col>
      <xdr:colOff>2104037</xdr:colOff>
      <xdr:row>3</xdr:row>
      <xdr:rowOff>195181</xdr:rowOff>
    </xdr:to>
    <xdr:grpSp>
      <xdr:nvGrpSpPr>
        <xdr:cNvPr id="11" name="Agrupar 10">
          <a:extLst>
            <a:ext uri="{FF2B5EF4-FFF2-40B4-BE49-F238E27FC236}">
              <a16:creationId xmlns:a16="http://schemas.microsoft.com/office/drawing/2014/main" id="{117EA39C-2C73-CE0D-E5B6-8A7B8483D1A8}"/>
            </a:ext>
          </a:extLst>
        </xdr:cNvPr>
        <xdr:cNvGrpSpPr>
          <a:grpSpLocks noChangeAspect="1"/>
        </xdr:cNvGrpSpPr>
      </xdr:nvGrpSpPr>
      <xdr:grpSpPr>
        <a:xfrm>
          <a:off x="14023896" y="0"/>
          <a:ext cx="2090055" cy="957181"/>
          <a:chOff x="11771087" y="0"/>
          <a:chExt cx="2126342" cy="895691"/>
        </a:xfrm>
      </xdr:grpSpPr>
      <xdr:pic>
        <xdr:nvPicPr>
          <xdr:cNvPr id="6" name="Imagem 5">
            <a:extLst>
              <a:ext uri="{FF2B5EF4-FFF2-40B4-BE49-F238E27FC236}">
                <a16:creationId xmlns:a16="http://schemas.microsoft.com/office/drawing/2014/main" id="{3A145951-56B1-6C47-D990-A41606FAB3C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1910785" y="0"/>
            <a:ext cx="1968501" cy="745877"/>
          </a:xfrm>
          <a:prstGeom prst="rect">
            <a:avLst/>
          </a:prstGeom>
        </xdr:spPr>
      </xdr:pic>
      <xdr:sp macro="" textlink="">
        <xdr:nvSpPr>
          <xdr:cNvPr id="10" name="CaixaDeTexto 9">
            <a:extLst>
              <a:ext uri="{FF2B5EF4-FFF2-40B4-BE49-F238E27FC236}">
                <a16:creationId xmlns:a16="http://schemas.microsoft.com/office/drawing/2014/main" id="{21FA9B8E-1496-4C3D-B367-38450A1EC2C7}"/>
              </a:ext>
            </a:extLst>
          </xdr:cNvPr>
          <xdr:cNvSpPr txBox="1"/>
        </xdr:nvSpPr>
        <xdr:spPr>
          <a:xfrm>
            <a:off x="11771087" y="662212"/>
            <a:ext cx="2126342" cy="2334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pt-BR" sz="1100" b="1">
                <a:solidFill>
                  <a:schemeClr val="accent1">
                    <a:lumMod val="75000"/>
                  </a:schemeClr>
                </a:solidFill>
                <a:latin typeface="Arial Narrow" panose="020B0606020202030204" pitchFamily="34" charset="0"/>
                <a:cs typeface="72 Black" panose="020B0A04030603020204" pitchFamily="34" charset="0"/>
              </a:rPr>
              <a:t>REN ANEEL 1.059 - 01/07/2023</a:t>
            </a:r>
          </a:p>
        </xdr:txBody>
      </xdr:sp>
    </xdr:grpSp>
    <xdr:clientData/>
  </xdr:twoCellAnchor>
  <xdr:twoCellAnchor>
    <xdr:from>
      <xdr:col>1</xdr:col>
      <xdr:colOff>925285</xdr:colOff>
      <xdr:row>0</xdr:row>
      <xdr:rowOff>104055</xdr:rowOff>
    </xdr:from>
    <xdr:to>
      <xdr:col>2</xdr:col>
      <xdr:colOff>1296148</xdr:colOff>
      <xdr:row>3</xdr:row>
      <xdr:rowOff>137673</xdr:rowOff>
    </xdr:to>
    <xdr:grpSp>
      <xdr:nvGrpSpPr>
        <xdr:cNvPr id="13" name="Agrupar 12">
          <a:extLst>
            <a:ext uri="{FF2B5EF4-FFF2-40B4-BE49-F238E27FC236}">
              <a16:creationId xmlns:a16="http://schemas.microsoft.com/office/drawing/2014/main" id="{96C972EA-6A3C-AA5B-7836-6642C82C7C1F}"/>
            </a:ext>
          </a:extLst>
        </xdr:cNvPr>
        <xdr:cNvGrpSpPr>
          <a:grpSpLocks noChangeAspect="1"/>
        </xdr:cNvGrpSpPr>
      </xdr:nvGrpSpPr>
      <xdr:grpSpPr>
        <a:xfrm>
          <a:off x="1088571" y="104055"/>
          <a:ext cx="2199663" cy="795618"/>
          <a:chOff x="81642" y="63500"/>
          <a:chExt cx="2126342" cy="753100"/>
        </a:xfrm>
      </xdr:grpSpPr>
      <xdr:pic>
        <xdr:nvPicPr>
          <xdr:cNvPr id="4" name="Imagem 3">
            <a:extLst>
              <a:ext uri="{FF2B5EF4-FFF2-40B4-BE49-F238E27FC236}">
                <a16:creationId xmlns:a16="http://schemas.microsoft.com/office/drawing/2014/main" id="{BFC8548D-6720-3BFB-462A-B50C6FCFFEEC}"/>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453573" y="63500"/>
            <a:ext cx="1387928" cy="499871"/>
          </a:xfrm>
          <a:prstGeom prst="rect">
            <a:avLst/>
          </a:prstGeom>
        </xdr:spPr>
      </xdr:pic>
      <xdr:sp macro="" textlink="">
        <xdr:nvSpPr>
          <xdr:cNvPr id="12" name="CaixaDeTexto 11">
            <a:extLst>
              <a:ext uri="{FF2B5EF4-FFF2-40B4-BE49-F238E27FC236}">
                <a16:creationId xmlns:a16="http://schemas.microsoft.com/office/drawing/2014/main" id="{66CF1048-7CD0-461B-900C-805EBD5540A4}"/>
              </a:ext>
            </a:extLst>
          </xdr:cNvPr>
          <xdr:cNvSpPr txBox="1"/>
        </xdr:nvSpPr>
        <xdr:spPr>
          <a:xfrm>
            <a:off x="81642" y="562428"/>
            <a:ext cx="2126342" cy="2541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pt-BR" sz="1100" b="1">
                <a:solidFill>
                  <a:schemeClr val="tx1">
                    <a:lumMod val="75000"/>
                    <a:lumOff val="25000"/>
                  </a:schemeClr>
                </a:solidFill>
                <a:latin typeface="Arial Narrow" panose="020B0606020202030204" pitchFamily="34" charset="0"/>
                <a:cs typeface="72 Black" panose="020B0A04030603020204" pitchFamily="34" charset="0"/>
              </a:rPr>
              <a:t>Distribuição Rio - MV Works</a:t>
            </a:r>
          </a:p>
        </xdr:txBody>
      </xdr:sp>
    </xdr:grpSp>
    <xdr:clientData/>
  </xdr:twoCellAnchor>
  <xdr:oneCellAnchor>
    <xdr:from>
      <xdr:col>1</xdr:col>
      <xdr:colOff>80683</xdr:colOff>
      <xdr:row>49</xdr:row>
      <xdr:rowOff>40715</xdr:rowOff>
    </xdr:from>
    <xdr:ext cx="4170082" cy="1871755"/>
    <mc:AlternateContent xmlns:mc="http://schemas.openxmlformats.org/markup-compatibility/2006" xmlns:a14="http://schemas.microsoft.com/office/drawing/2010/main">
      <mc:Choice Requires="a14">
        <xdr:sp macro="" textlink="">
          <xdr:nvSpPr>
            <xdr:cNvPr id="3" name="CaixaDeTexto 2">
              <a:extLst>
                <a:ext uri="{FF2B5EF4-FFF2-40B4-BE49-F238E27FC236}">
                  <a16:creationId xmlns:a16="http://schemas.microsoft.com/office/drawing/2014/main" id="{A3D006C2-8A72-927B-DF84-83F969CD660A}"/>
                </a:ext>
              </a:extLst>
            </xdr:cNvPr>
            <xdr:cNvSpPr txBox="1"/>
          </xdr:nvSpPr>
          <xdr:spPr>
            <a:xfrm>
              <a:off x="237565" y="9147362"/>
              <a:ext cx="4170082" cy="18717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r>
                <a:rPr lang="pt-BR" sz="1100" b="1" i="0"/>
                <a:t>Modelo matemático Resoulção 1.000</a:t>
              </a:r>
              <a:r>
                <a:rPr lang="pt-BR" sz="1100" b="0" i="0"/>
                <a:t>:</a:t>
              </a:r>
            </a:p>
            <a:p>
              <a:r>
                <a:rPr lang="pt-BR" sz="1100" b="0" i="0"/>
                <a:t> </a:t>
              </a:r>
              <a14:m>
                <m:oMath xmlns:m="http://schemas.openxmlformats.org/officeDocument/2006/math">
                  <m:r>
                    <m:rPr>
                      <m:sty m:val="p"/>
                    </m:rPr>
                    <a:rPr lang="pt-BR" sz="1100" b="0" i="0">
                      <a:latin typeface="Cambria Math" panose="02040503050406030204" pitchFamily="18" charset="0"/>
                    </a:rPr>
                    <m:t>K</m:t>
                  </m:r>
                  <m:r>
                    <a:rPr lang="pt-BR" sz="1100" b="0" i="0">
                      <a:latin typeface="Cambria Math" panose="02040503050406030204" pitchFamily="18" charset="0"/>
                    </a:rPr>
                    <m:t>=12 ×</m:t>
                  </m:r>
                  <m:d>
                    <m:dPr>
                      <m:ctrlPr>
                        <a:rPr lang="pt-BR" sz="1100" b="0" i="0">
                          <a:latin typeface="Cambria Math" panose="02040503050406030204" pitchFamily="18" charset="0"/>
                          <a:ea typeface="Cambria Math" panose="02040503050406030204" pitchFamily="18" charset="0"/>
                        </a:rPr>
                      </m:ctrlPr>
                    </m:dPr>
                    <m:e>
                      <m:r>
                        <m:rPr>
                          <m:sty m:val="p"/>
                        </m:rPr>
                        <a:rPr lang="pt-BR" sz="1100" b="0" i="0">
                          <a:latin typeface="Cambria Math" panose="02040503050406030204" pitchFamily="18" charset="0"/>
                          <a:ea typeface="Cambria Math" panose="02040503050406030204" pitchFamily="18" charset="0"/>
                        </a:rPr>
                        <m:t>TUSD</m:t>
                      </m:r>
                      <m:r>
                        <a:rPr lang="pt-BR" sz="1100" b="0" i="0">
                          <a:latin typeface="Cambria Math" panose="02040503050406030204" pitchFamily="18" charset="0"/>
                          <a:ea typeface="Cambria Math" panose="02040503050406030204" pitchFamily="18" charset="0"/>
                        </a:rPr>
                        <m:t> </m:t>
                      </m:r>
                      <m:r>
                        <m:rPr>
                          <m:sty m:val="p"/>
                        </m:rPr>
                        <a:rPr lang="pt-BR" sz="1100" b="0" i="0">
                          <a:latin typeface="Cambria Math" panose="02040503050406030204" pitchFamily="18" charset="0"/>
                          <a:ea typeface="Cambria Math" panose="02040503050406030204" pitchFamily="18" charset="0"/>
                        </a:rPr>
                        <m:t>Fio</m:t>
                      </m:r>
                      <m:r>
                        <a:rPr lang="pt-BR" sz="1100" b="0" i="0">
                          <a:latin typeface="Cambria Math" panose="02040503050406030204" pitchFamily="18" charset="0"/>
                          <a:ea typeface="Cambria Math" panose="02040503050406030204" pitchFamily="18" charset="0"/>
                        </a:rPr>
                        <m:t> </m:t>
                      </m:r>
                      <m:sSub>
                        <m:sSubPr>
                          <m:ctrlPr>
                            <a:rPr lang="pt-BR" sz="1100" b="0" i="0">
                              <a:latin typeface="Cambria Math" panose="02040503050406030204" pitchFamily="18" charset="0"/>
                              <a:ea typeface="Cambria Math" panose="02040503050406030204" pitchFamily="18" charset="0"/>
                            </a:rPr>
                          </m:ctrlPr>
                        </m:sSubPr>
                        <m:e>
                          <m:r>
                            <m:rPr>
                              <m:sty m:val="p"/>
                            </m:rPr>
                            <a:rPr lang="pt-BR" sz="1100" b="0" i="0">
                              <a:latin typeface="Cambria Math" panose="02040503050406030204" pitchFamily="18" charset="0"/>
                              <a:ea typeface="Cambria Math" panose="02040503050406030204" pitchFamily="18" charset="0"/>
                            </a:rPr>
                            <m:t>B</m:t>
                          </m:r>
                        </m:e>
                        <m:sub>
                          <m:r>
                            <m:rPr>
                              <m:sty m:val="p"/>
                            </m:rPr>
                            <a:rPr lang="pt-BR" sz="1100" b="0" i="0">
                              <a:latin typeface="Cambria Math" panose="02040503050406030204" pitchFamily="18" charset="0"/>
                              <a:ea typeface="Cambria Math" panose="02040503050406030204" pitchFamily="18" charset="0"/>
                            </a:rPr>
                            <m:t>fp</m:t>
                          </m:r>
                        </m:sub>
                      </m:sSub>
                    </m:e>
                  </m:d>
                  <m:r>
                    <a:rPr lang="pt-BR" sz="1100" b="0" i="0">
                      <a:latin typeface="Cambria Math" panose="02040503050406030204" pitchFamily="18" charset="0"/>
                      <a:ea typeface="Cambria Math" panose="02040503050406030204" pitchFamily="18" charset="0"/>
                    </a:rPr>
                    <m:t>×</m:t>
                  </m:r>
                  <m:d>
                    <m:dPr>
                      <m:ctrlPr>
                        <a:rPr lang="pt-BR" sz="1100" b="0" i="0">
                          <a:latin typeface="Cambria Math" panose="02040503050406030204" pitchFamily="18" charset="0"/>
                          <a:ea typeface="Cambria Math" panose="02040503050406030204" pitchFamily="18" charset="0"/>
                        </a:rPr>
                      </m:ctrlPr>
                    </m:dPr>
                    <m:e>
                      <m:r>
                        <a:rPr lang="pt-BR" sz="1100" b="0" i="0">
                          <a:latin typeface="Cambria Math" panose="02040503050406030204" pitchFamily="18" charset="0"/>
                          <a:ea typeface="Cambria Math" panose="02040503050406030204" pitchFamily="18" charset="0"/>
                        </a:rPr>
                        <m:t>1−</m:t>
                      </m:r>
                      <m:r>
                        <m:rPr>
                          <m:sty m:val="p"/>
                        </m:rPr>
                        <a:rPr lang="pt-BR" sz="1100" b="0" i="0">
                          <a:latin typeface="Cambria Math" panose="02040503050406030204" pitchFamily="18" charset="0"/>
                          <a:ea typeface="Cambria Math" panose="02040503050406030204" pitchFamily="18" charset="0"/>
                        </a:rPr>
                        <m:t>α</m:t>
                      </m:r>
                    </m:e>
                  </m:d>
                  <m:r>
                    <a:rPr lang="pt-BR" sz="1100" b="0" i="0">
                      <a:latin typeface="Cambria Math" panose="02040503050406030204" pitchFamily="18" charset="0"/>
                      <a:ea typeface="Cambria Math" panose="02040503050406030204" pitchFamily="18" charset="0"/>
                    </a:rPr>
                    <m:t>×</m:t>
                  </m:r>
                  <m:f>
                    <m:fPr>
                      <m:ctrlPr>
                        <a:rPr lang="pt-BR" sz="1100" b="0" i="0">
                          <a:latin typeface="Cambria Math" panose="02040503050406030204" pitchFamily="18" charset="0"/>
                          <a:ea typeface="Cambria Math" panose="02040503050406030204" pitchFamily="18" charset="0"/>
                        </a:rPr>
                      </m:ctrlPr>
                    </m:fPr>
                    <m:num>
                      <m:r>
                        <a:rPr lang="pt-BR" sz="1100" b="0" i="0">
                          <a:latin typeface="Cambria Math" panose="02040503050406030204" pitchFamily="18" charset="0"/>
                          <a:ea typeface="Cambria Math" panose="02040503050406030204" pitchFamily="18" charset="0"/>
                        </a:rPr>
                        <m:t>1</m:t>
                      </m:r>
                    </m:num>
                    <m:den>
                      <m:r>
                        <m:rPr>
                          <m:sty m:val="p"/>
                        </m:rPr>
                        <a:rPr lang="pt-BR" sz="1100" b="0" i="0">
                          <a:latin typeface="Cambria Math" panose="02040503050406030204" pitchFamily="18" charset="0"/>
                          <a:ea typeface="Cambria Math" panose="02040503050406030204" pitchFamily="18" charset="0"/>
                        </a:rPr>
                        <m:t>FRC</m:t>
                      </m:r>
                    </m:den>
                  </m:f>
                </m:oMath>
              </a14:m>
              <a:endParaRPr lang="pt-BR" sz="1100" b="0" i="0">
                <a:ea typeface="Cambria Math" panose="02040503050406030204" pitchFamily="18" charset="0"/>
              </a:endParaRPr>
            </a:p>
            <a:p>
              <a:endParaRPr lang="pt-BR" sz="1100" b="1" i="1">
                <a:solidFill>
                  <a:schemeClr val="tx1"/>
                </a:solidFill>
                <a:effectLst/>
                <a:latin typeface="+mn-lt"/>
                <a:ea typeface="+mn-ea"/>
                <a:cs typeface="+mn-cs"/>
              </a:endParaRPr>
            </a:p>
            <a:p>
              <a:pPr algn="ctr"/>
              <a:r>
                <a:rPr lang="pt-BR" sz="1100" b="1" i="1">
                  <a:solidFill>
                    <a:schemeClr val="tx1"/>
                  </a:solidFill>
                  <a:effectLst/>
                  <a:latin typeface="+mn-lt"/>
                  <a:ea typeface="+mn-ea"/>
                  <a:cs typeface="+mn-cs"/>
                </a:rPr>
                <a:t>Dados</a:t>
              </a:r>
              <a:endParaRPr lang="pt-BR">
                <a:effectLst/>
              </a:endParaRPr>
            </a:p>
            <a:p>
              <a14:m>
                <m:oMath xmlns:m="http://schemas.openxmlformats.org/officeDocument/2006/math">
                  <m:r>
                    <a:rPr lang="pt-BR" sz="1100" b="1" i="1">
                      <a:solidFill>
                        <a:schemeClr val="tx1"/>
                      </a:solidFill>
                      <a:effectLst/>
                      <a:latin typeface="Cambria Math" panose="02040503050406030204" pitchFamily="18" charset="0"/>
                      <a:ea typeface="+mn-ea"/>
                      <a:cs typeface="+mn-cs"/>
                    </a:rPr>
                    <m:t>𝑻𝑼𝑺𝑫</m:t>
                  </m:r>
                  <m:r>
                    <a:rPr lang="pt-BR" sz="1100" b="1" i="1">
                      <a:solidFill>
                        <a:schemeClr val="tx1"/>
                      </a:solidFill>
                      <a:effectLst/>
                      <a:latin typeface="Cambria Math" panose="02040503050406030204" pitchFamily="18" charset="0"/>
                      <a:ea typeface="+mn-ea"/>
                      <a:cs typeface="+mn-cs"/>
                    </a:rPr>
                    <m:t> </m:t>
                  </m:r>
                  <m:r>
                    <a:rPr lang="pt-BR" sz="1100" b="1" i="1">
                      <a:solidFill>
                        <a:schemeClr val="tx1"/>
                      </a:solidFill>
                      <a:effectLst/>
                      <a:latin typeface="Cambria Math" panose="02040503050406030204" pitchFamily="18" charset="0"/>
                      <a:ea typeface="+mn-ea"/>
                      <a:cs typeface="+mn-cs"/>
                    </a:rPr>
                    <m:t>𝑭𝒊𝒐</m:t>
                  </m:r>
                  <m:r>
                    <a:rPr lang="pt-BR" sz="1100" b="1" i="1">
                      <a:solidFill>
                        <a:schemeClr val="tx1"/>
                      </a:solidFill>
                      <a:effectLst/>
                      <a:latin typeface="Cambria Math" panose="02040503050406030204" pitchFamily="18" charset="0"/>
                      <a:ea typeface="+mn-ea"/>
                      <a:cs typeface="+mn-cs"/>
                    </a:rPr>
                    <m:t> </m:t>
                  </m:r>
                  <m:sSub>
                    <m:sSubPr>
                      <m:ctrlPr>
                        <a:rPr lang="pt-BR" sz="1100" b="1" i="1">
                          <a:solidFill>
                            <a:schemeClr val="tx1"/>
                          </a:solidFill>
                          <a:effectLst/>
                          <a:latin typeface="Cambria Math" panose="02040503050406030204" pitchFamily="18" charset="0"/>
                          <a:ea typeface="+mn-ea"/>
                          <a:cs typeface="+mn-cs"/>
                        </a:rPr>
                      </m:ctrlPr>
                    </m:sSubPr>
                    <m:e>
                      <m:r>
                        <a:rPr lang="pt-BR" sz="1100" b="1" i="1">
                          <a:solidFill>
                            <a:schemeClr val="tx1"/>
                          </a:solidFill>
                          <a:effectLst/>
                          <a:latin typeface="Cambria Math" panose="02040503050406030204" pitchFamily="18" charset="0"/>
                          <a:ea typeface="+mn-ea"/>
                          <a:cs typeface="+mn-cs"/>
                        </a:rPr>
                        <m:t>𝑩</m:t>
                      </m:r>
                    </m:e>
                    <m:sub>
                      <m:r>
                        <a:rPr lang="pt-BR" sz="1100" b="1" i="1">
                          <a:solidFill>
                            <a:schemeClr val="tx1"/>
                          </a:solidFill>
                          <a:effectLst/>
                          <a:latin typeface="Cambria Math" panose="02040503050406030204" pitchFamily="18" charset="0"/>
                          <a:ea typeface="+mn-ea"/>
                          <a:cs typeface="+mn-cs"/>
                        </a:rPr>
                        <m:t>𝒇𝒑</m:t>
                      </m:r>
                    </m:sub>
                  </m:sSub>
                </m:oMath>
              </a14:m>
              <a:r>
                <a:rPr lang="pt-BR" sz="1100" b="1">
                  <a:solidFill>
                    <a:schemeClr val="tx1"/>
                  </a:solidFill>
                  <a:effectLst/>
                  <a:latin typeface="+mn-lt"/>
                  <a:ea typeface="+mn-ea"/>
                  <a:cs typeface="+mn-cs"/>
                </a:rPr>
                <a:t> </a:t>
              </a:r>
              <a:r>
                <a:rPr lang="pt-BR" sz="1100">
                  <a:solidFill>
                    <a:schemeClr val="tx1"/>
                  </a:solidFill>
                  <a:effectLst/>
                  <a:latin typeface="+mn-lt"/>
                  <a:ea typeface="+mn-ea"/>
                  <a:cs typeface="+mn-cs"/>
                </a:rPr>
                <a:t>-</a:t>
              </a:r>
              <a:r>
                <a:rPr lang="pt-BR" sz="1100" baseline="0">
                  <a:solidFill>
                    <a:schemeClr val="tx1"/>
                  </a:solidFill>
                  <a:effectLst/>
                  <a:latin typeface="+mn-lt"/>
                  <a:ea typeface="+mn-ea"/>
                  <a:cs typeface="+mn-cs"/>
                </a:rPr>
                <a:t> Parcela da TUSD no posto tarifário fora de ponta</a:t>
              </a:r>
            </a:p>
            <a:p>
              <a:endParaRPr lang="pt-BR">
                <a:effectLst/>
              </a:endParaRPr>
            </a:p>
            <a:p>
              <a14:m>
                <m:oMath xmlns:m="http://schemas.openxmlformats.org/officeDocument/2006/math">
                  <m:r>
                    <a:rPr lang="pt-BR" sz="1100" b="1" i="1">
                      <a:solidFill>
                        <a:schemeClr val="tx1"/>
                      </a:solidFill>
                      <a:effectLst/>
                      <a:latin typeface="Cambria Math" panose="02040503050406030204" pitchFamily="18" charset="0"/>
                      <a:ea typeface="+mn-ea"/>
                      <a:cs typeface="+mn-cs"/>
                    </a:rPr>
                    <m:t>𝜶</m:t>
                  </m:r>
                </m:oMath>
              </a14:m>
              <a:r>
                <a:rPr lang="pt-BR" sz="1100" b="1">
                  <a:solidFill>
                    <a:schemeClr val="tx1"/>
                  </a:solidFill>
                  <a:effectLst/>
                  <a:latin typeface="+mn-lt"/>
                  <a:ea typeface="+mn-ea"/>
                  <a:cs typeface="+mn-cs"/>
                </a:rPr>
                <a:t> </a:t>
              </a:r>
              <a:r>
                <a:rPr lang="pt-BR" sz="1100">
                  <a:solidFill>
                    <a:schemeClr val="tx1"/>
                  </a:solidFill>
                  <a:effectLst/>
                  <a:latin typeface="+mn-lt"/>
                  <a:ea typeface="+mn-ea"/>
                  <a:cs typeface="+mn-cs"/>
                </a:rPr>
                <a:t>-  Relação entre os custos de operação e manutenção</a:t>
              </a:r>
              <a:r>
                <a:rPr lang="pt-BR" sz="1100" baseline="0">
                  <a:solidFill>
                    <a:schemeClr val="tx1"/>
                  </a:solidFill>
                  <a:effectLst/>
                  <a:latin typeface="+mn-lt"/>
                  <a:ea typeface="+mn-ea"/>
                  <a:cs typeface="+mn-cs"/>
                </a:rPr>
                <a:t> do serviço de distribuição</a:t>
              </a:r>
            </a:p>
            <a:p>
              <a:endParaRPr lang="pt-BR">
                <a:effectLst/>
              </a:endParaRPr>
            </a:p>
            <a:p>
              <a14:m>
                <m:oMath xmlns:m="http://schemas.openxmlformats.org/officeDocument/2006/math">
                  <m:r>
                    <a:rPr lang="pt-BR" sz="1100" b="1" i="1">
                      <a:solidFill>
                        <a:schemeClr val="tx1"/>
                      </a:solidFill>
                      <a:effectLst/>
                      <a:latin typeface="Cambria Math" panose="02040503050406030204" pitchFamily="18" charset="0"/>
                      <a:ea typeface="+mn-ea"/>
                      <a:cs typeface="+mn-cs"/>
                    </a:rPr>
                    <m:t>𝑭𝑹𝑪</m:t>
                  </m:r>
                  <m:r>
                    <a:rPr lang="pt-BR" sz="1100" b="1" i="1">
                      <a:solidFill>
                        <a:schemeClr val="tx1"/>
                      </a:solidFill>
                      <a:effectLst/>
                      <a:latin typeface="Cambria Math" panose="02040503050406030204" pitchFamily="18" charset="0"/>
                      <a:ea typeface="+mn-ea"/>
                      <a:cs typeface="+mn-cs"/>
                    </a:rPr>
                    <m:t> </m:t>
                  </m:r>
                </m:oMath>
              </a14:m>
              <a:r>
                <a:rPr lang="pt-BR" sz="1100" b="1">
                  <a:solidFill>
                    <a:schemeClr val="tx1"/>
                  </a:solidFill>
                  <a:effectLst/>
                  <a:latin typeface="+mn-lt"/>
                  <a:ea typeface="+mn-ea"/>
                  <a:cs typeface="+mn-cs"/>
                </a:rPr>
                <a:t>- </a:t>
              </a:r>
              <a:r>
                <a:rPr lang="pt-BR" sz="1100" b="0">
                  <a:solidFill>
                    <a:schemeClr val="tx1"/>
                  </a:solidFill>
                  <a:effectLst/>
                  <a:latin typeface="+mn-lt"/>
                  <a:ea typeface="+mn-ea"/>
                  <a:cs typeface="+mn-cs"/>
                </a:rPr>
                <a:t>Fator de recuperação</a:t>
              </a:r>
              <a:r>
                <a:rPr lang="pt-BR" sz="1100" b="1">
                  <a:solidFill>
                    <a:schemeClr val="tx1"/>
                  </a:solidFill>
                  <a:effectLst/>
                  <a:latin typeface="+mn-lt"/>
                  <a:ea typeface="+mn-ea"/>
                  <a:cs typeface="+mn-cs"/>
                </a:rPr>
                <a:t> </a:t>
              </a:r>
              <a:endParaRPr lang="pt-BR">
                <a:effectLst/>
              </a:endParaRPr>
            </a:p>
            <a:p>
              <a:endParaRPr lang="pt-BR" sz="1100" b="0" i="0">
                <a:ea typeface="Cambria Math" panose="02040503050406030204" pitchFamily="18" charset="0"/>
              </a:endParaRPr>
            </a:p>
            <a:p>
              <a:endParaRPr lang="pt-BR" sz="1100" i="0"/>
            </a:p>
          </xdr:txBody>
        </xdr:sp>
      </mc:Choice>
      <mc:Fallback xmlns="">
        <xdr:sp macro="" textlink="">
          <xdr:nvSpPr>
            <xdr:cNvPr id="3" name="CaixaDeTexto 2">
              <a:extLst>
                <a:ext uri="{FF2B5EF4-FFF2-40B4-BE49-F238E27FC236}">
                  <a16:creationId xmlns:a16="http://schemas.microsoft.com/office/drawing/2014/main" id="{A3D006C2-8A72-927B-DF84-83F969CD660A}"/>
                </a:ext>
              </a:extLst>
            </xdr:cNvPr>
            <xdr:cNvSpPr txBox="1"/>
          </xdr:nvSpPr>
          <xdr:spPr>
            <a:xfrm>
              <a:off x="237565" y="9147362"/>
              <a:ext cx="4170082" cy="18717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r>
                <a:rPr lang="pt-BR" sz="1100" b="1" i="0"/>
                <a:t>Modelo matemático Resoulção 1.000</a:t>
              </a:r>
              <a:r>
                <a:rPr lang="pt-BR" sz="1100" b="0" i="0"/>
                <a:t>:</a:t>
              </a:r>
            </a:p>
            <a:p>
              <a:r>
                <a:rPr lang="pt-BR" sz="1100" b="0" i="0"/>
                <a:t> </a:t>
              </a:r>
              <a:r>
                <a:rPr lang="pt-BR" sz="1100" b="0" i="0">
                  <a:latin typeface="Cambria Math" panose="02040503050406030204" pitchFamily="18" charset="0"/>
                </a:rPr>
                <a:t>K=12 </a:t>
              </a:r>
              <a:r>
                <a:rPr lang="pt-BR" sz="1100" b="0" i="0">
                  <a:latin typeface="Cambria Math" panose="02040503050406030204" pitchFamily="18" charset="0"/>
                  <a:ea typeface="Cambria Math" panose="02040503050406030204" pitchFamily="18" charset="0"/>
                </a:rPr>
                <a:t>×(TUSD Fio B_fp )×(1−α)×1/FRC</a:t>
              </a:r>
              <a:endParaRPr lang="pt-BR" sz="1100" b="0" i="0">
                <a:ea typeface="Cambria Math" panose="02040503050406030204" pitchFamily="18" charset="0"/>
              </a:endParaRPr>
            </a:p>
            <a:p>
              <a:endParaRPr lang="pt-BR" sz="1100" b="1" i="1">
                <a:solidFill>
                  <a:schemeClr val="tx1"/>
                </a:solidFill>
                <a:effectLst/>
                <a:latin typeface="+mn-lt"/>
                <a:ea typeface="+mn-ea"/>
                <a:cs typeface="+mn-cs"/>
              </a:endParaRPr>
            </a:p>
            <a:p>
              <a:pPr algn="ctr"/>
              <a:r>
                <a:rPr lang="pt-BR" sz="1100" b="1" i="1">
                  <a:solidFill>
                    <a:schemeClr val="tx1"/>
                  </a:solidFill>
                  <a:effectLst/>
                  <a:latin typeface="+mn-lt"/>
                  <a:ea typeface="+mn-ea"/>
                  <a:cs typeface="+mn-cs"/>
                </a:rPr>
                <a:t>Dados</a:t>
              </a:r>
              <a:endParaRPr lang="pt-BR">
                <a:effectLst/>
              </a:endParaRPr>
            </a:p>
            <a:p>
              <a:r>
                <a:rPr lang="pt-BR" sz="1100" b="1" i="0">
                  <a:solidFill>
                    <a:schemeClr val="tx1"/>
                  </a:solidFill>
                  <a:effectLst/>
                  <a:latin typeface="+mn-lt"/>
                  <a:ea typeface="+mn-ea"/>
                  <a:cs typeface="+mn-cs"/>
                </a:rPr>
                <a:t>𝑻𝑼𝑺𝑫 𝑭𝒊𝒐 𝑩_𝒇𝒑</a:t>
              </a:r>
              <a:r>
                <a:rPr lang="pt-BR" sz="1100" b="1">
                  <a:solidFill>
                    <a:schemeClr val="tx1"/>
                  </a:solidFill>
                  <a:effectLst/>
                  <a:latin typeface="+mn-lt"/>
                  <a:ea typeface="+mn-ea"/>
                  <a:cs typeface="+mn-cs"/>
                </a:rPr>
                <a:t> </a:t>
              </a:r>
              <a:r>
                <a:rPr lang="pt-BR" sz="1100">
                  <a:solidFill>
                    <a:schemeClr val="tx1"/>
                  </a:solidFill>
                  <a:effectLst/>
                  <a:latin typeface="+mn-lt"/>
                  <a:ea typeface="+mn-ea"/>
                  <a:cs typeface="+mn-cs"/>
                </a:rPr>
                <a:t>-</a:t>
              </a:r>
              <a:r>
                <a:rPr lang="pt-BR" sz="1100" baseline="0">
                  <a:solidFill>
                    <a:schemeClr val="tx1"/>
                  </a:solidFill>
                  <a:effectLst/>
                  <a:latin typeface="+mn-lt"/>
                  <a:ea typeface="+mn-ea"/>
                  <a:cs typeface="+mn-cs"/>
                </a:rPr>
                <a:t> Parcela da TUSD no posto tarifário fora de ponta</a:t>
              </a:r>
            </a:p>
            <a:p>
              <a:endParaRPr lang="pt-BR">
                <a:effectLst/>
              </a:endParaRPr>
            </a:p>
            <a:p>
              <a:r>
                <a:rPr lang="pt-BR" sz="1100" b="1" i="0">
                  <a:solidFill>
                    <a:schemeClr val="tx1"/>
                  </a:solidFill>
                  <a:effectLst/>
                  <a:latin typeface="+mn-lt"/>
                  <a:ea typeface="+mn-ea"/>
                  <a:cs typeface="+mn-cs"/>
                </a:rPr>
                <a:t>𝜶</a:t>
              </a:r>
              <a:r>
                <a:rPr lang="pt-BR" sz="1100" b="1">
                  <a:solidFill>
                    <a:schemeClr val="tx1"/>
                  </a:solidFill>
                  <a:effectLst/>
                  <a:latin typeface="+mn-lt"/>
                  <a:ea typeface="+mn-ea"/>
                  <a:cs typeface="+mn-cs"/>
                </a:rPr>
                <a:t> </a:t>
              </a:r>
              <a:r>
                <a:rPr lang="pt-BR" sz="1100">
                  <a:solidFill>
                    <a:schemeClr val="tx1"/>
                  </a:solidFill>
                  <a:effectLst/>
                  <a:latin typeface="+mn-lt"/>
                  <a:ea typeface="+mn-ea"/>
                  <a:cs typeface="+mn-cs"/>
                </a:rPr>
                <a:t>-  Relação entre os custos de operação e manutenção</a:t>
              </a:r>
              <a:r>
                <a:rPr lang="pt-BR" sz="1100" baseline="0">
                  <a:solidFill>
                    <a:schemeClr val="tx1"/>
                  </a:solidFill>
                  <a:effectLst/>
                  <a:latin typeface="+mn-lt"/>
                  <a:ea typeface="+mn-ea"/>
                  <a:cs typeface="+mn-cs"/>
                </a:rPr>
                <a:t> do serviço de distribuição</a:t>
              </a:r>
            </a:p>
            <a:p>
              <a:endParaRPr lang="pt-BR">
                <a:effectLst/>
              </a:endParaRPr>
            </a:p>
            <a:p>
              <a:r>
                <a:rPr lang="pt-BR" sz="1100" b="1" i="0">
                  <a:solidFill>
                    <a:schemeClr val="tx1"/>
                  </a:solidFill>
                  <a:effectLst/>
                  <a:latin typeface="+mn-lt"/>
                  <a:ea typeface="+mn-ea"/>
                  <a:cs typeface="+mn-cs"/>
                </a:rPr>
                <a:t>𝑭𝑹𝑪 </a:t>
              </a:r>
              <a:r>
                <a:rPr lang="pt-BR" sz="1100" b="1">
                  <a:solidFill>
                    <a:schemeClr val="tx1"/>
                  </a:solidFill>
                  <a:effectLst/>
                  <a:latin typeface="+mn-lt"/>
                  <a:ea typeface="+mn-ea"/>
                  <a:cs typeface="+mn-cs"/>
                </a:rPr>
                <a:t>- </a:t>
              </a:r>
              <a:r>
                <a:rPr lang="pt-BR" sz="1100" b="0">
                  <a:solidFill>
                    <a:schemeClr val="tx1"/>
                  </a:solidFill>
                  <a:effectLst/>
                  <a:latin typeface="+mn-lt"/>
                  <a:ea typeface="+mn-ea"/>
                  <a:cs typeface="+mn-cs"/>
                </a:rPr>
                <a:t>Fator de recuperação</a:t>
              </a:r>
              <a:r>
                <a:rPr lang="pt-BR" sz="1100" b="1">
                  <a:solidFill>
                    <a:schemeClr val="tx1"/>
                  </a:solidFill>
                  <a:effectLst/>
                  <a:latin typeface="+mn-lt"/>
                  <a:ea typeface="+mn-ea"/>
                  <a:cs typeface="+mn-cs"/>
                </a:rPr>
                <a:t> </a:t>
              </a:r>
              <a:endParaRPr lang="pt-BR">
                <a:effectLst/>
              </a:endParaRPr>
            </a:p>
            <a:p>
              <a:endParaRPr lang="pt-BR" sz="1100" b="0" i="0">
                <a:ea typeface="Cambria Math" panose="02040503050406030204" pitchFamily="18" charset="0"/>
              </a:endParaRPr>
            </a:p>
            <a:p>
              <a:endParaRPr lang="pt-BR" sz="1100" i="0"/>
            </a:p>
          </xdr:txBody>
        </xdr:sp>
      </mc:Fallback>
    </mc:AlternateContent>
    <xdr:clientData/>
  </xdr:oneCellAnchor>
  <xdr:oneCellAnchor>
    <xdr:from>
      <xdr:col>1</xdr:col>
      <xdr:colOff>211119</xdr:colOff>
      <xdr:row>51</xdr:row>
      <xdr:rowOff>22412</xdr:rowOff>
    </xdr:from>
    <xdr:ext cx="3830469" cy="172227"/>
    <xdr:sp macro="" textlink="">
      <xdr:nvSpPr>
        <xdr:cNvPr id="5" name="CaixaDeTexto 4">
          <a:extLst>
            <a:ext uri="{FF2B5EF4-FFF2-40B4-BE49-F238E27FC236}">
              <a16:creationId xmlns:a16="http://schemas.microsoft.com/office/drawing/2014/main" id="{5CE1720D-6AA9-45AE-8226-A3889B5052C7}"/>
            </a:ext>
          </a:extLst>
        </xdr:cNvPr>
        <xdr:cNvSpPr txBox="1"/>
      </xdr:nvSpPr>
      <xdr:spPr>
        <a:xfrm>
          <a:off x="368001" y="9853706"/>
          <a:ext cx="3830469"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ctr"/>
          <a:endParaRPr lang="pt-BR" sz="1100"/>
        </a:p>
      </xdr:txBody>
    </xdr:sp>
    <xdr:clientData/>
  </xdr:oneCellAnchor>
  <xdr:oneCellAnchor>
    <xdr:from>
      <xdr:col>1</xdr:col>
      <xdr:colOff>348449</xdr:colOff>
      <xdr:row>65</xdr:row>
      <xdr:rowOff>177693</xdr:rowOff>
    </xdr:from>
    <xdr:ext cx="4870824" cy="1509592"/>
    <mc:AlternateContent xmlns:mc="http://schemas.openxmlformats.org/markup-compatibility/2006" xmlns:a14="http://schemas.microsoft.com/office/drawing/2010/main">
      <mc:Choice Requires="a14">
        <xdr:sp macro="" textlink="">
          <xdr:nvSpPr>
            <xdr:cNvPr id="7" name="CaixaDeTexto 6">
              <a:extLst>
                <a:ext uri="{FF2B5EF4-FFF2-40B4-BE49-F238E27FC236}">
                  <a16:creationId xmlns:a16="http://schemas.microsoft.com/office/drawing/2014/main" id="{24CEFBA7-750C-4921-9ED5-EA5A4FCD6419}"/>
                </a:ext>
              </a:extLst>
            </xdr:cNvPr>
            <xdr:cNvSpPr txBox="1"/>
          </xdr:nvSpPr>
          <xdr:spPr>
            <a:xfrm>
              <a:off x="511735" y="11734693"/>
              <a:ext cx="4870824" cy="150959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r>
                <a:rPr lang="pt-BR" sz="1200" b="1" i="0"/>
                <a:t>Modelo matemático Resolução</a:t>
              </a:r>
              <a:r>
                <a:rPr lang="pt-BR" sz="1200" b="1" i="0" baseline="0"/>
                <a:t> 1.000 </a:t>
              </a:r>
              <a:r>
                <a:rPr lang="pt-BR" sz="1200" b="0" i="0"/>
                <a:t>: </a:t>
              </a:r>
              <a14:m>
                <m:oMath xmlns:m="http://schemas.openxmlformats.org/officeDocument/2006/math">
                  <m:r>
                    <m:rPr>
                      <m:sty m:val="p"/>
                    </m:rPr>
                    <a:rPr lang="pt-BR" sz="1200" b="0" i="0">
                      <a:latin typeface="Cambria Math" panose="02040503050406030204" pitchFamily="18" charset="0"/>
                    </a:rPr>
                    <m:t>ERD</m:t>
                  </m:r>
                  <m:r>
                    <a:rPr lang="pt-BR" sz="1200" b="0" i="0">
                      <a:latin typeface="Cambria Math" panose="02040503050406030204" pitchFamily="18" charset="0"/>
                    </a:rPr>
                    <m:t>= </m:t>
                  </m:r>
                  <m:sSub>
                    <m:sSubPr>
                      <m:ctrlPr>
                        <a:rPr lang="pt-BR" sz="1200" b="0" i="1">
                          <a:latin typeface="Cambria Math" panose="02040503050406030204" pitchFamily="18" charset="0"/>
                        </a:rPr>
                      </m:ctrlPr>
                    </m:sSubPr>
                    <m:e>
                      <m:r>
                        <a:rPr lang="pt-BR" sz="1200" b="0" i="1">
                          <a:latin typeface="Cambria Math" panose="02040503050406030204" pitchFamily="18" charset="0"/>
                        </a:rPr>
                        <m:t>𝐷𝐸𝑀𝐴𝑁𝐷𝐴</m:t>
                      </m:r>
                    </m:e>
                    <m:sub>
                      <m:r>
                        <a:rPr lang="pt-BR" sz="1200" b="0" i="1">
                          <a:latin typeface="Cambria Math" panose="02040503050406030204" pitchFamily="18" charset="0"/>
                        </a:rPr>
                        <m:t>𝐸𝑅𝐷</m:t>
                      </m:r>
                    </m:sub>
                  </m:sSub>
                  <m:r>
                    <a:rPr lang="pt-BR" sz="1200" b="0" i="1">
                      <a:latin typeface="Cambria Math" panose="02040503050406030204" pitchFamily="18" charset="0"/>
                    </a:rPr>
                    <m:t> </m:t>
                  </m:r>
                  <m:r>
                    <a:rPr lang="pt-BR" sz="1200" b="0" i="1">
                      <a:latin typeface="Cambria Math" panose="02040503050406030204" pitchFamily="18" charset="0"/>
                      <a:ea typeface="Cambria Math" panose="02040503050406030204" pitchFamily="18" charset="0"/>
                    </a:rPr>
                    <m:t>×</m:t>
                  </m:r>
                  <m:r>
                    <a:rPr lang="pt-BR" sz="1200" b="0" i="1">
                      <a:latin typeface="Cambria Math" panose="02040503050406030204" pitchFamily="18" charset="0"/>
                      <a:ea typeface="Cambria Math" panose="02040503050406030204" pitchFamily="18" charset="0"/>
                    </a:rPr>
                    <m:t>𝐾</m:t>
                  </m:r>
                </m:oMath>
              </a14:m>
              <a:endParaRPr lang="pt-BR" sz="1200" b="0" i="0">
                <a:ea typeface="Cambria Math" panose="02040503050406030204" pitchFamily="18" charset="0"/>
              </a:endParaRPr>
            </a:p>
            <a:p>
              <a:endParaRPr lang="pt-BR" sz="1200" b="0" i="0">
                <a:ea typeface="Cambria Math" panose="02040503050406030204" pitchFamily="18" charset="0"/>
              </a:endParaRPr>
            </a:p>
            <a:p>
              <a:r>
                <a:rPr lang="pt-BR" sz="1200" b="1" i="0">
                  <a:solidFill>
                    <a:schemeClr val="tx1"/>
                  </a:solidFill>
                  <a:effectLst/>
                  <a:latin typeface="+mn-lt"/>
                  <a:ea typeface="+mn-ea"/>
                  <a:cs typeface="+mn-cs"/>
                </a:rPr>
                <a:t> </a:t>
              </a:r>
              <a14:m>
                <m:oMath xmlns:m="http://schemas.openxmlformats.org/officeDocument/2006/math">
                  <m:r>
                    <a:rPr lang="pt-BR" sz="1200" b="1" i="0">
                      <a:solidFill>
                        <a:schemeClr val="tx1"/>
                      </a:solidFill>
                      <a:effectLst/>
                      <a:latin typeface="Cambria Math" panose="02040503050406030204" pitchFamily="18" charset="0"/>
                      <a:ea typeface="+mn-ea"/>
                      <a:cs typeface="+mn-cs"/>
                    </a:rPr>
                    <m:t>𝐄𝐑𝐃</m:t>
                  </m:r>
                </m:oMath>
              </a14:m>
              <a:r>
                <a:rPr lang="pt-BR" sz="1200" b="1" i="0">
                  <a:ea typeface="Cambria Math" panose="02040503050406030204" pitchFamily="18" charset="0"/>
                </a:rPr>
                <a:t> </a:t>
              </a:r>
              <a:r>
                <a:rPr lang="pt-BR" sz="1200" b="0" i="0">
                  <a:ea typeface="Cambria Math" panose="02040503050406030204" pitchFamily="18" charset="0"/>
                </a:rPr>
                <a:t>- Encargo</a:t>
              </a:r>
              <a:r>
                <a:rPr lang="pt-BR" sz="1200" b="0" i="0" baseline="0">
                  <a:ea typeface="Cambria Math" panose="02040503050406030204" pitchFamily="18" charset="0"/>
                </a:rPr>
                <a:t> de Responsabilidade da distribuidora</a:t>
              </a:r>
            </a:p>
            <a:p>
              <a:endParaRPr lang="pt-BR" sz="1200" b="0" i="0" baseline="0">
                <a:ea typeface="Cambria Math" panose="02040503050406030204" pitchFamily="18" charset="0"/>
              </a:endParaRPr>
            </a:p>
            <a:p>
              <a14:m>
                <m:oMath xmlns:m="http://schemas.openxmlformats.org/officeDocument/2006/math">
                  <m:sSub>
                    <m:sSubPr>
                      <m:ctrlPr>
                        <a:rPr lang="pt-BR" sz="1200" b="1" i="1">
                          <a:solidFill>
                            <a:schemeClr val="tx1"/>
                          </a:solidFill>
                          <a:effectLst/>
                          <a:latin typeface="Cambria Math" panose="02040503050406030204" pitchFamily="18" charset="0"/>
                          <a:ea typeface="+mn-ea"/>
                          <a:cs typeface="+mn-cs"/>
                        </a:rPr>
                      </m:ctrlPr>
                    </m:sSubPr>
                    <m:e>
                      <m:r>
                        <a:rPr lang="pt-BR" sz="1200" b="1" i="1">
                          <a:solidFill>
                            <a:schemeClr val="tx1"/>
                          </a:solidFill>
                          <a:effectLst/>
                          <a:latin typeface="Cambria Math" panose="02040503050406030204" pitchFamily="18" charset="0"/>
                          <a:ea typeface="+mn-ea"/>
                          <a:cs typeface="+mn-cs"/>
                        </a:rPr>
                        <m:t>𝑫𝑬𝑴𝑨𝑵𝑫𝑨</m:t>
                      </m:r>
                    </m:e>
                    <m:sub>
                      <m:r>
                        <a:rPr lang="pt-BR" sz="1200" b="1" i="1">
                          <a:solidFill>
                            <a:schemeClr val="tx1"/>
                          </a:solidFill>
                          <a:effectLst/>
                          <a:latin typeface="Cambria Math" panose="02040503050406030204" pitchFamily="18" charset="0"/>
                          <a:ea typeface="+mn-ea"/>
                          <a:cs typeface="+mn-cs"/>
                        </a:rPr>
                        <m:t>𝑬𝑹𝑫</m:t>
                      </m:r>
                    </m:sub>
                  </m:sSub>
                  <m:r>
                    <a:rPr lang="pt-BR" sz="1200" b="1" i="1">
                      <a:solidFill>
                        <a:schemeClr val="tx1"/>
                      </a:solidFill>
                      <a:effectLst/>
                      <a:latin typeface="Cambria Math" panose="02040503050406030204" pitchFamily="18" charset="0"/>
                      <a:ea typeface="+mn-ea"/>
                      <a:cs typeface="+mn-cs"/>
                    </a:rPr>
                    <m:t> </m:t>
                  </m:r>
                </m:oMath>
              </a14:m>
              <a:r>
                <a:rPr lang="pt-BR" sz="1200" b="0" i="0">
                  <a:ea typeface="Cambria Math" panose="02040503050406030204" pitchFamily="18" charset="0"/>
                </a:rPr>
                <a:t>- Demanda a ser atendida ou acrescida para o cálculo do ERD (kW)</a:t>
              </a:r>
            </a:p>
            <a:p>
              <a:endParaRPr lang="pt-BR" sz="1200" b="0" i="0">
                <a:ea typeface="Cambria Math" panose="02040503050406030204" pitchFamily="18" charset="0"/>
              </a:endParaRPr>
            </a:p>
            <a:p>
              <a:pPr marL="0" marR="0" lvl="0" indent="0" defTabSz="914400" eaLnBrk="1" fontAlgn="auto" latinLnBrk="0" hangingPunct="1">
                <a:lnSpc>
                  <a:spcPct val="100000"/>
                </a:lnSpc>
                <a:spcBef>
                  <a:spcPts val="0"/>
                </a:spcBef>
                <a:spcAft>
                  <a:spcPts val="0"/>
                </a:spcAft>
                <a:buClrTx/>
                <a:buSzTx/>
                <a:buFontTx/>
                <a:buNone/>
                <a:tabLst/>
                <a:defRPr/>
              </a:pPr>
              <a14:m>
                <m:oMath xmlns:m="http://schemas.openxmlformats.org/officeDocument/2006/math">
                  <m:r>
                    <a:rPr lang="pt-BR" sz="1200" b="1" i="1">
                      <a:solidFill>
                        <a:schemeClr val="tx1"/>
                      </a:solidFill>
                      <a:effectLst/>
                      <a:latin typeface="Cambria Math" panose="02040503050406030204" pitchFamily="18" charset="0"/>
                      <a:ea typeface="+mn-ea"/>
                      <a:cs typeface="+mn-cs"/>
                    </a:rPr>
                    <m:t>𝑲</m:t>
                  </m:r>
                </m:oMath>
              </a14:m>
              <a:r>
                <a:rPr lang="pt-BR" sz="1200" b="1" i="0">
                  <a:solidFill>
                    <a:schemeClr val="tx1"/>
                  </a:solidFill>
                  <a:effectLst/>
                  <a:latin typeface="+mn-lt"/>
                  <a:ea typeface="+mn-ea"/>
                  <a:cs typeface="+mn-cs"/>
                </a:rPr>
                <a:t>- </a:t>
              </a:r>
              <a:r>
                <a:rPr lang="pt-BR" sz="1200" b="0" i="0">
                  <a:solidFill>
                    <a:schemeClr val="tx1"/>
                  </a:solidFill>
                  <a:effectLst/>
                  <a:latin typeface="+mn-lt"/>
                  <a:ea typeface="+mn-ea"/>
                  <a:cs typeface="+mn-cs"/>
                </a:rPr>
                <a:t>Fator de cálculo do ERD</a:t>
              </a:r>
              <a:endParaRPr lang="pt-BR" sz="1200">
                <a:effectLst/>
              </a:endParaRPr>
            </a:p>
          </xdr:txBody>
        </xdr:sp>
      </mc:Choice>
      <mc:Fallback xmlns="">
        <xdr:sp macro="" textlink="">
          <xdr:nvSpPr>
            <xdr:cNvPr id="7" name="CaixaDeTexto 6">
              <a:extLst>
                <a:ext uri="{FF2B5EF4-FFF2-40B4-BE49-F238E27FC236}">
                  <a16:creationId xmlns:a16="http://schemas.microsoft.com/office/drawing/2014/main" id="{24CEFBA7-750C-4921-9ED5-EA5A4FCD6419}"/>
                </a:ext>
              </a:extLst>
            </xdr:cNvPr>
            <xdr:cNvSpPr txBox="1"/>
          </xdr:nvSpPr>
          <xdr:spPr>
            <a:xfrm>
              <a:off x="511735" y="11734693"/>
              <a:ext cx="4870824" cy="150959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r>
                <a:rPr lang="pt-BR" sz="1200" b="1" i="0"/>
                <a:t>Modelo matemático Resolução</a:t>
              </a:r>
              <a:r>
                <a:rPr lang="pt-BR" sz="1200" b="1" i="0" baseline="0"/>
                <a:t> 1.000 </a:t>
              </a:r>
              <a:r>
                <a:rPr lang="pt-BR" sz="1200" b="0" i="0"/>
                <a:t>: </a:t>
              </a:r>
              <a:r>
                <a:rPr lang="pt-BR" sz="1200" b="0" i="0">
                  <a:latin typeface="Cambria Math" panose="02040503050406030204" pitchFamily="18" charset="0"/>
                </a:rPr>
                <a:t>ERD= 〖𝐷𝐸𝑀𝐴𝑁𝐷𝐴〗_𝐸𝑅𝐷  </a:t>
              </a:r>
              <a:r>
                <a:rPr lang="pt-BR" sz="1200" b="0" i="0">
                  <a:latin typeface="Cambria Math" panose="02040503050406030204" pitchFamily="18" charset="0"/>
                  <a:ea typeface="Cambria Math" panose="02040503050406030204" pitchFamily="18" charset="0"/>
                </a:rPr>
                <a:t>×𝐾</a:t>
              </a:r>
              <a:endParaRPr lang="pt-BR" sz="1200" b="0" i="0">
                <a:ea typeface="Cambria Math" panose="02040503050406030204" pitchFamily="18" charset="0"/>
              </a:endParaRPr>
            </a:p>
            <a:p>
              <a:endParaRPr lang="pt-BR" sz="1200" b="0" i="0">
                <a:ea typeface="Cambria Math" panose="02040503050406030204" pitchFamily="18" charset="0"/>
              </a:endParaRPr>
            </a:p>
            <a:p>
              <a:r>
                <a:rPr lang="pt-BR" sz="1200" b="1" i="0">
                  <a:solidFill>
                    <a:schemeClr val="tx1"/>
                  </a:solidFill>
                  <a:effectLst/>
                  <a:latin typeface="+mn-lt"/>
                  <a:ea typeface="+mn-ea"/>
                  <a:cs typeface="+mn-cs"/>
                </a:rPr>
                <a:t> 𝐄𝐑𝐃</a:t>
              </a:r>
              <a:r>
                <a:rPr lang="pt-BR" sz="1200" b="1" i="0">
                  <a:ea typeface="Cambria Math" panose="02040503050406030204" pitchFamily="18" charset="0"/>
                </a:rPr>
                <a:t> </a:t>
              </a:r>
              <a:r>
                <a:rPr lang="pt-BR" sz="1200" b="0" i="0">
                  <a:ea typeface="Cambria Math" panose="02040503050406030204" pitchFamily="18" charset="0"/>
                </a:rPr>
                <a:t>- Encargo</a:t>
              </a:r>
              <a:r>
                <a:rPr lang="pt-BR" sz="1200" b="0" i="0" baseline="0">
                  <a:ea typeface="Cambria Math" panose="02040503050406030204" pitchFamily="18" charset="0"/>
                </a:rPr>
                <a:t> de Responsabilidade da distribuidora</a:t>
              </a:r>
            </a:p>
            <a:p>
              <a:endParaRPr lang="pt-BR" sz="1200" b="0" i="0" baseline="0">
                <a:ea typeface="Cambria Math" panose="02040503050406030204" pitchFamily="18" charset="0"/>
              </a:endParaRPr>
            </a:p>
            <a:p>
              <a:pPr/>
              <a:r>
                <a:rPr lang="pt-BR" sz="1200" b="1" i="0">
                  <a:solidFill>
                    <a:schemeClr val="tx1"/>
                  </a:solidFill>
                  <a:effectLst/>
                  <a:latin typeface="+mn-lt"/>
                  <a:ea typeface="+mn-ea"/>
                  <a:cs typeface="+mn-cs"/>
                </a:rPr>
                <a:t>〖𝑫𝑬𝑴𝑨𝑵𝑫𝑨〗_𝑬𝑹𝑫  </a:t>
              </a:r>
              <a:r>
                <a:rPr lang="pt-BR" sz="1200" b="0" i="0">
                  <a:ea typeface="Cambria Math" panose="02040503050406030204" pitchFamily="18" charset="0"/>
                </a:rPr>
                <a:t>- Demanda a ser atendida ou acrescida para o cálculo do ERD (kW)</a:t>
              </a:r>
            </a:p>
            <a:p>
              <a:pPr/>
              <a:endParaRPr lang="pt-BR" sz="1200" b="0" i="0">
                <a:ea typeface="Cambria Math" panose="02040503050406030204" pitchFamily="18" charset="0"/>
              </a:endParaRPr>
            </a:p>
            <a:p>
              <a:pPr marL="0" marR="0" lvl="0" indent="0" defTabSz="914400" eaLnBrk="1" fontAlgn="auto" latinLnBrk="0" hangingPunct="1">
                <a:lnSpc>
                  <a:spcPct val="100000"/>
                </a:lnSpc>
                <a:spcBef>
                  <a:spcPts val="0"/>
                </a:spcBef>
                <a:spcAft>
                  <a:spcPts val="0"/>
                </a:spcAft>
                <a:buClrTx/>
                <a:buSzTx/>
                <a:buFontTx/>
                <a:buNone/>
                <a:tabLst/>
                <a:defRPr/>
              </a:pPr>
              <a:r>
                <a:rPr lang="pt-BR" sz="1200" b="1" i="0">
                  <a:solidFill>
                    <a:schemeClr val="tx1"/>
                  </a:solidFill>
                  <a:effectLst/>
                  <a:latin typeface="Cambria Math" panose="02040503050406030204" pitchFamily="18" charset="0"/>
                  <a:ea typeface="+mn-ea"/>
                  <a:cs typeface="+mn-cs"/>
                </a:rPr>
                <a:t>𝑲</a:t>
              </a:r>
              <a:r>
                <a:rPr lang="pt-BR" sz="1200" b="1" i="0">
                  <a:solidFill>
                    <a:schemeClr val="tx1"/>
                  </a:solidFill>
                  <a:effectLst/>
                  <a:latin typeface="+mn-lt"/>
                  <a:ea typeface="+mn-ea"/>
                  <a:cs typeface="+mn-cs"/>
                </a:rPr>
                <a:t>- </a:t>
              </a:r>
              <a:r>
                <a:rPr lang="pt-BR" sz="1200" b="0" i="0">
                  <a:solidFill>
                    <a:schemeClr val="tx1"/>
                  </a:solidFill>
                  <a:effectLst/>
                  <a:latin typeface="+mn-lt"/>
                  <a:ea typeface="+mn-ea"/>
                  <a:cs typeface="+mn-cs"/>
                </a:rPr>
                <a:t>Fator de cálculo do ERD</a:t>
              </a:r>
              <a:endParaRPr lang="pt-BR" sz="1200">
                <a:effectLst/>
              </a:endParaRPr>
            </a:p>
          </xdr:txBody>
        </xdr:sp>
      </mc:Fallback>
    </mc:AlternateContent>
    <xdr:clientData/>
  </xdr:oneCellAnchor>
  <xdr:oneCellAnchor>
    <xdr:from>
      <xdr:col>19</xdr:col>
      <xdr:colOff>161638</xdr:colOff>
      <xdr:row>64</xdr:row>
      <xdr:rowOff>220722</xdr:rowOff>
    </xdr:from>
    <xdr:ext cx="4459942" cy="2495178"/>
    <mc:AlternateContent xmlns:mc="http://schemas.openxmlformats.org/markup-compatibility/2006" xmlns:a14="http://schemas.microsoft.com/office/drawing/2010/main">
      <mc:Choice Requires="a14">
        <xdr:sp macro="" textlink="">
          <xdr:nvSpPr>
            <xdr:cNvPr id="14" name="CaixaDeTexto 13">
              <a:extLst>
                <a:ext uri="{FF2B5EF4-FFF2-40B4-BE49-F238E27FC236}">
                  <a16:creationId xmlns:a16="http://schemas.microsoft.com/office/drawing/2014/main" id="{8BF31A08-A72D-6143-B35B-8CBE8152015E}"/>
                </a:ext>
              </a:extLst>
            </xdr:cNvPr>
            <xdr:cNvSpPr txBox="1"/>
          </xdr:nvSpPr>
          <xdr:spPr>
            <a:xfrm>
              <a:off x="12365183" y="11535267"/>
              <a:ext cx="4459942" cy="249517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pt-BR" sz="1400" b="1"/>
                <a:t>Critério para calculo do ERD - RES. 1.059</a:t>
              </a:r>
            </a:p>
            <a:p>
              <a:pPr algn="ctr"/>
              <a:endParaRPr lang="pt-BR" sz="1100" b="0" baseline="0"/>
            </a:p>
            <a:p>
              <a:pPr algn="l"/>
              <a:r>
                <a:rPr lang="pt-BR" sz="1100" b="1" baseline="0"/>
                <a:t>1° - Demanda de Geração (kW) &gt; Demanda Carga (kW)</a:t>
              </a:r>
            </a:p>
            <a:p>
              <a:pPr algn="ctr"/>
              <a:endParaRPr lang="pt-BR" sz="1100" b="1" baseline="0"/>
            </a:p>
            <a:p>
              <a:pPr algn="ctr"/>
              <a14:m>
                <m:oMathPara xmlns:m="http://schemas.openxmlformats.org/officeDocument/2006/math">
                  <m:oMath>
                    <m:r>
                      <a:rPr lang="pt-BR" sz="1200" b="0" i="1">
                        <a:latin typeface="Cambria Math" panose="02040503050406030204" pitchFamily="18" charset="0"/>
                      </a:rPr>
                      <m:t>𝐸𝑅𝐷</m:t>
                    </m:r>
                    <m:r>
                      <a:rPr lang="pt-BR" sz="1200" b="0" i="1">
                        <a:latin typeface="Cambria Math" panose="02040503050406030204" pitchFamily="18" charset="0"/>
                      </a:rPr>
                      <m:t>=</m:t>
                    </m:r>
                    <m:sSub>
                      <m:sSubPr>
                        <m:ctrlPr>
                          <a:rPr lang="pt-BR" sz="1200" b="0" i="1">
                            <a:latin typeface="Cambria Math" panose="02040503050406030204" pitchFamily="18" charset="0"/>
                          </a:rPr>
                        </m:ctrlPr>
                      </m:sSubPr>
                      <m:e>
                        <m:r>
                          <a:rPr lang="pt-BR" sz="1200" b="0" i="1">
                            <a:latin typeface="Cambria Math" panose="02040503050406030204" pitchFamily="18" charset="0"/>
                          </a:rPr>
                          <m:t>𝐷𝐸𝑀𝐴𝑁𝐷𝐴</m:t>
                        </m:r>
                      </m:e>
                      <m:sub>
                        <m:r>
                          <a:rPr lang="pt-BR" sz="1200" b="0" i="1">
                            <a:latin typeface="Cambria Math" panose="02040503050406030204" pitchFamily="18" charset="0"/>
                          </a:rPr>
                          <m:t>𝐶</m:t>
                        </m:r>
                      </m:sub>
                    </m:sSub>
                    <m:r>
                      <a:rPr lang="pt-BR" sz="1200" b="0" i="1">
                        <a:latin typeface="Cambria Math" panose="02040503050406030204" pitchFamily="18" charset="0"/>
                      </a:rPr>
                      <m:t> </m:t>
                    </m:r>
                    <m:r>
                      <a:rPr lang="pt-BR" sz="1200" b="0" i="1">
                        <a:latin typeface="Cambria Math" panose="02040503050406030204" pitchFamily="18" charset="0"/>
                        <a:ea typeface="Cambria Math" panose="02040503050406030204" pitchFamily="18" charset="0"/>
                      </a:rPr>
                      <m:t>×</m:t>
                    </m:r>
                    <m:sSub>
                      <m:sSubPr>
                        <m:ctrlPr>
                          <a:rPr lang="pt-BR" sz="1200" b="0" i="1">
                            <a:latin typeface="Cambria Math" panose="02040503050406030204" pitchFamily="18" charset="0"/>
                            <a:ea typeface="Cambria Math" panose="02040503050406030204" pitchFamily="18" charset="0"/>
                          </a:rPr>
                        </m:ctrlPr>
                      </m:sSubPr>
                      <m:e>
                        <m:r>
                          <a:rPr lang="pt-BR" sz="1200" b="0" i="1">
                            <a:latin typeface="Cambria Math" panose="02040503050406030204" pitchFamily="18" charset="0"/>
                            <a:ea typeface="Cambria Math" panose="02040503050406030204" pitchFamily="18" charset="0"/>
                          </a:rPr>
                          <m:t>𝐾</m:t>
                        </m:r>
                      </m:e>
                      <m:sub>
                        <m:r>
                          <a:rPr lang="pt-BR" sz="1200" b="0" i="1">
                            <a:latin typeface="Cambria Math" panose="02040503050406030204" pitchFamily="18" charset="0"/>
                            <a:ea typeface="Cambria Math" panose="02040503050406030204" pitchFamily="18" charset="0"/>
                          </a:rPr>
                          <m:t>𝑐</m:t>
                        </m:r>
                      </m:sub>
                    </m:sSub>
                    <m:r>
                      <a:rPr lang="pt-BR" sz="1200" b="0" i="1">
                        <a:latin typeface="Cambria Math" panose="02040503050406030204" pitchFamily="18" charset="0"/>
                        <a:ea typeface="Cambria Math" panose="02040503050406030204" pitchFamily="18" charset="0"/>
                      </a:rPr>
                      <m:t>+(</m:t>
                    </m:r>
                    <m:sSub>
                      <m:sSubPr>
                        <m:ctrlPr>
                          <a:rPr lang="pt-BR" sz="1200" b="0" i="1">
                            <a:latin typeface="Cambria Math" panose="02040503050406030204" pitchFamily="18" charset="0"/>
                            <a:ea typeface="Cambria Math" panose="02040503050406030204" pitchFamily="18" charset="0"/>
                          </a:rPr>
                        </m:ctrlPr>
                      </m:sSubPr>
                      <m:e>
                        <m:r>
                          <a:rPr lang="pt-BR" sz="1200" b="0" i="1">
                            <a:latin typeface="Cambria Math" panose="02040503050406030204" pitchFamily="18" charset="0"/>
                            <a:ea typeface="Cambria Math" panose="02040503050406030204" pitchFamily="18" charset="0"/>
                          </a:rPr>
                          <m:t>𝐷𝐸𝑀𝐴𝑁𝐷𝐴</m:t>
                        </m:r>
                      </m:e>
                      <m:sub>
                        <m:r>
                          <a:rPr lang="pt-BR" sz="1200" b="0" i="1">
                            <a:latin typeface="Cambria Math" panose="02040503050406030204" pitchFamily="18" charset="0"/>
                            <a:ea typeface="Cambria Math" panose="02040503050406030204" pitchFamily="18" charset="0"/>
                          </a:rPr>
                          <m:t>𝐺</m:t>
                        </m:r>
                      </m:sub>
                    </m:sSub>
                    <m:r>
                      <a:rPr lang="pt-BR" sz="1200" b="0" i="1">
                        <a:latin typeface="Cambria Math" panose="02040503050406030204" pitchFamily="18" charset="0"/>
                        <a:ea typeface="Cambria Math" panose="02040503050406030204" pitchFamily="18" charset="0"/>
                      </a:rPr>
                      <m:t>−</m:t>
                    </m:r>
                    <m:sSub>
                      <m:sSubPr>
                        <m:ctrlPr>
                          <a:rPr lang="pt-BR" sz="1200" b="0" i="1">
                            <a:latin typeface="Cambria Math" panose="02040503050406030204" pitchFamily="18" charset="0"/>
                            <a:ea typeface="Cambria Math" panose="02040503050406030204" pitchFamily="18" charset="0"/>
                          </a:rPr>
                        </m:ctrlPr>
                      </m:sSubPr>
                      <m:e>
                        <m:r>
                          <a:rPr lang="pt-BR" sz="1200" b="0" i="1">
                            <a:latin typeface="Cambria Math" panose="02040503050406030204" pitchFamily="18" charset="0"/>
                            <a:ea typeface="Cambria Math" panose="02040503050406030204" pitchFamily="18" charset="0"/>
                          </a:rPr>
                          <m:t>𝐷𝐸𝑀𝐴𝑁𝐷𝐴</m:t>
                        </m:r>
                      </m:e>
                      <m:sub>
                        <m:r>
                          <a:rPr lang="pt-BR" sz="1200" b="0" i="1">
                            <a:latin typeface="Cambria Math" panose="02040503050406030204" pitchFamily="18" charset="0"/>
                            <a:ea typeface="Cambria Math" panose="02040503050406030204" pitchFamily="18" charset="0"/>
                          </a:rPr>
                          <m:t>𝐶</m:t>
                        </m:r>
                      </m:sub>
                    </m:sSub>
                    <m:r>
                      <a:rPr lang="pt-BR" sz="1200" b="0" i="1">
                        <a:latin typeface="Cambria Math" panose="02040503050406030204" pitchFamily="18" charset="0"/>
                        <a:ea typeface="Cambria Math" panose="02040503050406030204" pitchFamily="18" charset="0"/>
                      </a:rPr>
                      <m:t>)×</m:t>
                    </m:r>
                    <m:sSub>
                      <m:sSubPr>
                        <m:ctrlPr>
                          <a:rPr lang="pt-BR" sz="1200" b="0" i="1">
                            <a:latin typeface="Cambria Math" panose="02040503050406030204" pitchFamily="18" charset="0"/>
                            <a:ea typeface="Cambria Math" panose="02040503050406030204" pitchFamily="18" charset="0"/>
                          </a:rPr>
                        </m:ctrlPr>
                      </m:sSubPr>
                      <m:e>
                        <m:r>
                          <a:rPr lang="pt-BR" sz="1200" b="0" i="1">
                            <a:latin typeface="Cambria Math" panose="02040503050406030204" pitchFamily="18" charset="0"/>
                            <a:ea typeface="Cambria Math" panose="02040503050406030204" pitchFamily="18" charset="0"/>
                          </a:rPr>
                          <m:t>𝐾</m:t>
                        </m:r>
                      </m:e>
                      <m:sub>
                        <m:r>
                          <a:rPr lang="pt-BR" sz="1200" b="0" i="1">
                            <a:latin typeface="Cambria Math" panose="02040503050406030204" pitchFamily="18" charset="0"/>
                            <a:ea typeface="Cambria Math" panose="02040503050406030204" pitchFamily="18" charset="0"/>
                          </a:rPr>
                          <m:t>𝑔</m:t>
                        </m:r>
                      </m:sub>
                    </m:sSub>
                  </m:oMath>
                </m:oMathPara>
              </a14:m>
              <a:endParaRPr lang="pt-BR" sz="1200" b="0"/>
            </a:p>
            <a:p>
              <a:pPr algn="ctr"/>
              <a:endParaRPr lang="pt-BR" sz="1200" b="0"/>
            </a:p>
            <a:p>
              <a:pPr marL="0" marR="0" lvl="0" indent="0" algn="l" defTabSz="914400" eaLnBrk="1" fontAlgn="auto" latinLnBrk="0" hangingPunct="1">
                <a:lnSpc>
                  <a:spcPct val="100000"/>
                </a:lnSpc>
                <a:spcBef>
                  <a:spcPts val="0"/>
                </a:spcBef>
                <a:spcAft>
                  <a:spcPts val="0"/>
                </a:spcAft>
                <a:buClrTx/>
                <a:buSzTx/>
                <a:buFontTx/>
                <a:buNone/>
                <a:tabLst/>
                <a:defRPr/>
              </a:pPr>
              <a:r>
                <a:rPr lang="pt-BR" sz="1100" b="1" baseline="0">
                  <a:solidFill>
                    <a:schemeClr val="tx1"/>
                  </a:solidFill>
                  <a:effectLst/>
                  <a:latin typeface="+mn-lt"/>
                  <a:ea typeface="+mn-ea"/>
                  <a:cs typeface="+mn-cs"/>
                </a:rPr>
                <a:t>2° -  Demanda Carga (kW)</a:t>
              </a:r>
            </a:p>
            <a:p>
              <a:pPr marL="0" marR="0" lvl="0" indent="0" algn="ctr" defTabSz="914400" eaLnBrk="1" fontAlgn="auto" latinLnBrk="0" hangingPunct="1">
                <a:lnSpc>
                  <a:spcPct val="100000"/>
                </a:lnSpc>
                <a:spcBef>
                  <a:spcPts val="0"/>
                </a:spcBef>
                <a:spcAft>
                  <a:spcPts val="0"/>
                </a:spcAft>
                <a:buClrTx/>
                <a:buSzTx/>
                <a:buFontTx/>
                <a:buNone/>
                <a:tabLst/>
                <a:defRPr/>
              </a:pPr>
              <a:endParaRPr lang="pt-BR" sz="1100" b="1" baseline="0">
                <a:solidFill>
                  <a:schemeClr val="tx1"/>
                </a:solidFill>
                <a:effectLst/>
                <a:latin typeface="+mn-lt"/>
                <a:ea typeface="+mn-ea"/>
                <a:cs typeface="+mn-cs"/>
              </a:endParaRPr>
            </a:p>
            <a:p>
              <a:pPr marL="0" marR="0" lvl="0" indent="0" algn="ctr"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
                    <m:r>
                      <a:rPr lang="pt-BR" sz="1100" b="0" i="1">
                        <a:solidFill>
                          <a:schemeClr val="tx1"/>
                        </a:solidFill>
                        <a:effectLst/>
                        <a:latin typeface="Cambria Math" panose="02040503050406030204" pitchFamily="18" charset="0"/>
                        <a:ea typeface="+mn-ea"/>
                        <a:cs typeface="+mn-cs"/>
                      </a:rPr>
                      <m:t>𝐸𝑅𝐷</m:t>
                    </m:r>
                    <m:r>
                      <a:rPr lang="pt-BR" sz="1100" b="0" i="1">
                        <a:solidFill>
                          <a:schemeClr val="tx1"/>
                        </a:solidFill>
                        <a:effectLst/>
                        <a:latin typeface="Cambria Math" panose="02040503050406030204" pitchFamily="18" charset="0"/>
                        <a:ea typeface="+mn-ea"/>
                        <a:cs typeface="+mn-cs"/>
                      </a:rPr>
                      <m:t>=</m:t>
                    </m:r>
                    <m:sSub>
                      <m:sSubPr>
                        <m:ctrlPr>
                          <a:rPr lang="pt-BR" sz="1100" b="0" i="1">
                            <a:solidFill>
                              <a:schemeClr val="tx1"/>
                            </a:solidFill>
                            <a:effectLst/>
                            <a:latin typeface="Cambria Math" panose="02040503050406030204" pitchFamily="18" charset="0"/>
                            <a:ea typeface="+mn-ea"/>
                            <a:cs typeface="+mn-cs"/>
                          </a:rPr>
                        </m:ctrlPr>
                      </m:sSubPr>
                      <m:e>
                        <m:r>
                          <a:rPr lang="pt-BR" sz="1100" b="0" i="1">
                            <a:solidFill>
                              <a:schemeClr val="tx1"/>
                            </a:solidFill>
                            <a:effectLst/>
                            <a:latin typeface="Cambria Math" panose="02040503050406030204" pitchFamily="18" charset="0"/>
                            <a:ea typeface="+mn-ea"/>
                            <a:cs typeface="+mn-cs"/>
                          </a:rPr>
                          <m:t>𝐷𝐸𝑀𝐴𝑁𝐷𝐴</m:t>
                        </m:r>
                      </m:e>
                      <m:sub>
                        <m:r>
                          <a:rPr lang="pt-BR" sz="1100" b="0" i="1">
                            <a:solidFill>
                              <a:schemeClr val="tx1"/>
                            </a:solidFill>
                            <a:effectLst/>
                            <a:latin typeface="Cambria Math" panose="02040503050406030204" pitchFamily="18" charset="0"/>
                            <a:ea typeface="+mn-ea"/>
                            <a:cs typeface="+mn-cs"/>
                          </a:rPr>
                          <m:t>𝐶</m:t>
                        </m:r>
                      </m:sub>
                    </m:sSub>
                    <m:r>
                      <a:rPr lang="pt-BR" sz="1100" b="0" i="1">
                        <a:solidFill>
                          <a:schemeClr val="tx1"/>
                        </a:solidFill>
                        <a:effectLst/>
                        <a:latin typeface="Cambria Math" panose="02040503050406030204" pitchFamily="18" charset="0"/>
                        <a:ea typeface="+mn-ea"/>
                        <a:cs typeface="+mn-cs"/>
                      </a:rPr>
                      <m:t> ×</m:t>
                    </m:r>
                    <m:sSub>
                      <m:sSubPr>
                        <m:ctrlPr>
                          <a:rPr lang="pt-BR" sz="1100" b="0" i="1">
                            <a:solidFill>
                              <a:schemeClr val="tx1"/>
                            </a:solidFill>
                            <a:effectLst/>
                            <a:latin typeface="Cambria Math" panose="02040503050406030204" pitchFamily="18" charset="0"/>
                            <a:ea typeface="+mn-ea"/>
                            <a:cs typeface="+mn-cs"/>
                          </a:rPr>
                        </m:ctrlPr>
                      </m:sSubPr>
                      <m:e>
                        <m:r>
                          <a:rPr lang="pt-BR" sz="1100" b="0" i="1">
                            <a:solidFill>
                              <a:schemeClr val="tx1"/>
                            </a:solidFill>
                            <a:effectLst/>
                            <a:latin typeface="Cambria Math" panose="02040503050406030204" pitchFamily="18" charset="0"/>
                            <a:ea typeface="+mn-ea"/>
                            <a:cs typeface="+mn-cs"/>
                          </a:rPr>
                          <m:t>𝐾</m:t>
                        </m:r>
                      </m:e>
                      <m:sub>
                        <m:r>
                          <a:rPr lang="pt-BR" sz="1100" b="0" i="1">
                            <a:solidFill>
                              <a:schemeClr val="tx1"/>
                            </a:solidFill>
                            <a:effectLst/>
                            <a:latin typeface="Cambria Math" panose="02040503050406030204" pitchFamily="18" charset="0"/>
                            <a:ea typeface="+mn-ea"/>
                            <a:cs typeface="+mn-cs"/>
                          </a:rPr>
                          <m:t>𝑐</m:t>
                        </m:r>
                      </m:sub>
                    </m:sSub>
                  </m:oMath>
                </m:oMathPara>
              </a14:m>
              <a:endParaRPr lang="pt-BR">
                <a:effectLst/>
              </a:endParaRPr>
            </a:p>
            <a:p>
              <a:pPr marL="0" marR="0" lvl="0" indent="0" algn="ctr" defTabSz="914400" eaLnBrk="1" fontAlgn="auto" latinLnBrk="0" hangingPunct="1">
                <a:lnSpc>
                  <a:spcPct val="100000"/>
                </a:lnSpc>
                <a:spcBef>
                  <a:spcPts val="0"/>
                </a:spcBef>
                <a:spcAft>
                  <a:spcPts val="0"/>
                </a:spcAft>
                <a:buClrTx/>
                <a:buSzTx/>
                <a:buFontTx/>
                <a:buNone/>
                <a:tabLst/>
                <a:defRPr/>
              </a:pPr>
              <a:endParaRPr lang="pt-BR">
                <a:effectLst/>
              </a:endParaRPr>
            </a:p>
            <a:p>
              <a:pPr marL="0" marR="0" lvl="0" indent="0" algn="l" defTabSz="914400" eaLnBrk="1" fontAlgn="auto" latinLnBrk="0" hangingPunct="1">
                <a:lnSpc>
                  <a:spcPct val="100000"/>
                </a:lnSpc>
                <a:spcBef>
                  <a:spcPts val="0"/>
                </a:spcBef>
                <a:spcAft>
                  <a:spcPts val="0"/>
                </a:spcAft>
                <a:buClrTx/>
                <a:buSzTx/>
                <a:buFontTx/>
                <a:buNone/>
                <a:tabLst/>
                <a:defRPr/>
              </a:pPr>
              <a:r>
                <a:rPr lang="pt-BR" sz="1100" b="1" baseline="0">
                  <a:solidFill>
                    <a:schemeClr val="tx1"/>
                  </a:solidFill>
                  <a:effectLst/>
                  <a:latin typeface="+mn-lt"/>
                  <a:ea typeface="+mn-ea"/>
                  <a:cs typeface="+mn-cs"/>
                </a:rPr>
                <a:t>3° -  Demanda Geração (kW)</a:t>
              </a:r>
            </a:p>
            <a:p>
              <a:pPr marL="0" marR="0" lvl="0" indent="0" algn="ctr" defTabSz="914400" eaLnBrk="1" fontAlgn="auto" latinLnBrk="0" hangingPunct="1">
                <a:lnSpc>
                  <a:spcPct val="100000"/>
                </a:lnSpc>
                <a:spcBef>
                  <a:spcPts val="0"/>
                </a:spcBef>
                <a:spcAft>
                  <a:spcPts val="0"/>
                </a:spcAft>
                <a:buClrTx/>
                <a:buSzTx/>
                <a:buFontTx/>
                <a:buNone/>
                <a:tabLst/>
                <a:defRPr/>
              </a:pPr>
              <a:endParaRPr lang="pt-BR" sz="1200">
                <a:effectLst/>
              </a:endParaRPr>
            </a:p>
            <a:p>
              <a:pPr marL="0" marR="0" lvl="0" indent="0" algn="ctr"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
                    <m:sSub>
                      <m:sSubPr>
                        <m:ctrlPr>
                          <a:rPr lang="pt-BR" sz="1100" b="0" i="1">
                            <a:solidFill>
                              <a:schemeClr val="tx1"/>
                            </a:solidFill>
                            <a:effectLst/>
                            <a:latin typeface="Cambria Math" panose="02040503050406030204" pitchFamily="18" charset="0"/>
                            <a:ea typeface="+mn-ea"/>
                            <a:cs typeface="+mn-cs"/>
                          </a:rPr>
                        </m:ctrlPr>
                      </m:sSubPr>
                      <m:e>
                        <m:r>
                          <a:rPr lang="pt-BR" sz="1100" b="0" i="1">
                            <a:solidFill>
                              <a:schemeClr val="tx1"/>
                            </a:solidFill>
                            <a:effectLst/>
                            <a:latin typeface="Cambria Math" panose="02040503050406030204" pitchFamily="18" charset="0"/>
                            <a:ea typeface="+mn-ea"/>
                            <a:cs typeface="+mn-cs"/>
                          </a:rPr>
                          <m:t>𝐸𝑅𝐷</m:t>
                        </m:r>
                      </m:e>
                      <m:sub>
                        <m:r>
                          <a:rPr lang="pt-BR" sz="1100" b="0" i="1">
                            <a:solidFill>
                              <a:schemeClr val="tx1"/>
                            </a:solidFill>
                            <a:effectLst/>
                            <a:latin typeface="Cambria Math" panose="02040503050406030204" pitchFamily="18" charset="0"/>
                            <a:ea typeface="+mn-ea"/>
                            <a:cs typeface="+mn-cs"/>
                          </a:rPr>
                          <m:t>𝐺</m:t>
                        </m:r>
                      </m:sub>
                    </m:sSub>
                    <m:r>
                      <a:rPr lang="pt-BR" sz="1100" b="0" i="1">
                        <a:solidFill>
                          <a:schemeClr val="tx1"/>
                        </a:solidFill>
                        <a:effectLst/>
                        <a:latin typeface="Cambria Math" panose="02040503050406030204" pitchFamily="18" charset="0"/>
                        <a:ea typeface="+mn-ea"/>
                        <a:cs typeface="+mn-cs"/>
                      </a:rPr>
                      <m:t>=</m:t>
                    </m:r>
                    <m:sSub>
                      <m:sSubPr>
                        <m:ctrlPr>
                          <a:rPr lang="pt-BR" sz="1100" b="0" i="1">
                            <a:solidFill>
                              <a:schemeClr val="tx1"/>
                            </a:solidFill>
                            <a:effectLst/>
                            <a:latin typeface="Cambria Math" panose="02040503050406030204" pitchFamily="18" charset="0"/>
                            <a:ea typeface="+mn-ea"/>
                            <a:cs typeface="+mn-cs"/>
                          </a:rPr>
                        </m:ctrlPr>
                      </m:sSubPr>
                      <m:e>
                        <m:r>
                          <a:rPr lang="pt-BR" sz="1100" b="0" i="1">
                            <a:solidFill>
                              <a:schemeClr val="tx1"/>
                            </a:solidFill>
                            <a:effectLst/>
                            <a:latin typeface="Cambria Math" panose="02040503050406030204" pitchFamily="18" charset="0"/>
                            <a:ea typeface="+mn-ea"/>
                            <a:cs typeface="+mn-cs"/>
                          </a:rPr>
                          <m:t>𝐷𝐸𝑀𝐴𝑁𝐷𝐴</m:t>
                        </m:r>
                      </m:e>
                      <m:sub>
                        <m:r>
                          <a:rPr lang="pt-BR" sz="1100" b="0" i="1">
                            <a:solidFill>
                              <a:schemeClr val="tx1"/>
                            </a:solidFill>
                            <a:effectLst/>
                            <a:latin typeface="Cambria Math" panose="02040503050406030204" pitchFamily="18" charset="0"/>
                            <a:ea typeface="+mn-ea"/>
                            <a:cs typeface="+mn-cs"/>
                          </a:rPr>
                          <m:t>𝐺</m:t>
                        </m:r>
                      </m:sub>
                    </m:sSub>
                    <m:r>
                      <a:rPr lang="pt-BR" sz="1100" b="0" i="1">
                        <a:solidFill>
                          <a:schemeClr val="tx1"/>
                        </a:solidFill>
                        <a:effectLst/>
                        <a:latin typeface="Cambria Math" panose="02040503050406030204" pitchFamily="18" charset="0"/>
                        <a:ea typeface="+mn-ea"/>
                        <a:cs typeface="+mn-cs"/>
                      </a:rPr>
                      <m:t> ×</m:t>
                    </m:r>
                    <m:sSub>
                      <m:sSubPr>
                        <m:ctrlPr>
                          <a:rPr lang="pt-BR" sz="1100" b="0" i="1">
                            <a:solidFill>
                              <a:schemeClr val="tx1"/>
                            </a:solidFill>
                            <a:effectLst/>
                            <a:latin typeface="Cambria Math" panose="02040503050406030204" pitchFamily="18" charset="0"/>
                            <a:ea typeface="+mn-ea"/>
                            <a:cs typeface="+mn-cs"/>
                          </a:rPr>
                        </m:ctrlPr>
                      </m:sSubPr>
                      <m:e>
                        <m:r>
                          <a:rPr lang="pt-BR" sz="1100" b="0" i="1">
                            <a:solidFill>
                              <a:schemeClr val="tx1"/>
                            </a:solidFill>
                            <a:effectLst/>
                            <a:latin typeface="Cambria Math" panose="02040503050406030204" pitchFamily="18" charset="0"/>
                            <a:ea typeface="+mn-ea"/>
                            <a:cs typeface="+mn-cs"/>
                          </a:rPr>
                          <m:t>𝐾</m:t>
                        </m:r>
                      </m:e>
                      <m:sub>
                        <m:r>
                          <a:rPr lang="pt-BR" sz="1100" b="0" i="1">
                            <a:solidFill>
                              <a:schemeClr val="tx1"/>
                            </a:solidFill>
                            <a:effectLst/>
                            <a:latin typeface="Cambria Math" panose="02040503050406030204" pitchFamily="18" charset="0"/>
                            <a:ea typeface="+mn-ea"/>
                            <a:cs typeface="+mn-cs"/>
                          </a:rPr>
                          <m:t>𝐺</m:t>
                        </m:r>
                      </m:sub>
                    </m:sSub>
                  </m:oMath>
                </m:oMathPara>
              </a14:m>
              <a:endParaRPr lang="pt-BR" sz="1200">
                <a:effectLst/>
              </a:endParaRPr>
            </a:p>
            <a:p>
              <a:pPr marL="0" marR="0" lvl="0" indent="0" algn="ctr" defTabSz="914400" eaLnBrk="1" fontAlgn="auto" latinLnBrk="0" hangingPunct="1">
                <a:lnSpc>
                  <a:spcPct val="100000"/>
                </a:lnSpc>
                <a:spcBef>
                  <a:spcPts val="0"/>
                </a:spcBef>
                <a:spcAft>
                  <a:spcPts val="0"/>
                </a:spcAft>
                <a:buClrTx/>
                <a:buSzTx/>
                <a:buFontTx/>
                <a:buNone/>
                <a:tabLst/>
                <a:defRPr/>
              </a:pPr>
              <a:endParaRPr lang="pt-BR" sz="1200">
                <a:effectLst/>
              </a:endParaRPr>
            </a:p>
            <a:p>
              <a:pPr algn="ctr"/>
              <a:endParaRPr lang="pt-BR" sz="1200" b="0"/>
            </a:p>
            <a:p>
              <a:pPr algn="ctr"/>
              <a:endParaRPr lang="pt-BR" sz="1100" b="1"/>
            </a:p>
          </xdr:txBody>
        </xdr:sp>
      </mc:Choice>
      <mc:Fallback xmlns="">
        <xdr:sp macro="" textlink="">
          <xdr:nvSpPr>
            <xdr:cNvPr id="14" name="CaixaDeTexto 13">
              <a:extLst>
                <a:ext uri="{FF2B5EF4-FFF2-40B4-BE49-F238E27FC236}">
                  <a16:creationId xmlns:a16="http://schemas.microsoft.com/office/drawing/2014/main" id="{8BF31A08-A72D-6143-B35B-8CBE8152015E}"/>
                </a:ext>
              </a:extLst>
            </xdr:cNvPr>
            <xdr:cNvSpPr txBox="1"/>
          </xdr:nvSpPr>
          <xdr:spPr>
            <a:xfrm>
              <a:off x="12365183" y="11535267"/>
              <a:ext cx="4459942" cy="249517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pt-BR" sz="1400" b="1"/>
                <a:t>Critério para calculo do ERD - RES. 1.059</a:t>
              </a:r>
            </a:p>
            <a:p>
              <a:pPr algn="ctr"/>
              <a:endParaRPr lang="pt-BR" sz="1100" b="0" baseline="0"/>
            </a:p>
            <a:p>
              <a:pPr algn="l"/>
              <a:r>
                <a:rPr lang="pt-BR" sz="1100" b="1" baseline="0"/>
                <a:t>1° - Demanda de Geração (kW) &gt; Demanda Carga (kW)</a:t>
              </a:r>
            </a:p>
            <a:p>
              <a:pPr algn="ctr"/>
              <a:endParaRPr lang="pt-BR" sz="1100" b="1" baseline="0"/>
            </a:p>
            <a:p>
              <a:pPr algn="ctr"/>
              <a:r>
                <a:rPr lang="pt-BR" sz="1200" b="0" i="0">
                  <a:latin typeface="Cambria Math" panose="02040503050406030204" pitchFamily="18" charset="0"/>
                </a:rPr>
                <a:t>𝐸𝑅𝐷=〖𝐷𝐸𝑀𝐴𝑁𝐷𝐴〗_𝐶  </a:t>
              </a:r>
              <a:r>
                <a:rPr lang="pt-BR" sz="1200" b="0" i="0">
                  <a:latin typeface="Cambria Math" panose="02040503050406030204" pitchFamily="18" charset="0"/>
                  <a:ea typeface="Cambria Math" panose="02040503050406030204" pitchFamily="18" charset="0"/>
                </a:rPr>
                <a:t>×𝐾_𝑐+(〖𝐷𝐸𝑀𝐴𝑁𝐷𝐴〗_𝐺−〖𝐷𝐸𝑀𝐴𝑁𝐷𝐴〗_𝐶)×𝐾_𝑔</a:t>
              </a:r>
              <a:endParaRPr lang="pt-BR" sz="1200" b="0"/>
            </a:p>
            <a:p>
              <a:pPr algn="ctr"/>
              <a:endParaRPr lang="pt-BR" sz="1200" b="0"/>
            </a:p>
            <a:p>
              <a:pPr marL="0" marR="0" lvl="0" indent="0" algn="l" defTabSz="914400" eaLnBrk="1" fontAlgn="auto" latinLnBrk="0" hangingPunct="1">
                <a:lnSpc>
                  <a:spcPct val="100000"/>
                </a:lnSpc>
                <a:spcBef>
                  <a:spcPts val="0"/>
                </a:spcBef>
                <a:spcAft>
                  <a:spcPts val="0"/>
                </a:spcAft>
                <a:buClrTx/>
                <a:buSzTx/>
                <a:buFontTx/>
                <a:buNone/>
                <a:tabLst/>
                <a:defRPr/>
              </a:pPr>
              <a:r>
                <a:rPr lang="pt-BR" sz="1100" b="1" baseline="0">
                  <a:solidFill>
                    <a:schemeClr val="tx1"/>
                  </a:solidFill>
                  <a:effectLst/>
                  <a:latin typeface="+mn-lt"/>
                  <a:ea typeface="+mn-ea"/>
                  <a:cs typeface="+mn-cs"/>
                </a:rPr>
                <a:t>2° -  Demanda Carga (kW)</a:t>
              </a:r>
            </a:p>
            <a:p>
              <a:pPr marL="0" marR="0" lvl="0" indent="0" algn="ctr" defTabSz="914400" eaLnBrk="1" fontAlgn="auto" latinLnBrk="0" hangingPunct="1">
                <a:lnSpc>
                  <a:spcPct val="100000"/>
                </a:lnSpc>
                <a:spcBef>
                  <a:spcPts val="0"/>
                </a:spcBef>
                <a:spcAft>
                  <a:spcPts val="0"/>
                </a:spcAft>
                <a:buClrTx/>
                <a:buSzTx/>
                <a:buFontTx/>
                <a:buNone/>
                <a:tabLst/>
                <a:defRPr/>
              </a:pPr>
              <a:endParaRPr lang="pt-BR" sz="1100" b="1" baseline="0">
                <a:solidFill>
                  <a:schemeClr val="tx1"/>
                </a:solidFill>
                <a:effectLst/>
                <a:latin typeface="+mn-lt"/>
                <a:ea typeface="+mn-ea"/>
                <a:cs typeface="+mn-cs"/>
              </a:endParaRPr>
            </a:p>
            <a:p>
              <a:pPr marL="0" marR="0" lvl="0" indent="0" algn="ctr" defTabSz="914400" eaLnBrk="1" fontAlgn="auto" latinLnBrk="0" hangingPunct="1">
                <a:lnSpc>
                  <a:spcPct val="100000"/>
                </a:lnSpc>
                <a:spcBef>
                  <a:spcPts val="0"/>
                </a:spcBef>
                <a:spcAft>
                  <a:spcPts val="0"/>
                </a:spcAft>
                <a:buClrTx/>
                <a:buSzTx/>
                <a:buFontTx/>
                <a:buNone/>
                <a:tabLst/>
                <a:defRPr/>
              </a:pPr>
              <a:r>
                <a:rPr lang="pt-BR" sz="1100" b="0" i="0">
                  <a:solidFill>
                    <a:schemeClr val="tx1"/>
                  </a:solidFill>
                  <a:effectLst/>
                  <a:latin typeface="+mn-lt"/>
                  <a:ea typeface="+mn-ea"/>
                  <a:cs typeface="+mn-cs"/>
                </a:rPr>
                <a:t>𝐸𝑅𝐷=〖𝐷𝐸𝑀𝐴𝑁𝐷𝐴〗_𝐶  ×𝐾_𝑐</a:t>
              </a:r>
              <a:endParaRPr lang="pt-BR">
                <a:effectLst/>
              </a:endParaRPr>
            </a:p>
            <a:p>
              <a:pPr marL="0" marR="0" lvl="0" indent="0" algn="ctr" defTabSz="914400" eaLnBrk="1" fontAlgn="auto" latinLnBrk="0" hangingPunct="1">
                <a:lnSpc>
                  <a:spcPct val="100000"/>
                </a:lnSpc>
                <a:spcBef>
                  <a:spcPts val="0"/>
                </a:spcBef>
                <a:spcAft>
                  <a:spcPts val="0"/>
                </a:spcAft>
                <a:buClrTx/>
                <a:buSzTx/>
                <a:buFontTx/>
                <a:buNone/>
                <a:tabLst/>
                <a:defRPr/>
              </a:pPr>
              <a:endParaRPr lang="pt-BR">
                <a:effectLst/>
              </a:endParaRPr>
            </a:p>
            <a:p>
              <a:pPr marL="0" marR="0" lvl="0" indent="0" algn="l" defTabSz="914400" eaLnBrk="1" fontAlgn="auto" latinLnBrk="0" hangingPunct="1">
                <a:lnSpc>
                  <a:spcPct val="100000"/>
                </a:lnSpc>
                <a:spcBef>
                  <a:spcPts val="0"/>
                </a:spcBef>
                <a:spcAft>
                  <a:spcPts val="0"/>
                </a:spcAft>
                <a:buClrTx/>
                <a:buSzTx/>
                <a:buFontTx/>
                <a:buNone/>
                <a:tabLst/>
                <a:defRPr/>
              </a:pPr>
              <a:r>
                <a:rPr lang="pt-BR" sz="1100" b="1" baseline="0">
                  <a:solidFill>
                    <a:schemeClr val="tx1"/>
                  </a:solidFill>
                  <a:effectLst/>
                  <a:latin typeface="+mn-lt"/>
                  <a:ea typeface="+mn-ea"/>
                  <a:cs typeface="+mn-cs"/>
                </a:rPr>
                <a:t>3° -  Demanda Geração (kW)</a:t>
              </a:r>
            </a:p>
            <a:p>
              <a:pPr marL="0" marR="0" lvl="0" indent="0" algn="ctr" defTabSz="914400" eaLnBrk="1" fontAlgn="auto" latinLnBrk="0" hangingPunct="1">
                <a:lnSpc>
                  <a:spcPct val="100000"/>
                </a:lnSpc>
                <a:spcBef>
                  <a:spcPts val="0"/>
                </a:spcBef>
                <a:spcAft>
                  <a:spcPts val="0"/>
                </a:spcAft>
                <a:buClrTx/>
                <a:buSzTx/>
                <a:buFontTx/>
                <a:buNone/>
                <a:tabLst/>
                <a:defRPr/>
              </a:pPr>
              <a:endParaRPr lang="pt-BR" sz="1200">
                <a:effectLst/>
              </a:endParaRPr>
            </a:p>
            <a:p>
              <a:pPr marL="0" marR="0" lvl="0" indent="0" algn="ctr" defTabSz="914400" eaLnBrk="1" fontAlgn="auto" latinLnBrk="0" hangingPunct="1">
                <a:lnSpc>
                  <a:spcPct val="100000"/>
                </a:lnSpc>
                <a:spcBef>
                  <a:spcPts val="0"/>
                </a:spcBef>
                <a:spcAft>
                  <a:spcPts val="0"/>
                </a:spcAft>
                <a:buClrTx/>
                <a:buSzTx/>
                <a:buFontTx/>
                <a:buNone/>
                <a:tabLst/>
                <a:defRPr/>
              </a:pPr>
              <a:r>
                <a:rPr lang="pt-BR" sz="1100" b="0" i="0">
                  <a:solidFill>
                    <a:schemeClr val="tx1"/>
                  </a:solidFill>
                  <a:effectLst/>
                  <a:latin typeface="Cambria Math" panose="02040503050406030204" pitchFamily="18" charset="0"/>
                  <a:ea typeface="+mn-ea"/>
                  <a:cs typeface="+mn-cs"/>
                </a:rPr>
                <a:t>〖𝐸𝑅𝐷〗_𝐺</a:t>
              </a:r>
              <a:r>
                <a:rPr lang="pt-BR" sz="1100" b="0" i="0">
                  <a:solidFill>
                    <a:schemeClr val="tx1"/>
                  </a:solidFill>
                  <a:effectLst/>
                  <a:latin typeface="+mn-lt"/>
                  <a:ea typeface="+mn-ea"/>
                  <a:cs typeface="+mn-cs"/>
                </a:rPr>
                <a:t>=〖𝐷𝐸𝑀𝐴𝑁𝐷𝐴〗_</a:t>
              </a:r>
              <a:r>
                <a:rPr lang="pt-BR" sz="1100" b="0" i="0">
                  <a:solidFill>
                    <a:schemeClr val="tx1"/>
                  </a:solidFill>
                  <a:effectLst/>
                  <a:latin typeface="Cambria Math" panose="02040503050406030204" pitchFamily="18" charset="0"/>
                  <a:ea typeface="+mn-ea"/>
                  <a:cs typeface="+mn-cs"/>
                </a:rPr>
                <a:t>𝐺</a:t>
              </a:r>
              <a:r>
                <a:rPr lang="pt-BR" sz="1100" b="0" i="0">
                  <a:solidFill>
                    <a:schemeClr val="tx1"/>
                  </a:solidFill>
                  <a:effectLst/>
                  <a:latin typeface="+mn-lt"/>
                  <a:ea typeface="+mn-ea"/>
                  <a:cs typeface="+mn-cs"/>
                </a:rPr>
                <a:t>  ×𝐾_</a:t>
              </a:r>
              <a:r>
                <a:rPr lang="pt-BR" sz="1100" b="0" i="0">
                  <a:solidFill>
                    <a:schemeClr val="tx1"/>
                  </a:solidFill>
                  <a:effectLst/>
                  <a:latin typeface="Cambria Math" panose="02040503050406030204" pitchFamily="18" charset="0"/>
                  <a:ea typeface="+mn-ea"/>
                  <a:cs typeface="+mn-cs"/>
                </a:rPr>
                <a:t>𝐺</a:t>
              </a:r>
              <a:endParaRPr lang="pt-BR" sz="1200">
                <a:effectLst/>
              </a:endParaRPr>
            </a:p>
            <a:p>
              <a:pPr marL="0" marR="0" lvl="0" indent="0" algn="ctr" defTabSz="914400" eaLnBrk="1" fontAlgn="auto" latinLnBrk="0" hangingPunct="1">
                <a:lnSpc>
                  <a:spcPct val="100000"/>
                </a:lnSpc>
                <a:spcBef>
                  <a:spcPts val="0"/>
                </a:spcBef>
                <a:spcAft>
                  <a:spcPts val="0"/>
                </a:spcAft>
                <a:buClrTx/>
                <a:buSzTx/>
                <a:buFontTx/>
                <a:buNone/>
                <a:tabLst/>
                <a:defRPr/>
              </a:pPr>
              <a:endParaRPr lang="pt-BR" sz="1200">
                <a:effectLst/>
              </a:endParaRPr>
            </a:p>
            <a:p>
              <a:pPr algn="ctr"/>
              <a:endParaRPr lang="pt-BR" sz="1200" b="0"/>
            </a:p>
            <a:p>
              <a:pPr algn="ctr"/>
              <a:endParaRPr lang="pt-BR" sz="1100" b="1"/>
            </a:p>
          </xdr:txBody>
        </xdr:sp>
      </mc:Fallback>
    </mc:AlternateContent>
    <xdr:clientData/>
  </xdr:oneCellAnchor>
  <xdr:oneCellAnchor>
    <xdr:from>
      <xdr:col>1</xdr:col>
      <xdr:colOff>190499</xdr:colOff>
      <xdr:row>79</xdr:row>
      <xdr:rowOff>45358</xdr:rowOff>
    </xdr:from>
    <xdr:ext cx="5179785" cy="1914070"/>
    <mc:AlternateContent xmlns:mc="http://schemas.openxmlformats.org/markup-compatibility/2006" xmlns:a14="http://schemas.microsoft.com/office/drawing/2010/main">
      <mc:Choice Requires="a14">
        <xdr:sp macro="" textlink="">
          <xdr:nvSpPr>
            <xdr:cNvPr id="15" name="CaixaDeTexto 14">
              <a:extLst>
                <a:ext uri="{FF2B5EF4-FFF2-40B4-BE49-F238E27FC236}">
                  <a16:creationId xmlns:a16="http://schemas.microsoft.com/office/drawing/2014/main" id="{7CE2F84D-4A27-4A30-828A-B03F8B4F03D5}"/>
                </a:ext>
              </a:extLst>
            </xdr:cNvPr>
            <xdr:cNvSpPr txBox="1"/>
          </xdr:nvSpPr>
          <xdr:spPr>
            <a:xfrm>
              <a:off x="353785" y="14813644"/>
              <a:ext cx="5179785" cy="191407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r>
                <a:rPr lang="pt-BR" sz="1200" b="1" i="0"/>
                <a:t>Fato</a:t>
              </a:r>
              <a:r>
                <a:rPr lang="pt-BR" sz="1200" b="1" i="0" baseline="0"/>
                <a:t>r de Proporcionalização</a:t>
              </a:r>
            </a:p>
            <a:p>
              <a:endParaRPr lang="pt-BR" sz="1200" b="1" i="0" baseline="0"/>
            </a:p>
            <a:p>
              <a:pPr algn="ctr"/>
              <a:r>
                <a:rPr lang="pt-BR" sz="1200" b="1" i="0"/>
                <a:t>Modelo matemático</a:t>
              </a:r>
              <a:r>
                <a:rPr lang="pt-BR" sz="1200" b="0" i="0"/>
                <a:t>: </a:t>
              </a:r>
              <a14:m>
                <m:oMath xmlns:m="http://schemas.openxmlformats.org/officeDocument/2006/math">
                  <m:r>
                    <m:rPr>
                      <m:sty m:val="p"/>
                    </m:rPr>
                    <a:rPr lang="pt-BR" sz="1200" b="0" i="0">
                      <a:latin typeface="Cambria Math" panose="02040503050406030204" pitchFamily="18" charset="0"/>
                    </a:rPr>
                    <m:t>Fator</m:t>
                  </m:r>
                  <m:r>
                    <a:rPr lang="pt-BR" sz="1200" b="0" i="0">
                      <a:latin typeface="Cambria Math" panose="02040503050406030204" pitchFamily="18" charset="0"/>
                    </a:rPr>
                    <m:t> </m:t>
                  </m:r>
                  <m:r>
                    <m:rPr>
                      <m:sty m:val="p"/>
                    </m:rPr>
                    <a:rPr lang="pt-BR" sz="1200" b="0" i="0">
                      <a:latin typeface="Cambria Math" panose="02040503050406030204" pitchFamily="18" charset="0"/>
                    </a:rPr>
                    <m:t>de</m:t>
                  </m:r>
                  <m:r>
                    <a:rPr lang="pt-BR" sz="1200" b="0" i="0">
                      <a:latin typeface="Cambria Math" panose="02040503050406030204" pitchFamily="18" charset="0"/>
                    </a:rPr>
                    <m:t> </m:t>
                  </m:r>
                  <m:r>
                    <m:rPr>
                      <m:sty m:val="p"/>
                    </m:rPr>
                    <a:rPr lang="pt-BR" sz="1200" b="0" i="0">
                      <a:latin typeface="Cambria Math" panose="02040503050406030204" pitchFamily="18" charset="0"/>
                    </a:rPr>
                    <m:t>proporcionaliza</m:t>
                  </m:r>
                  <m:r>
                    <a:rPr lang="pt-BR" sz="1200" b="0" i="0">
                      <a:latin typeface="Cambria Math" panose="02040503050406030204" pitchFamily="18" charset="0"/>
                    </a:rPr>
                    <m:t>çã</m:t>
                  </m:r>
                  <m:r>
                    <m:rPr>
                      <m:sty m:val="p"/>
                    </m:rPr>
                    <a:rPr lang="pt-BR" sz="1200" b="0" i="0">
                      <a:latin typeface="Cambria Math" panose="02040503050406030204" pitchFamily="18" charset="0"/>
                    </a:rPr>
                    <m:t>o</m:t>
                  </m:r>
                  <m:r>
                    <a:rPr lang="pt-BR" sz="1200" b="0" i="0">
                      <a:latin typeface="Cambria Math" panose="02040503050406030204" pitchFamily="18" charset="0"/>
                    </a:rPr>
                    <m:t>=</m:t>
                  </m:r>
                  <m:f>
                    <m:fPr>
                      <m:ctrlPr>
                        <a:rPr lang="pt-BR" sz="1200" b="0" i="1">
                          <a:latin typeface="Cambria Math" panose="02040503050406030204" pitchFamily="18" charset="0"/>
                        </a:rPr>
                      </m:ctrlPr>
                    </m:fPr>
                    <m:num>
                      <m:sSub>
                        <m:sSubPr>
                          <m:ctrlPr>
                            <a:rPr lang="pt-BR" sz="1200" b="0" i="1">
                              <a:latin typeface="Cambria Math" panose="02040503050406030204" pitchFamily="18" charset="0"/>
                            </a:rPr>
                          </m:ctrlPr>
                        </m:sSubPr>
                        <m:e>
                          <m:r>
                            <a:rPr lang="pt-BR" sz="1200" b="0" i="1">
                              <a:latin typeface="Cambria Math" panose="02040503050406030204" pitchFamily="18" charset="0"/>
                            </a:rPr>
                            <m:t>𝐷𝐸𝑀𝐴𝑁𝐷𝐴</m:t>
                          </m:r>
                        </m:e>
                        <m:sub>
                          <m:r>
                            <a:rPr lang="pt-BR" sz="1200" b="0" i="1">
                              <a:latin typeface="Cambria Math" panose="02040503050406030204" pitchFamily="18" charset="0"/>
                            </a:rPr>
                            <m:t>𝐶𝑙𝑖𝑒𝑛𝑡𝑒</m:t>
                          </m:r>
                        </m:sub>
                      </m:sSub>
                    </m:num>
                    <m:den>
                      <m:sSub>
                        <m:sSubPr>
                          <m:ctrlPr>
                            <a:rPr lang="pt-BR" sz="1200" b="0" i="1">
                              <a:latin typeface="Cambria Math" panose="02040503050406030204" pitchFamily="18" charset="0"/>
                            </a:rPr>
                          </m:ctrlPr>
                        </m:sSubPr>
                        <m:e>
                          <m:r>
                            <a:rPr lang="pt-BR" sz="1200" b="0" i="1">
                              <a:latin typeface="Cambria Math" panose="02040503050406030204" pitchFamily="18" charset="0"/>
                            </a:rPr>
                            <m:t>𝐷𝐸𝑀𝐴𝑁𝐷𝐴</m:t>
                          </m:r>
                          <m:r>
                            <a:rPr lang="pt-BR" sz="1200" b="0" i="1">
                              <a:latin typeface="Cambria Math" panose="02040503050406030204" pitchFamily="18" charset="0"/>
                            </a:rPr>
                            <m:t> </m:t>
                          </m:r>
                        </m:e>
                        <m:sub>
                          <m:r>
                            <a:rPr lang="pt-BR" sz="1200" b="0" i="1">
                              <a:latin typeface="Cambria Math" panose="02040503050406030204" pitchFamily="18" charset="0"/>
                            </a:rPr>
                            <m:t>𝑂𝑅</m:t>
                          </m:r>
                          <m:r>
                            <a:rPr lang="pt-BR" sz="1200" b="0" i="1">
                              <a:latin typeface="Cambria Math" panose="02040503050406030204" pitchFamily="18" charset="0"/>
                            </a:rPr>
                            <m:t>Ç</m:t>
                          </m:r>
                          <m:r>
                            <a:rPr lang="pt-BR" sz="1200" b="0" i="1">
                              <a:latin typeface="Cambria Math" panose="02040503050406030204" pitchFamily="18" charset="0"/>
                            </a:rPr>
                            <m:t>𝐴𝑀𝐸𝑁𝑇𝑂</m:t>
                          </m:r>
                        </m:sub>
                      </m:sSub>
                    </m:den>
                  </m:f>
                </m:oMath>
              </a14:m>
              <a:endParaRPr lang="pt-BR" sz="1200" b="0" i="0"/>
            </a:p>
            <a:p>
              <a:pPr algn="ctr"/>
              <a:endParaRPr lang="pt-BR" sz="1200" b="0" i="0"/>
            </a:p>
            <a:p>
              <a:pPr marL="0" marR="0" lvl="0" indent="0" algn="l" defTabSz="914400" eaLnBrk="1" fontAlgn="auto" latinLnBrk="0" hangingPunct="1">
                <a:lnSpc>
                  <a:spcPct val="100000"/>
                </a:lnSpc>
                <a:spcBef>
                  <a:spcPts val="0"/>
                </a:spcBef>
                <a:spcAft>
                  <a:spcPts val="0"/>
                </a:spcAft>
                <a:buClrTx/>
                <a:buSzTx/>
                <a:buFontTx/>
                <a:buNone/>
                <a:tabLst/>
                <a:defRPr/>
              </a:pPr>
              <a:r>
                <a:rPr lang="pt-BR" sz="1200" b="1" i="0" baseline="0">
                  <a:solidFill>
                    <a:schemeClr val="tx1"/>
                  </a:solidFill>
                  <a:effectLst/>
                  <a:latin typeface="+mn-lt"/>
                  <a:ea typeface="+mn-ea"/>
                  <a:cs typeface="+mn-cs"/>
                </a:rPr>
                <a:t>Custo  da Obra  Proporcionalizada (COP)</a:t>
              </a:r>
            </a:p>
            <a:p>
              <a:pPr marL="0" marR="0" lvl="0" indent="0" algn="l" defTabSz="914400" eaLnBrk="1" fontAlgn="auto" latinLnBrk="0" hangingPunct="1">
                <a:lnSpc>
                  <a:spcPct val="100000"/>
                </a:lnSpc>
                <a:spcBef>
                  <a:spcPts val="0"/>
                </a:spcBef>
                <a:spcAft>
                  <a:spcPts val="0"/>
                </a:spcAft>
                <a:buClrTx/>
                <a:buSzTx/>
                <a:buFontTx/>
                <a:buNone/>
                <a:tabLst/>
                <a:defRPr/>
              </a:pPr>
              <a:endParaRPr lang="pt-BR" sz="1200">
                <a:effectLst/>
              </a:endParaRPr>
            </a:p>
            <a:p>
              <a:pPr marL="0" marR="0" lvl="0" indent="0" algn="ctr" defTabSz="914400" eaLnBrk="1" fontAlgn="auto" latinLnBrk="0" hangingPunct="1">
                <a:lnSpc>
                  <a:spcPct val="100000"/>
                </a:lnSpc>
                <a:spcBef>
                  <a:spcPts val="0"/>
                </a:spcBef>
                <a:spcAft>
                  <a:spcPts val="0"/>
                </a:spcAft>
                <a:buClrTx/>
                <a:buSzTx/>
                <a:buFontTx/>
                <a:buNone/>
                <a:tabLst/>
                <a:defRPr/>
              </a:pPr>
              <a:r>
                <a:rPr lang="pt-BR" sz="1200" b="1" i="0">
                  <a:solidFill>
                    <a:schemeClr val="tx1"/>
                  </a:solidFill>
                  <a:effectLst/>
                  <a:latin typeface="+mn-lt"/>
                  <a:ea typeface="+mn-ea"/>
                  <a:cs typeface="+mn-cs"/>
                </a:rPr>
                <a:t>Modelo matemático</a:t>
              </a:r>
              <a:r>
                <a:rPr lang="pt-BR" sz="1200" b="0" i="0">
                  <a:solidFill>
                    <a:schemeClr val="tx1"/>
                  </a:solidFill>
                  <a:effectLst/>
                  <a:latin typeface="+mn-lt"/>
                  <a:ea typeface="+mn-ea"/>
                  <a:cs typeface="+mn-cs"/>
                </a:rPr>
                <a:t>: </a:t>
              </a:r>
              <a14:m>
                <m:oMath xmlns:m="http://schemas.openxmlformats.org/officeDocument/2006/math">
                  <m:r>
                    <m:rPr>
                      <m:sty m:val="p"/>
                    </m:rPr>
                    <a:rPr lang="pt-BR" sz="1200" b="0" i="0">
                      <a:solidFill>
                        <a:schemeClr val="tx1"/>
                      </a:solidFill>
                      <a:effectLst/>
                      <a:latin typeface="Cambria Math" panose="02040503050406030204" pitchFamily="18" charset="0"/>
                      <a:ea typeface="+mn-ea"/>
                      <a:cs typeface="+mn-cs"/>
                    </a:rPr>
                    <m:t>COP</m:t>
                  </m:r>
                  <m:r>
                    <a:rPr lang="pt-BR" sz="1200" b="0" i="0">
                      <a:solidFill>
                        <a:schemeClr val="tx1"/>
                      </a:solidFill>
                      <a:effectLst/>
                      <a:latin typeface="Cambria Math" panose="02040503050406030204" pitchFamily="18" charset="0"/>
                      <a:ea typeface="+mn-ea"/>
                      <a:cs typeface="+mn-cs"/>
                    </a:rPr>
                    <m:t>=</m:t>
                  </m:r>
                  <m:sSub>
                    <m:sSubPr>
                      <m:ctrlPr>
                        <a:rPr lang="pt-BR" sz="1200" b="0" i="1">
                          <a:solidFill>
                            <a:schemeClr val="tx1"/>
                          </a:solidFill>
                          <a:effectLst/>
                          <a:latin typeface="Cambria Math" panose="02040503050406030204" pitchFamily="18" charset="0"/>
                          <a:ea typeface="+mn-ea"/>
                          <a:cs typeface="+mn-cs"/>
                        </a:rPr>
                      </m:ctrlPr>
                    </m:sSubPr>
                    <m:e>
                      <m:r>
                        <a:rPr lang="pt-BR" sz="1200" b="0" i="1">
                          <a:solidFill>
                            <a:schemeClr val="tx1"/>
                          </a:solidFill>
                          <a:effectLst/>
                          <a:latin typeface="Cambria Math" panose="02040503050406030204" pitchFamily="18" charset="0"/>
                          <a:ea typeface="+mn-ea"/>
                          <a:cs typeface="+mn-cs"/>
                        </a:rPr>
                        <m:t>𝐶𝑢𝑠𝑡𝑜</m:t>
                      </m:r>
                    </m:e>
                    <m:sub>
                      <m:r>
                        <a:rPr lang="pt-BR" sz="1200" b="0" i="1">
                          <a:solidFill>
                            <a:schemeClr val="tx1"/>
                          </a:solidFill>
                          <a:effectLst/>
                          <a:latin typeface="Cambria Math" panose="02040503050406030204" pitchFamily="18" charset="0"/>
                          <a:ea typeface="+mn-ea"/>
                          <a:cs typeface="+mn-cs"/>
                        </a:rPr>
                        <m:t>𝑇𝑜𝑡𝑎𝑙</m:t>
                      </m:r>
                      <m:r>
                        <a:rPr lang="pt-BR" sz="1200" b="0" i="1">
                          <a:solidFill>
                            <a:schemeClr val="tx1"/>
                          </a:solidFill>
                          <a:effectLst/>
                          <a:latin typeface="Cambria Math" panose="02040503050406030204" pitchFamily="18" charset="0"/>
                          <a:ea typeface="+mn-ea"/>
                          <a:cs typeface="+mn-cs"/>
                        </a:rPr>
                        <m:t> </m:t>
                      </m:r>
                      <m:r>
                        <a:rPr lang="pt-BR" sz="1200" b="0" i="1">
                          <a:solidFill>
                            <a:schemeClr val="tx1"/>
                          </a:solidFill>
                          <a:effectLst/>
                          <a:latin typeface="Cambria Math" panose="02040503050406030204" pitchFamily="18" charset="0"/>
                          <a:ea typeface="+mn-ea"/>
                          <a:cs typeface="+mn-cs"/>
                        </a:rPr>
                        <m:t>𝑑𝑎</m:t>
                      </m:r>
                      <m:r>
                        <a:rPr lang="pt-BR" sz="1200" b="0" i="1">
                          <a:solidFill>
                            <a:schemeClr val="tx1"/>
                          </a:solidFill>
                          <a:effectLst/>
                          <a:latin typeface="Cambria Math" panose="02040503050406030204" pitchFamily="18" charset="0"/>
                          <a:ea typeface="+mn-ea"/>
                          <a:cs typeface="+mn-cs"/>
                        </a:rPr>
                        <m:t> </m:t>
                      </m:r>
                      <m:r>
                        <a:rPr lang="pt-BR" sz="1200" b="0" i="1">
                          <a:solidFill>
                            <a:schemeClr val="tx1"/>
                          </a:solidFill>
                          <a:effectLst/>
                          <a:latin typeface="Cambria Math" panose="02040503050406030204" pitchFamily="18" charset="0"/>
                          <a:ea typeface="+mn-ea"/>
                          <a:cs typeface="+mn-cs"/>
                        </a:rPr>
                        <m:t>𝑜𝑏𝑟𝑎</m:t>
                      </m:r>
                    </m:sub>
                  </m:sSub>
                  <m:r>
                    <a:rPr lang="pt-BR" sz="1200" b="0" i="1">
                      <a:solidFill>
                        <a:schemeClr val="tx1"/>
                      </a:solidFill>
                      <a:effectLst/>
                      <a:latin typeface="Cambria Math" panose="02040503050406030204" pitchFamily="18" charset="0"/>
                      <a:ea typeface="+mn-ea"/>
                      <a:cs typeface="+mn-cs"/>
                    </a:rPr>
                    <m:t>∗</m:t>
                  </m:r>
                  <m:r>
                    <a:rPr lang="pt-BR" sz="1200" b="0" i="1">
                      <a:solidFill>
                        <a:schemeClr val="tx1"/>
                      </a:solidFill>
                      <a:effectLst/>
                      <a:latin typeface="Cambria Math" panose="02040503050406030204" pitchFamily="18" charset="0"/>
                      <a:ea typeface="+mn-ea"/>
                      <a:cs typeface="+mn-cs"/>
                    </a:rPr>
                    <m:t>𝐹𝑎𝑡𝑜𝑟</m:t>
                  </m:r>
                  <m:r>
                    <a:rPr lang="pt-BR" sz="1200" b="0" i="1">
                      <a:solidFill>
                        <a:schemeClr val="tx1"/>
                      </a:solidFill>
                      <a:effectLst/>
                      <a:latin typeface="Cambria Math" panose="02040503050406030204" pitchFamily="18" charset="0"/>
                      <a:ea typeface="+mn-ea"/>
                      <a:cs typeface="+mn-cs"/>
                    </a:rPr>
                    <m:t> </m:t>
                  </m:r>
                  <m:r>
                    <a:rPr lang="pt-BR" sz="1200" b="0" i="1">
                      <a:solidFill>
                        <a:schemeClr val="tx1"/>
                      </a:solidFill>
                      <a:effectLst/>
                      <a:latin typeface="Cambria Math" panose="02040503050406030204" pitchFamily="18" charset="0"/>
                      <a:ea typeface="+mn-ea"/>
                      <a:cs typeface="+mn-cs"/>
                    </a:rPr>
                    <m:t>𝑑𝑒</m:t>
                  </m:r>
                  <m:r>
                    <a:rPr lang="pt-BR" sz="1200" b="0" i="1">
                      <a:solidFill>
                        <a:schemeClr val="tx1"/>
                      </a:solidFill>
                      <a:effectLst/>
                      <a:latin typeface="Cambria Math" panose="02040503050406030204" pitchFamily="18" charset="0"/>
                      <a:ea typeface="+mn-ea"/>
                      <a:cs typeface="+mn-cs"/>
                    </a:rPr>
                    <m:t> </m:t>
                  </m:r>
                  <m:r>
                    <a:rPr lang="pt-BR" sz="1200" b="0" i="1">
                      <a:solidFill>
                        <a:schemeClr val="tx1"/>
                      </a:solidFill>
                      <a:effectLst/>
                      <a:latin typeface="Cambria Math" panose="02040503050406030204" pitchFamily="18" charset="0"/>
                      <a:ea typeface="+mn-ea"/>
                      <a:cs typeface="+mn-cs"/>
                    </a:rPr>
                    <m:t>𝑝𝑟𝑜𝑝𝑜𝑟𝑐𝑖𝑜𝑛𝑎𝑙𝑖𝑧𝑎</m:t>
                  </m:r>
                  <m:r>
                    <a:rPr lang="pt-BR" sz="1200" b="0" i="1">
                      <a:solidFill>
                        <a:schemeClr val="tx1"/>
                      </a:solidFill>
                      <a:effectLst/>
                      <a:latin typeface="Cambria Math" panose="02040503050406030204" pitchFamily="18" charset="0"/>
                      <a:ea typeface="+mn-ea"/>
                      <a:cs typeface="+mn-cs"/>
                    </a:rPr>
                    <m:t>çã</m:t>
                  </m:r>
                  <m:r>
                    <a:rPr lang="pt-BR" sz="1200" b="0" i="1">
                      <a:solidFill>
                        <a:schemeClr val="tx1"/>
                      </a:solidFill>
                      <a:effectLst/>
                      <a:latin typeface="Cambria Math" panose="02040503050406030204" pitchFamily="18" charset="0"/>
                      <a:ea typeface="+mn-ea"/>
                      <a:cs typeface="+mn-cs"/>
                    </a:rPr>
                    <m:t>𝑜</m:t>
                  </m:r>
                </m:oMath>
              </a14:m>
              <a:endParaRPr lang="pt-BR" sz="1200">
                <a:effectLst/>
              </a:endParaRPr>
            </a:p>
            <a:p>
              <a:pPr algn="ctr"/>
              <a:endParaRPr lang="pt-BR" sz="1200" b="0" i="0">
                <a:ea typeface="Cambria Math" panose="02040503050406030204" pitchFamily="18" charset="0"/>
              </a:endParaRPr>
            </a:p>
          </xdr:txBody>
        </xdr:sp>
      </mc:Choice>
      <mc:Fallback xmlns="">
        <xdr:sp macro="" textlink="">
          <xdr:nvSpPr>
            <xdr:cNvPr id="15" name="CaixaDeTexto 14">
              <a:extLst>
                <a:ext uri="{FF2B5EF4-FFF2-40B4-BE49-F238E27FC236}">
                  <a16:creationId xmlns:a16="http://schemas.microsoft.com/office/drawing/2014/main" id="{7CE2F84D-4A27-4A30-828A-B03F8B4F03D5}"/>
                </a:ext>
              </a:extLst>
            </xdr:cNvPr>
            <xdr:cNvSpPr txBox="1"/>
          </xdr:nvSpPr>
          <xdr:spPr>
            <a:xfrm>
              <a:off x="353785" y="14813644"/>
              <a:ext cx="5179785" cy="191407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r>
                <a:rPr lang="pt-BR" sz="1200" b="1" i="0"/>
                <a:t>Fato</a:t>
              </a:r>
              <a:r>
                <a:rPr lang="pt-BR" sz="1200" b="1" i="0" baseline="0"/>
                <a:t>r de Proporcionalização</a:t>
              </a:r>
            </a:p>
            <a:p>
              <a:endParaRPr lang="pt-BR" sz="1200" b="1" i="0" baseline="0"/>
            </a:p>
            <a:p>
              <a:pPr algn="ctr"/>
              <a:r>
                <a:rPr lang="pt-BR" sz="1200" b="1" i="0"/>
                <a:t>Modelo matemático</a:t>
              </a:r>
              <a:r>
                <a:rPr lang="pt-BR" sz="1200" b="0" i="0"/>
                <a:t>: </a:t>
              </a:r>
              <a:r>
                <a:rPr lang="pt-BR" sz="1200" b="0" i="0">
                  <a:latin typeface="Cambria Math" panose="02040503050406030204" pitchFamily="18" charset="0"/>
                </a:rPr>
                <a:t>Fator de proporcionalização=〖𝐷𝐸𝑀𝐴𝑁𝐷𝐴〗_𝐶𝑙𝑖𝑒𝑛𝑡𝑒/〖𝐷𝐸𝑀𝐴𝑁𝐷𝐴 〗_𝑂𝑅Ç𝐴𝑀𝐸𝑁𝑇𝑂 </a:t>
              </a:r>
              <a:endParaRPr lang="pt-BR" sz="1200" b="0" i="0"/>
            </a:p>
            <a:p>
              <a:pPr algn="ctr"/>
              <a:endParaRPr lang="pt-BR" sz="1200" b="0" i="0"/>
            </a:p>
            <a:p>
              <a:pPr marL="0" marR="0" lvl="0" indent="0" algn="l" defTabSz="914400" eaLnBrk="1" fontAlgn="auto" latinLnBrk="0" hangingPunct="1">
                <a:lnSpc>
                  <a:spcPct val="100000"/>
                </a:lnSpc>
                <a:spcBef>
                  <a:spcPts val="0"/>
                </a:spcBef>
                <a:spcAft>
                  <a:spcPts val="0"/>
                </a:spcAft>
                <a:buClrTx/>
                <a:buSzTx/>
                <a:buFontTx/>
                <a:buNone/>
                <a:tabLst/>
                <a:defRPr/>
              </a:pPr>
              <a:r>
                <a:rPr lang="pt-BR" sz="1200" b="1" i="0" baseline="0">
                  <a:solidFill>
                    <a:schemeClr val="tx1"/>
                  </a:solidFill>
                  <a:effectLst/>
                  <a:latin typeface="+mn-lt"/>
                  <a:ea typeface="+mn-ea"/>
                  <a:cs typeface="+mn-cs"/>
                </a:rPr>
                <a:t>Custo  da Obra  Proporcionalizada (COP)</a:t>
              </a:r>
            </a:p>
            <a:p>
              <a:pPr marL="0" marR="0" lvl="0" indent="0" algn="l" defTabSz="914400" eaLnBrk="1" fontAlgn="auto" latinLnBrk="0" hangingPunct="1">
                <a:lnSpc>
                  <a:spcPct val="100000"/>
                </a:lnSpc>
                <a:spcBef>
                  <a:spcPts val="0"/>
                </a:spcBef>
                <a:spcAft>
                  <a:spcPts val="0"/>
                </a:spcAft>
                <a:buClrTx/>
                <a:buSzTx/>
                <a:buFontTx/>
                <a:buNone/>
                <a:tabLst/>
                <a:defRPr/>
              </a:pPr>
              <a:endParaRPr lang="pt-BR" sz="1200">
                <a:effectLst/>
              </a:endParaRPr>
            </a:p>
            <a:p>
              <a:pPr marL="0" marR="0" lvl="0" indent="0" algn="ctr" defTabSz="914400" eaLnBrk="1" fontAlgn="auto" latinLnBrk="0" hangingPunct="1">
                <a:lnSpc>
                  <a:spcPct val="100000"/>
                </a:lnSpc>
                <a:spcBef>
                  <a:spcPts val="0"/>
                </a:spcBef>
                <a:spcAft>
                  <a:spcPts val="0"/>
                </a:spcAft>
                <a:buClrTx/>
                <a:buSzTx/>
                <a:buFontTx/>
                <a:buNone/>
                <a:tabLst/>
                <a:defRPr/>
              </a:pPr>
              <a:r>
                <a:rPr lang="pt-BR" sz="1200" b="1" i="0">
                  <a:solidFill>
                    <a:schemeClr val="tx1"/>
                  </a:solidFill>
                  <a:effectLst/>
                  <a:latin typeface="+mn-lt"/>
                  <a:ea typeface="+mn-ea"/>
                  <a:cs typeface="+mn-cs"/>
                </a:rPr>
                <a:t>Modelo matemático</a:t>
              </a:r>
              <a:r>
                <a:rPr lang="pt-BR" sz="1200" b="0" i="0">
                  <a:solidFill>
                    <a:schemeClr val="tx1"/>
                  </a:solidFill>
                  <a:effectLst/>
                  <a:latin typeface="+mn-lt"/>
                  <a:ea typeface="+mn-ea"/>
                  <a:cs typeface="+mn-cs"/>
                </a:rPr>
                <a:t>: </a:t>
              </a:r>
              <a:r>
                <a:rPr lang="pt-BR" sz="1200" b="0" i="0">
                  <a:solidFill>
                    <a:schemeClr val="tx1"/>
                  </a:solidFill>
                  <a:effectLst/>
                  <a:latin typeface="Cambria Math" panose="02040503050406030204" pitchFamily="18" charset="0"/>
                  <a:ea typeface="+mn-ea"/>
                  <a:cs typeface="+mn-cs"/>
                </a:rPr>
                <a:t>COP</a:t>
              </a:r>
              <a:r>
                <a:rPr lang="pt-BR" sz="1200" b="0" i="0">
                  <a:solidFill>
                    <a:schemeClr val="tx1"/>
                  </a:solidFill>
                  <a:effectLst/>
                  <a:latin typeface="+mn-lt"/>
                  <a:ea typeface="+mn-ea"/>
                  <a:cs typeface="+mn-cs"/>
                </a:rPr>
                <a:t>=</a:t>
              </a:r>
              <a:r>
                <a:rPr lang="pt-BR" sz="1200" b="0" i="0">
                  <a:solidFill>
                    <a:schemeClr val="tx1"/>
                  </a:solidFill>
                  <a:effectLst/>
                  <a:latin typeface="Cambria Math" panose="02040503050406030204" pitchFamily="18" charset="0"/>
                  <a:ea typeface="+mn-ea"/>
                  <a:cs typeface="+mn-cs"/>
                </a:rPr>
                <a:t>〖𝐶𝑢𝑠𝑡𝑜〗_(𝑇𝑜𝑡𝑎𝑙 𝑑𝑎 𝑜𝑏𝑟𝑎)∗𝐹𝑎𝑡𝑜𝑟 𝑑𝑒 𝑝𝑟𝑜𝑝𝑜𝑟𝑐𝑖𝑜𝑛𝑎𝑙𝑖𝑧𝑎çã𝑜</a:t>
              </a:r>
              <a:endParaRPr lang="pt-BR" sz="1200">
                <a:effectLst/>
              </a:endParaRPr>
            </a:p>
            <a:p>
              <a:pPr algn="ctr"/>
              <a:endParaRPr lang="pt-BR" sz="1200" b="0" i="0">
                <a:ea typeface="Cambria Math" panose="02040503050406030204" pitchFamily="18" charset="0"/>
              </a:endParaRPr>
            </a:p>
          </xdr:txBody>
        </xdr:sp>
      </mc:Fallback>
    </mc:AlternateContent>
    <xdr:clientData/>
  </xdr:oneCellAnchor>
  <xdr:oneCellAnchor>
    <xdr:from>
      <xdr:col>18</xdr:col>
      <xdr:colOff>155863</xdr:colOff>
      <xdr:row>78</xdr:row>
      <xdr:rowOff>392546</xdr:rowOff>
    </xdr:from>
    <xdr:ext cx="4852390" cy="1902526"/>
    <xdr:sp macro="" textlink="">
      <xdr:nvSpPr>
        <xdr:cNvPr id="16" name="CaixaDeTexto 15">
          <a:extLst>
            <a:ext uri="{FF2B5EF4-FFF2-40B4-BE49-F238E27FC236}">
              <a16:creationId xmlns:a16="http://schemas.microsoft.com/office/drawing/2014/main" id="{8B9DE27A-DADF-4723-A05B-FECE097E159A}"/>
            </a:ext>
          </a:extLst>
        </xdr:cNvPr>
        <xdr:cNvSpPr txBox="1"/>
      </xdr:nvSpPr>
      <xdr:spPr>
        <a:xfrm>
          <a:off x="13082649" y="14607475"/>
          <a:ext cx="4852390" cy="19025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pt-BR" sz="1400" b="1"/>
            <a:t>Critério para calculo de COP</a:t>
          </a:r>
        </a:p>
        <a:p>
          <a:pPr algn="ctr"/>
          <a:endParaRPr lang="pt-BR" sz="1200" b="0" baseline="0"/>
        </a:p>
        <a:p>
          <a:pPr algn="l"/>
          <a:r>
            <a:rPr lang="pt-BR" sz="1200" b="1" baseline="0"/>
            <a:t>1° - DEMANDA DISPONIBILIZADA NO ORÇAMENTO</a:t>
          </a:r>
          <a:endParaRPr lang="pt-BR" sz="1200" b="0" baseline="0">
            <a:effectLst/>
          </a:endParaRPr>
        </a:p>
        <a:p>
          <a:pPr algn="l"/>
          <a:endParaRPr lang="pt-BR" sz="1200" b="0" baseline="0">
            <a:effectLst/>
          </a:endParaRPr>
        </a:p>
        <a:p>
          <a:pPr algn="l"/>
          <a:r>
            <a:rPr lang="pt-BR" sz="1200" b="1" baseline="0">
              <a:effectLst/>
            </a:rPr>
            <a:t>Grupo A: </a:t>
          </a:r>
          <a:r>
            <a:rPr lang="pt-BR" sz="1200" b="0" baseline="0">
              <a:effectLst/>
            </a:rPr>
            <a:t>Será disponibilizada por NASO</a:t>
          </a:r>
        </a:p>
        <a:p>
          <a:pPr algn="l"/>
          <a:r>
            <a:rPr lang="pt-BR" sz="1200" b="1" baseline="0">
              <a:effectLst/>
            </a:rPr>
            <a:t>GRUPO B: </a:t>
          </a:r>
          <a:r>
            <a:rPr lang="pt-BR" sz="1200" b="0" baseline="0">
              <a:effectLst/>
            </a:rPr>
            <a:t>Premissas de projeto</a:t>
          </a:r>
          <a:endParaRPr lang="pt-BR" sz="1200" b="1" baseline="0">
            <a:effectLst/>
          </a:endParaRPr>
        </a:p>
        <a:p>
          <a:pPr algn="l"/>
          <a:endParaRPr lang="pt-BR" sz="1200" b="1" baseline="0">
            <a:effectLst/>
          </a:endParaRPr>
        </a:p>
        <a:p>
          <a:r>
            <a:rPr lang="pt-BR" sz="1200" b="1" baseline="0">
              <a:solidFill>
                <a:schemeClr val="tx1"/>
              </a:solidFill>
              <a:effectLst/>
              <a:latin typeface="+mn-lt"/>
              <a:ea typeface="+mn-ea"/>
              <a:cs typeface="+mn-cs"/>
            </a:rPr>
            <a:t>2° - DEMANDA CLIENTE</a:t>
          </a:r>
        </a:p>
        <a:p>
          <a:r>
            <a:rPr lang="pt-BR" sz="1200" b="0" baseline="0">
              <a:solidFill>
                <a:schemeClr val="tx1"/>
              </a:solidFill>
              <a:effectLst/>
              <a:latin typeface="+mn-lt"/>
              <a:ea typeface="+mn-ea"/>
              <a:cs typeface="+mn-cs"/>
            </a:rPr>
            <a:t>Será considerado a maior demanda entre geração </a:t>
          </a:r>
          <a:r>
            <a:rPr lang="pt-BR" sz="1200">
              <a:effectLst/>
            </a:rPr>
            <a:t>e carga.</a:t>
          </a:r>
        </a:p>
        <a:p>
          <a:pPr algn="l"/>
          <a:endParaRPr lang="pt-BR" sz="1200" b="1">
            <a:effectLst/>
          </a:endParaRPr>
        </a:p>
        <a:p>
          <a:pPr algn="ctr"/>
          <a:endParaRPr lang="pt-BR" sz="1200" b="0"/>
        </a:p>
        <a:p>
          <a:pPr algn="ctr"/>
          <a:endParaRPr lang="pt-BR" sz="1100" b="1"/>
        </a:p>
      </xdr:txBody>
    </xdr:sp>
    <xdr:clientData/>
  </xdr:oneCellAnchor>
  <xdr:oneCellAnchor>
    <xdr:from>
      <xdr:col>1</xdr:col>
      <xdr:colOff>87313</xdr:colOff>
      <xdr:row>91</xdr:row>
      <xdr:rowOff>134937</xdr:rowOff>
    </xdr:from>
    <xdr:ext cx="5179785" cy="1914070"/>
    <mc:AlternateContent xmlns:mc="http://schemas.openxmlformats.org/markup-compatibility/2006" xmlns:a14="http://schemas.microsoft.com/office/drawing/2010/main">
      <mc:Choice Requires="a14">
        <xdr:sp macro="" textlink="">
          <xdr:nvSpPr>
            <xdr:cNvPr id="17" name="CaixaDeTexto 16">
              <a:extLst>
                <a:ext uri="{FF2B5EF4-FFF2-40B4-BE49-F238E27FC236}">
                  <a16:creationId xmlns:a16="http://schemas.microsoft.com/office/drawing/2014/main" id="{A7533E3C-72CF-47B2-9A50-2FB0E6A5C101}"/>
                </a:ext>
              </a:extLst>
            </xdr:cNvPr>
            <xdr:cNvSpPr txBox="1"/>
          </xdr:nvSpPr>
          <xdr:spPr>
            <a:xfrm>
              <a:off x="246063" y="18113375"/>
              <a:ext cx="5179785" cy="191407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r>
                <a:rPr lang="pt-BR" sz="1200" b="1" i="0" baseline="0"/>
                <a:t>Custo de participação financeira</a:t>
              </a:r>
            </a:p>
            <a:p>
              <a:endParaRPr lang="pt-BR" sz="1200" b="1" i="0" baseline="0"/>
            </a:p>
            <a:p>
              <a:pPr algn="ctr"/>
              <a:r>
                <a:rPr lang="pt-BR" sz="1200" b="1" i="0"/>
                <a:t>Modelo matemático</a:t>
              </a:r>
              <a:r>
                <a:rPr lang="pt-BR" sz="1200" b="0" i="0"/>
                <a:t>: </a:t>
              </a:r>
              <a14:m>
                <m:oMath xmlns:m="http://schemas.openxmlformats.org/officeDocument/2006/math">
                  <m:r>
                    <a:rPr lang="pt-BR" sz="1200" b="0" i="1">
                      <a:latin typeface="Cambria Math" panose="02040503050406030204" pitchFamily="18" charset="0"/>
                    </a:rPr>
                    <m:t>𝑃𝐹</m:t>
                  </m:r>
                  <m:r>
                    <a:rPr lang="pt-BR" sz="1200" b="0" i="1">
                      <a:latin typeface="Cambria Math" panose="02040503050406030204" pitchFamily="18" charset="0"/>
                    </a:rPr>
                    <m:t>=</m:t>
                  </m:r>
                  <m:r>
                    <a:rPr lang="pt-BR" sz="1200" b="0" i="1">
                      <a:latin typeface="Cambria Math" panose="02040503050406030204" pitchFamily="18" charset="0"/>
                    </a:rPr>
                    <m:t>𝐶𝑂𝑃</m:t>
                  </m:r>
                  <m:r>
                    <a:rPr lang="pt-BR" sz="1200" b="0" i="1">
                      <a:latin typeface="Cambria Math" panose="02040503050406030204" pitchFamily="18" charset="0"/>
                    </a:rPr>
                    <m:t> −</m:t>
                  </m:r>
                  <m:r>
                    <a:rPr lang="pt-BR" sz="1200" b="0" i="1">
                      <a:latin typeface="Cambria Math" panose="02040503050406030204" pitchFamily="18" charset="0"/>
                    </a:rPr>
                    <m:t>𝐸𝑅𝐷</m:t>
                  </m:r>
                </m:oMath>
              </a14:m>
              <a:endParaRPr lang="pt-BR" sz="1200" b="0" i="0"/>
            </a:p>
            <a:p>
              <a:pPr algn="ctr"/>
              <a:endParaRPr lang="pt-BR" sz="1200" b="0" i="0"/>
            </a:p>
            <a:p>
              <a:pPr marL="0" marR="0" lvl="0" indent="0" algn="l" defTabSz="914400" eaLnBrk="1" fontAlgn="auto" latinLnBrk="0" hangingPunct="1">
                <a:lnSpc>
                  <a:spcPct val="100000"/>
                </a:lnSpc>
                <a:spcBef>
                  <a:spcPts val="0"/>
                </a:spcBef>
                <a:spcAft>
                  <a:spcPts val="0"/>
                </a:spcAft>
                <a:buClrTx/>
                <a:buSzTx/>
                <a:buFontTx/>
                <a:buNone/>
                <a:tabLst/>
                <a:defRPr/>
              </a:pPr>
              <a14:m>
                <m:oMath xmlns:m="http://schemas.openxmlformats.org/officeDocument/2006/math">
                  <m:r>
                    <a:rPr lang="pt-BR" sz="1100" b="0" i="1">
                      <a:solidFill>
                        <a:schemeClr val="tx1"/>
                      </a:solidFill>
                      <a:effectLst/>
                      <a:latin typeface="Cambria Math" panose="02040503050406030204" pitchFamily="18" charset="0"/>
                      <a:ea typeface="+mn-ea"/>
                      <a:cs typeface="+mn-cs"/>
                    </a:rPr>
                    <m:t>𝑃𝐹</m:t>
                  </m:r>
                </m:oMath>
              </a14:m>
              <a:r>
                <a:rPr lang="pt-BR" sz="1100" b="0" i="1">
                  <a:solidFill>
                    <a:schemeClr val="tx1"/>
                  </a:solidFill>
                  <a:effectLst/>
                  <a:latin typeface="+mn-lt"/>
                  <a:ea typeface="+mn-ea"/>
                  <a:cs typeface="+mn-cs"/>
                </a:rPr>
                <a:t> - Participação Financeira</a:t>
              </a:r>
            </a:p>
            <a:p>
              <a:pPr marL="0" marR="0" lvl="0" indent="0" algn="l"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ParaPr>
                    <m:jc m:val="left"/>
                  </m:oMathParaPr>
                  <m:oMath>
                    <m:r>
                      <a:rPr lang="pt-BR" sz="1100" b="0" i="1">
                        <a:solidFill>
                          <a:schemeClr val="tx1"/>
                        </a:solidFill>
                        <a:effectLst/>
                        <a:latin typeface="Cambria Math" panose="02040503050406030204" pitchFamily="18" charset="0"/>
                        <a:ea typeface="+mn-ea"/>
                        <a:cs typeface="+mn-cs"/>
                      </a:rPr>
                      <m:t>𝐶𝑂𝑃</m:t>
                    </m:r>
                    <m:r>
                      <a:rPr lang="pt-BR" sz="1100" b="0" i="1">
                        <a:solidFill>
                          <a:schemeClr val="tx1"/>
                        </a:solidFill>
                        <a:effectLst/>
                        <a:latin typeface="Cambria Math" panose="02040503050406030204" pitchFamily="18" charset="0"/>
                        <a:ea typeface="+mn-ea"/>
                        <a:cs typeface="+mn-cs"/>
                      </a:rPr>
                      <m:t> −</m:t>
                    </m:r>
                    <m:r>
                      <a:rPr lang="pt-BR" sz="1100" b="0" i="1">
                        <a:solidFill>
                          <a:schemeClr val="tx1"/>
                        </a:solidFill>
                        <a:effectLst/>
                        <a:latin typeface="Cambria Math" panose="02040503050406030204" pitchFamily="18" charset="0"/>
                        <a:ea typeface="+mn-ea"/>
                        <a:cs typeface="+mn-cs"/>
                      </a:rPr>
                      <m:t>𝐶𝑢𝑠𝑡𝑜</m:t>
                    </m:r>
                    <m:r>
                      <a:rPr lang="pt-BR" sz="1100" b="0" i="1">
                        <a:solidFill>
                          <a:schemeClr val="tx1"/>
                        </a:solidFill>
                        <a:effectLst/>
                        <a:latin typeface="Cambria Math" panose="02040503050406030204" pitchFamily="18" charset="0"/>
                        <a:ea typeface="+mn-ea"/>
                        <a:cs typeface="+mn-cs"/>
                      </a:rPr>
                      <m:t> </m:t>
                    </m:r>
                    <m:r>
                      <a:rPr lang="pt-BR" sz="1100" b="0" i="1">
                        <a:solidFill>
                          <a:schemeClr val="tx1"/>
                        </a:solidFill>
                        <a:effectLst/>
                        <a:latin typeface="Cambria Math" panose="02040503050406030204" pitchFamily="18" charset="0"/>
                        <a:ea typeface="+mn-ea"/>
                        <a:cs typeface="+mn-cs"/>
                      </a:rPr>
                      <m:t>𝑑𝑎</m:t>
                    </m:r>
                    <m:r>
                      <a:rPr lang="pt-BR" sz="1100" b="0" i="1">
                        <a:solidFill>
                          <a:schemeClr val="tx1"/>
                        </a:solidFill>
                        <a:effectLst/>
                        <a:latin typeface="Cambria Math" panose="02040503050406030204" pitchFamily="18" charset="0"/>
                        <a:ea typeface="+mn-ea"/>
                        <a:cs typeface="+mn-cs"/>
                      </a:rPr>
                      <m:t> </m:t>
                    </m:r>
                    <m:r>
                      <a:rPr lang="pt-BR" sz="1100" b="0" i="1">
                        <a:solidFill>
                          <a:schemeClr val="tx1"/>
                        </a:solidFill>
                        <a:effectLst/>
                        <a:latin typeface="Cambria Math" panose="02040503050406030204" pitchFamily="18" charset="0"/>
                        <a:ea typeface="+mn-ea"/>
                        <a:cs typeface="+mn-cs"/>
                      </a:rPr>
                      <m:t>𝑂𝑏𝑟𝑎</m:t>
                    </m:r>
                    <m:r>
                      <a:rPr lang="pt-BR" sz="1100" b="0" i="1">
                        <a:solidFill>
                          <a:schemeClr val="tx1"/>
                        </a:solidFill>
                        <a:effectLst/>
                        <a:latin typeface="Cambria Math" panose="02040503050406030204" pitchFamily="18" charset="0"/>
                        <a:ea typeface="+mn-ea"/>
                        <a:cs typeface="+mn-cs"/>
                      </a:rPr>
                      <m:t> </m:t>
                    </m:r>
                    <m:r>
                      <a:rPr lang="pt-BR" sz="1100" b="0" i="1">
                        <a:solidFill>
                          <a:schemeClr val="tx1"/>
                        </a:solidFill>
                        <a:effectLst/>
                        <a:latin typeface="Cambria Math" panose="02040503050406030204" pitchFamily="18" charset="0"/>
                        <a:ea typeface="+mn-ea"/>
                        <a:cs typeface="+mn-cs"/>
                      </a:rPr>
                      <m:t>𝑃𝑟𝑜𝑝𝑜𝑟𝑐𝑖𝑜𝑛𝑎𝑙𝑖𝑧𝑎𝑑𝑎</m:t>
                    </m:r>
                  </m:oMath>
                </m:oMathPara>
              </a14:m>
              <a:endParaRPr lang="pt-BR" sz="1100" b="0" i="1">
                <a:solidFill>
                  <a:schemeClr val="tx1"/>
                </a:solid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ParaPr>
                    <m:jc m:val="left"/>
                  </m:oMathParaPr>
                  <m:oMath>
                    <m:r>
                      <a:rPr lang="pt-BR" sz="1100" b="0" i="1">
                        <a:solidFill>
                          <a:schemeClr val="tx1"/>
                        </a:solidFill>
                        <a:effectLst/>
                        <a:latin typeface="Cambria Math" panose="02040503050406030204" pitchFamily="18" charset="0"/>
                        <a:ea typeface="+mn-ea"/>
                        <a:cs typeface="+mn-cs"/>
                      </a:rPr>
                      <m:t>𝐸𝑅𝐷</m:t>
                    </m:r>
                    <m:r>
                      <a:rPr lang="pt-BR" sz="1100" b="0" i="1">
                        <a:solidFill>
                          <a:schemeClr val="tx1"/>
                        </a:solidFill>
                        <a:effectLst/>
                        <a:latin typeface="Cambria Math" panose="02040503050406030204" pitchFamily="18" charset="0"/>
                        <a:ea typeface="+mn-ea"/>
                        <a:cs typeface="+mn-cs"/>
                      </a:rPr>
                      <m:t> −</m:t>
                    </m:r>
                    <m:r>
                      <a:rPr lang="pt-BR" sz="1100" b="0" i="1">
                        <a:solidFill>
                          <a:schemeClr val="tx1"/>
                        </a:solidFill>
                        <a:effectLst/>
                        <a:latin typeface="Cambria Math" panose="02040503050406030204" pitchFamily="18" charset="0"/>
                        <a:ea typeface="+mn-ea"/>
                        <a:cs typeface="+mn-cs"/>
                      </a:rPr>
                      <m:t>𝐸𝑛𝑐𝑎𝑟𝑔𝑜</m:t>
                    </m:r>
                    <m:r>
                      <a:rPr lang="pt-BR" sz="1100" b="0" i="1">
                        <a:solidFill>
                          <a:schemeClr val="tx1"/>
                        </a:solidFill>
                        <a:effectLst/>
                        <a:latin typeface="Cambria Math" panose="02040503050406030204" pitchFamily="18" charset="0"/>
                        <a:ea typeface="+mn-ea"/>
                        <a:cs typeface="+mn-cs"/>
                      </a:rPr>
                      <m:t> </m:t>
                    </m:r>
                    <m:r>
                      <a:rPr lang="pt-BR" sz="1100" b="0" i="1">
                        <a:solidFill>
                          <a:schemeClr val="tx1"/>
                        </a:solidFill>
                        <a:effectLst/>
                        <a:latin typeface="Cambria Math" panose="02040503050406030204" pitchFamily="18" charset="0"/>
                        <a:ea typeface="+mn-ea"/>
                        <a:cs typeface="+mn-cs"/>
                      </a:rPr>
                      <m:t>𝑑𝑎</m:t>
                    </m:r>
                    <m:r>
                      <a:rPr lang="pt-BR" sz="1100" b="0" i="1">
                        <a:solidFill>
                          <a:schemeClr val="tx1"/>
                        </a:solidFill>
                        <a:effectLst/>
                        <a:latin typeface="Cambria Math" panose="02040503050406030204" pitchFamily="18" charset="0"/>
                        <a:ea typeface="+mn-ea"/>
                        <a:cs typeface="+mn-cs"/>
                      </a:rPr>
                      <m:t> </m:t>
                    </m:r>
                    <m:r>
                      <a:rPr lang="pt-BR" sz="1100" b="0" i="1">
                        <a:solidFill>
                          <a:schemeClr val="tx1"/>
                        </a:solidFill>
                        <a:effectLst/>
                        <a:latin typeface="Cambria Math" panose="02040503050406030204" pitchFamily="18" charset="0"/>
                        <a:ea typeface="+mn-ea"/>
                        <a:cs typeface="+mn-cs"/>
                      </a:rPr>
                      <m:t>𝐷𝑖𝑠𝑡𝑟𝑖𝑏𝑢𝑖𝑑𝑜𝑟𝑎</m:t>
                    </m:r>
                  </m:oMath>
                </m:oMathPara>
              </a14:m>
              <a:endParaRPr lang="pt-BR" sz="1200">
                <a:effectLst/>
              </a:endParaRPr>
            </a:p>
            <a:p>
              <a:pPr algn="l"/>
              <a:endParaRPr lang="pt-BR" sz="1200" b="0" i="0"/>
            </a:p>
          </xdr:txBody>
        </xdr:sp>
      </mc:Choice>
      <mc:Fallback xmlns="">
        <xdr:sp macro="" textlink="">
          <xdr:nvSpPr>
            <xdr:cNvPr id="17" name="CaixaDeTexto 16">
              <a:extLst>
                <a:ext uri="{FF2B5EF4-FFF2-40B4-BE49-F238E27FC236}">
                  <a16:creationId xmlns:a16="http://schemas.microsoft.com/office/drawing/2014/main" id="{A7533E3C-72CF-47B2-9A50-2FB0E6A5C101}"/>
                </a:ext>
              </a:extLst>
            </xdr:cNvPr>
            <xdr:cNvSpPr txBox="1"/>
          </xdr:nvSpPr>
          <xdr:spPr>
            <a:xfrm>
              <a:off x="246063" y="18113375"/>
              <a:ext cx="5179785" cy="191407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r>
                <a:rPr lang="pt-BR" sz="1200" b="1" i="0" baseline="0"/>
                <a:t>Custo de participação financeira</a:t>
              </a:r>
            </a:p>
            <a:p>
              <a:endParaRPr lang="pt-BR" sz="1200" b="1" i="0" baseline="0"/>
            </a:p>
            <a:p>
              <a:pPr algn="ctr"/>
              <a:r>
                <a:rPr lang="pt-BR" sz="1200" b="1" i="0"/>
                <a:t>Modelo matemático</a:t>
              </a:r>
              <a:r>
                <a:rPr lang="pt-BR" sz="1200" b="0" i="0"/>
                <a:t>: </a:t>
              </a:r>
              <a:r>
                <a:rPr lang="pt-BR" sz="1200" b="0" i="0">
                  <a:latin typeface="Cambria Math" panose="02040503050406030204" pitchFamily="18" charset="0"/>
                </a:rPr>
                <a:t>𝑃𝐹=𝐶𝑂𝑃 −𝐸𝑅𝐷</a:t>
              </a:r>
              <a:endParaRPr lang="pt-BR" sz="1200" b="0" i="0"/>
            </a:p>
            <a:p>
              <a:pPr algn="ctr"/>
              <a:endParaRPr lang="pt-BR" sz="1200" b="0" i="0"/>
            </a:p>
            <a:p>
              <a:pPr marL="0" marR="0" lvl="0" indent="0" algn="l" defTabSz="914400" eaLnBrk="1" fontAlgn="auto" latinLnBrk="0" hangingPunct="1">
                <a:lnSpc>
                  <a:spcPct val="100000"/>
                </a:lnSpc>
                <a:spcBef>
                  <a:spcPts val="0"/>
                </a:spcBef>
                <a:spcAft>
                  <a:spcPts val="0"/>
                </a:spcAft>
                <a:buClrTx/>
                <a:buSzTx/>
                <a:buFontTx/>
                <a:buNone/>
                <a:tabLst/>
                <a:defRPr/>
              </a:pPr>
              <a:r>
                <a:rPr lang="pt-BR" sz="1100" b="0" i="0">
                  <a:solidFill>
                    <a:schemeClr val="tx1"/>
                  </a:solidFill>
                  <a:effectLst/>
                  <a:latin typeface="+mn-lt"/>
                  <a:ea typeface="+mn-ea"/>
                  <a:cs typeface="+mn-cs"/>
                </a:rPr>
                <a:t>𝑃𝐹</a:t>
              </a:r>
              <a:r>
                <a:rPr lang="pt-BR" sz="1100" b="0" i="1">
                  <a:solidFill>
                    <a:schemeClr val="tx1"/>
                  </a:solidFill>
                  <a:effectLst/>
                  <a:latin typeface="+mn-lt"/>
                  <a:ea typeface="+mn-ea"/>
                  <a:cs typeface="+mn-cs"/>
                </a:rPr>
                <a:t> - Participação Financeira</a:t>
              </a:r>
            </a:p>
            <a:p>
              <a:pPr marL="0" marR="0" lvl="0" indent="0" algn="l" defTabSz="914400" eaLnBrk="1" fontAlgn="auto" latinLnBrk="0" hangingPunct="1">
                <a:lnSpc>
                  <a:spcPct val="100000"/>
                </a:lnSpc>
                <a:spcBef>
                  <a:spcPts val="0"/>
                </a:spcBef>
                <a:spcAft>
                  <a:spcPts val="0"/>
                </a:spcAft>
                <a:buClrTx/>
                <a:buSzTx/>
                <a:buFontTx/>
                <a:buNone/>
                <a:tabLst/>
                <a:defRPr/>
              </a:pPr>
              <a:r>
                <a:rPr lang="pt-BR" sz="1100" b="0" i="0">
                  <a:solidFill>
                    <a:schemeClr val="tx1"/>
                  </a:solidFill>
                  <a:effectLst/>
                  <a:latin typeface="+mn-lt"/>
                  <a:ea typeface="+mn-ea"/>
                  <a:cs typeface="+mn-cs"/>
                </a:rPr>
                <a:t>𝐶𝑂𝑃</a:t>
              </a:r>
              <a:r>
                <a:rPr lang="pt-BR" sz="1100" b="0" i="0">
                  <a:solidFill>
                    <a:schemeClr val="tx1"/>
                  </a:solidFill>
                  <a:effectLst/>
                  <a:latin typeface="Cambria Math" panose="02040503050406030204" pitchFamily="18" charset="0"/>
                  <a:ea typeface="+mn-ea"/>
                  <a:cs typeface="+mn-cs"/>
                </a:rPr>
                <a:t> −𝐶𝑢𝑠𝑡𝑜 𝑑𝑎 𝑂𝑏𝑟𝑎 𝑃𝑟𝑜𝑝𝑜𝑟𝑐𝑖𝑜𝑛𝑎𝑙𝑖𝑧𝑎𝑑𝑎</a:t>
              </a:r>
              <a:endParaRPr lang="pt-BR" sz="1100" b="0" i="1">
                <a:solidFill>
                  <a:schemeClr val="tx1"/>
                </a:solid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lang="pt-BR" sz="1100" b="0" i="0">
                  <a:solidFill>
                    <a:schemeClr val="tx1"/>
                  </a:solidFill>
                  <a:effectLst/>
                  <a:latin typeface="+mn-lt"/>
                  <a:ea typeface="+mn-ea"/>
                  <a:cs typeface="+mn-cs"/>
                </a:rPr>
                <a:t>𝐸𝑅𝐷</a:t>
              </a:r>
              <a:r>
                <a:rPr lang="pt-BR" sz="1100" b="0" i="0">
                  <a:solidFill>
                    <a:schemeClr val="tx1"/>
                  </a:solidFill>
                  <a:effectLst/>
                  <a:latin typeface="Cambria Math" panose="02040503050406030204" pitchFamily="18" charset="0"/>
                  <a:ea typeface="+mn-ea"/>
                  <a:cs typeface="+mn-cs"/>
                </a:rPr>
                <a:t> −𝐸𝑛𝑐𝑎𝑟𝑔𝑜 𝑑𝑎 𝐷𝑖𝑠𝑡𝑟𝑖𝑏𝑢𝑖𝑑𝑜𝑟𝑎</a:t>
              </a:r>
              <a:endParaRPr lang="pt-BR" sz="1200">
                <a:effectLst/>
              </a:endParaRPr>
            </a:p>
            <a:p>
              <a:pPr algn="l"/>
              <a:endParaRPr lang="pt-BR" sz="1200" b="0" i="0"/>
            </a:p>
          </xdr:txBody>
        </xdr:sp>
      </mc:Fallback>
    </mc:AlternateContent>
    <xdr:clientData/>
  </xdr:oneCellAnchor>
  <xdr:oneCellAnchor>
    <xdr:from>
      <xdr:col>19</xdr:col>
      <xdr:colOff>408215</xdr:colOff>
      <xdr:row>50</xdr:row>
      <xdr:rowOff>9070</xdr:rowOff>
    </xdr:from>
    <xdr:ext cx="4170082" cy="1215573"/>
    <xdr:sp macro="" textlink="">
      <xdr:nvSpPr>
        <xdr:cNvPr id="18" name="CaixaDeTexto 17">
          <a:extLst>
            <a:ext uri="{FF2B5EF4-FFF2-40B4-BE49-F238E27FC236}">
              <a16:creationId xmlns:a16="http://schemas.microsoft.com/office/drawing/2014/main" id="{1718AE2B-DF25-4E1A-9242-F9E4E464F016}"/>
            </a:ext>
          </a:extLst>
        </xdr:cNvPr>
        <xdr:cNvSpPr txBox="1"/>
      </xdr:nvSpPr>
      <xdr:spPr>
        <a:xfrm>
          <a:off x="13498286" y="9189356"/>
          <a:ext cx="4170082" cy="121557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r>
            <a:rPr lang="pt-BR" sz="1100" b="1" i="0"/>
            <a:t>Nota:</a:t>
          </a:r>
          <a:r>
            <a:rPr lang="pt-BR" sz="1100" b="1" i="0" baseline="0"/>
            <a:t>  </a:t>
          </a:r>
          <a:r>
            <a:rPr lang="pt-BR"/>
            <a:t>Art. 3º As tarifas de aplicação constantes da Tabela 1, Grupo A, e da Tabela 2, Grupo B, do Anexo, estarão em vigor no período de 10 de março de 2026 a 09</a:t>
          </a:r>
          <a:r>
            <a:rPr lang="pt-BR" baseline="0"/>
            <a:t> </a:t>
          </a:r>
          <a:r>
            <a:rPr lang="pt-BR"/>
            <a:t>de março de 2027.</a:t>
          </a:r>
          <a:r>
            <a:rPr lang="pt-BR" sz="1100" b="0" i="0" baseline="0"/>
            <a:t> </a:t>
          </a:r>
        </a:p>
        <a:p>
          <a:endParaRPr lang="pt-BR" sz="1100" b="0" i="0" baseline="0">
            <a:effectLst/>
          </a:endParaRPr>
        </a:p>
        <a:p>
          <a:r>
            <a:rPr lang="pt-BR" sz="1100" b="0" i="0" baseline="0">
              <a:effectLst/>
            </a:rPr>
            <a:t>Contidas na </a:t>
          </a:r>
          <a:r>
            <a:rPr lang="pt-BR"/>
            <a:t>RESOLUÇÃO HOMOLOGATÓRIA Nº 3570, DE 10</a:t>
          </a:r>
          <a:r>
            <a:rPr lang="pt-BR" baseline="0"/>
            <a:t> D</a:t>
          </a:r>
          <a:r>
            <a:rPr lang="pt-BR"/>
            <a:t>E MARÇO DE 2026.</a:t>
          </a:r>
          <a:endParaRPr lang="pt-BR">
            <a:effectLst/>
          </a:endParaRPr>
        </a:p>
        <a:p>
          <a:endParaRPr lang="pt-BR" sz="1100" b="0" i="0">
            <a:ea typeface="Cambria Math" panose="02040503050406030204" pitchFamily="18" charset="0"/>
          </a:endParaRPr>
        </a:p>
        <a:p>
          <a:endParaRPr lang="pt-BR" sz="1100" i="0"/>
        </a:p>
      </xdr:txBody>
    </xdr:sp>
    <xdr:clientData/>
  </xdr:oneCellAnchor>
</xdr:wsDr>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WWE99"/>
  <sheetViews>
    <sheetView showGridLines="0" tabSelected="1" topLeftCell="A56" zoomScale="70" zoomScaleNormal="70" zoomScaleSheetLayoutView="70" workbookViewId="0">
      <selection activeCell="G67" sqref="G67"/>
    </sheetView>
  </sheetViews>
  <sheetFormatPr defaultColWidth="7.88671875" defaultRowHeight="31.5" customHeight="1" zeroHeight="1"/>
  <cols>
    <col min="1" max="1" width="2.33203125" style="2" customWidth="1"/>
    <col min="2" max="2" width="26.6640625" style="2" customWidth="1"/>
    <col min="3" max="3" width="34.44140625" style="2" customWidth="1"/>
    <col min="4" max="4" width="3.109375" style="2" customWidth="1"/>
    <col min="5" max="5" width="28.88671875" style="2" bestFit="1" customWidth="1"/>
    <col min="6" max="6" width="45" style="2" customWidth="1"/>
    <col min="7" max="7" width="42.109375" style="2" bestFit="1" customWidth="1"/>
    <col min="8" max="8" width="5.5546875" style="1" customWidth="1"/>
    <col min="9" max="10" width="42.44140625" style="2" hidden="1" customWidth="1"/>
    <col min="11" max="11" width="3.5546875" style="2" hidden="1" customWidth="1"/>
    <col min="12" max="12" width="3.109375" style="2" hidden="1" customWidth="1"/>
    <col min="13" max="13" width="12.88671875" style="2" hidden="1" customWidth="1"/>
    <col min="14" max="16" width="3.109375" style="2" hidden="1" customWidth="1"/>
    <col min="17" max="17" width="2.109375" style="2" hidden="1" customWidth="1"/>
    <col min="18" max="18" width="0.109375" style="2" customWidth="1"/>
    <col min="19" max="19" width="2.33203125" style="2" customWidth="1"/>
    <col min="20" max="20" width="10" style="2" customWidth="1"/>
    <col min="21" max="21" width="3.44140625" style="2" customWidth="1"/>
    <col min="22" max="22" width="53.44140625" style="2" customWidth="1"/>
    <col min="23" max="23" width="2.33203125" style="2" customWidth="1"/>
    <col min="24" max="256" width="7.88671875" style="2" hidden="1" customWidth="1"/>
    <col min="257" max="257" width="2.33203125" style="2" hidden="1" customWidth="1"/>
    <col min="258" max="258" width="23.88671875" style="2" hidden="1" customWidth="1"/>
    <col min="259" max="259" width="21.6640625" style="2" hidden="1" customWidth="1"/>
    <col min="260" max="260" width="3.109375" style="2" hidden="1" customWidth="1"/>
    <col min="261" max="261" width="15.6640625" style="2" hidden="1" customWidth="1"/>
    <col min="262" max="262" width="33.33203125" style="2" hidden="1" customWidth="1"/>
    <col min="263" max="263" width="38.6640625" style="2" hidden="1" customWidth="1"/>
    <col min="264" max="272" width="0" style="2" hidden="1"/>
    <col min="273" max="273" width="2.109375" style="2" hidden="1" customWidth="1"/>
    <col min="274" max="274" width="0.109375" style="2" hidden="1" customWidth="1"/>
    <col min="275" max="275" width="2.33203125" style="2" hidden="1" customWidth="1"/>
    <col min="276" max="276" width="10" style="2" hidden="1" customWidth="1"/>
    <col min="277" max="277" width="3.44140625" style="2" hidden="1" customWidth="1"/>
    <col min="278" max="278" width="53.44140625" style="2" hidden="1" customWidth="1"/>
    <col min="279" max="279" width="2.33203125" style="2" hidden="1" customWidth="1"/>
    <col min="280" max="281" width="7.88671875" style="2" hidden="1" customWidth="1"/>
    <col min="282" max="512" width="0" style="2" hidden="1"/>
    <col min="513" max="513" width="2.33203125" style="2" hidden="1" customWidth="1"/>
    <col min="514" max="514" width="23.88671875" style="2" hidden="1" customWidth="1"/>
    <col min="515" max="515" width="21.6640625" style="2" hidden="1" customWidth="1"/>
    <col min="516" max="516" width="3.109375" style="2" hidden="1" customWidth="1"/>
    <col min="517" max="517" width="15.6640625" style="2" hidden="1" customWidth="1"/>
    <col min="518" max="518" width="33.33203125" style="2" hidden="1" customWidth="1"/>
    <col min="519" max="519" width="38.6640625" style="2" hidden="1" customWidth="1"/>
    <col min="520" max="528" width="0" style="2" hidden="1"/>
    <col min="529" max="529" width="2.109375" style="2" hidden="1" customWidth="1"/>
    <col min="530" max="530" width="0.109375" style="2" hidden="1" customWidth="1"/>
    <col min="531" max="531" width="2.33203125" style="2" hidden="1" customWidth="1"/>
    <col min="532" max="532" width="10" style="2" hidden="1" customWidth="1"/>
    <col min="533" max="533" width="3.44140625" style="2" hidden="1" customWidth="1"/>
    <col min="534" max="534" width="53.44140625" style="2" hidden="1" customWidth="1"/>
    <col min="535" max="535" width="2.33203125" style="2" hidden="1" customWidth="1"/>
    <col min="536" max="537" width="7.88671875" style="2" hidden="1" customWidth="1"/>
    <col min="538" max="768" width="0" style="2" hidden="1"/>
    <col min="769" max="769" width="2.33203125" style="2" hidden="1" customWidth="1"/>
    <col min="770" max="770" width="23.88671875" style="2" hidden="1" customWidth="1"/>
    <col min="771" max="771" width="21.6640625" style="2" hidden="1" customWidth="1"/>
    <col min="772" max="772" width="3.109375" style="2" hidden="1" customWidth="1"/>
    <col min="773" max="773" width="15.6640625" style="2" hidden="1" customWidth="1"/>
    <col min="774" max="774" width="33.33203125" style="2" hidden="1" customWidth="1"/>
    <col min="775" max="775" width="38.6640625" style="2" hidden="1" customWidth="1"/>
    <col min="776" max="784" width="0" style="2" hidden="1"/>
    <col min="785" max="785" width="2.109375" style="2" hidden="1" customWidth="1"/>
    <col min="786" max="786" width="0.109375" style="2" hidden="1" customWidth="1"/>
    <col min="787" max="787" width="2.33203125" style="2" hidden="1" customWidth="1"/>
    <col min="788" max="788" width="10" style="2" hidden="1" customWidth="1"/>
    <col min="789" max="789" width="3.44140625" style="2" hidden="1" customWidth="1"/>
    <col min="790" max="790" width="53.44140625" style="2" hidden="1" customWidth="1"/>
    <col min="791" max="791" width="2.33203125" style="2" hidden="1" customWidth="1"/>
    <col min="792" max="793" width="7.88671875" style="2" hidden="1" customWidth="1"/>
    <col min="794" max="794" width="7.88671875" style="2"/>
    <col min="795" max="847" width="0" style="2" hidden="1" customWidth="1"/>
    <col min="848" max="848" width="8.109375" style="2" hidden="1" customWidth="1"/>
    <col min="849" max="1024" width="0" style="2" hidden="1" customWidth="1"/>
    <col min="1025" max="1025" width="2.33203125" style="2" hidden="1" customWidth="1"/>
    <col min="1026" max="1026" width="23.88671875" style="2" hidden="1" customWidth="1"/>
    <col min="1027" max="1027" width="21.6640625" style="2" hidden="1" customWidth="1"/>
    <col min="1028" max="1028" width="3.109375" style="2" hidden="1" customWidth="1"/>
    <col min="1029" max="1029" width="15.6640625" style="2" hidden="1" customWidth="1"/>
    <col min="1030" max="1030" width="33.33203125" style="2" hidden="1" customWidth="1"/>
    <col min="1031" max="1031" width="38.6640625" style="2" hidden="1" customWidth="1"/>
    <col min="1032" max="1040" width="0" style="2" hidden="1" customWidth="1"/>
    <col min="1041" max="1041" width="2.109375" style="2" hidden="1" customWidth="1"/>
    <col min="1042" max="1042" width="0.109375" style="2" hidden="1" customWidth="1"/>
    <col min="1043" max="1043" width="2.33203125" style="2" hidden="1" customWidth="1"/>
    <col min="1044" max="1044" width="10" style="2" hidden="1" customWidth="1"/>
    <col min="1045" max="1045" width="3.44140625" style="2" hidden="1" customWidth="1"/>
    <col min="1046" max="1046" width="53.44140625" style="2" hidden="1" customWidth="1"/>
    <col min="1047" max="1047" width="2.33203125" style="2" hidden="1" customWidth="1"/>
    <col min="1048" max="1049" width="7.88671875" style="2" hidden="1" customWidth="1"/>
    <col min="1050" max="1280" width="0" style="2" hidden="1" customWidth="1"/>
    <col min="1281" max="1281" width="2.33203125" style="2" hidden="1" customWidth="1"/>
    <col min="1282" max="1282" width="23.88671875" style="2" hidden="1" customWidth="1"/>
    <col min="1283" max="1283" width="21.6640625" style="2" hidden="1" customWidth="1"/>
    <col min="1284" max="1284" width="3.109375" style="2" hidden="1" customWidth="1"/>
    <col min="1285" max="1285" width="15.6640625" style="2" hidden="1" customWidth="1"/>
    <col min="1286" max="1286" width="33.33203125" style="2" hidden="1" customWidth="1"/>
    <col min="1287" max="1287" width="38.6640625" style="2" hidden="1" customWidth="1"/>
    <col min="1288" max="1296" width="0" style="2" hidden="1" customWidth="1"/>
    <col min="1297" max="1297" width="2.109375" style="2" hidden="1" customWidth="1"/>
    <col min="1298" max="1298" width="0.109375" style="2" hidden="1" customWidth="1"/>
    <col min="1299" max="1299" width="2.33203125" style="2" hidden="1" customWidth="1"/>
    <col min="1300" max="1300" width="10" style="2" hidden="1" customWidth="1"/>
    <col min="1301" max="1301" width="3.44140625" style="2" hidden="1" customWidth="1"/>
    <col min="1302" max="1302" width="53.44140625" style="2" hidden="1" customWidth="1"/>
    <col min="1303" max="1303" width="2.33203125" style="2" hidden="1" customWidth="1"/>
    <col min="1304" max="1305" width="7.88671875" style="2" hidden="1" customWidth="1"/>
    <col min="1306" max="1536" width="0" style="2" hidden="1" customWidth="1"/>
    <col min="1537" max="1537" width="2.33203125" style="2" hidden="1" customWidth="1"/>
    <col min="1538" max="1538" width="23.88671875" style="2" hidden="1" customWidth="1"/>
    <col min="1539" max="1539" width="21.6640625" style="2" hidden="1" customWidth="1"/>
    <col min="1540" max="1540" width="3.109375" style="2" hidden="1" customWidth="1"/>
    <col min="1541" max="1541" width="15.6640625" style="2" hidden="1" customWidth="1"/>
    <col min="1542" max="1542" width="33.33203125" style="2" hidden="1" customWidth="1"/>
    <col min="1543" max="1543" width="38.6640625" style="2" hidden="1" customWidth="1"/>
    <col min="1544" max="1552" width="0" style="2" hidden="1" customWidth="1"/>
    <col min="1553" max="1553" width="2.109375" style="2" hidden="1" customWidth="1"/>
    <col min="1554" max="1554" width="0.109375" style="2" hidden="1" customWidth="1"/>
    <col min="1555" max="1555" width="2.33203125" style="2" hidden="1" customWidth="1"/>
    <col min="1556" max="1556" width="10" style="2" hidden="1" customWidth="1"/>
    <col min="1557" max="1557" width="3.44140625" style="2" hidden="1" customWidth="1"/>
    <col min="1558" max="1558" width="53.44140625" style="2" hidden="1" customWidth="1"/>
    <col min="1559" max="1559" width="2.33203125" style="2" hidden="1" customWidth="1"/>
    <col min="1560" max="1561" width="7.88671875" style="2" hidden="1" customWidth="1"/>
    <col min="1562" max="1792" width="0" style="2" hidden="1" customWidth="1"/>
    <col min="1793" max="1793" width="2.33203125" style="2" hidden="1" customWidth="1"/>
    <col min="1794" max="1794" width="23.88671875" style="2" hidden="1" customWidth="1"/>
    <col min="1795" max="1795" width="21.6640625" style="2" hidden="1" customWidth="1"/>
    <col min="1796" max="1796" width="3.109375" style="2" hidden="1" customWidth="1"/>
    <col min="1797" max="1797" width="15.6640625" style="2" hidden="1" customWidth="1"/>
    <col min="1798" max="1798" width="33.33203125" style="2" hidden="1" customWidth="1"/>
    <col min="1799" max="1799" width="38.6640625" style="2" hidden="1" customWidth="1"/>
    <col min="1800" max="1808" width="0" style="2" hidden="1" customWidth="1"/>
    <col min="1809" max="1809" width="2.109375" style="2" hidden="1" customWidth="1"/>
    <col min="1810" max="1810" width="0.109375" style="2" hidden="1" customWidth="1"/>
    <col min="1811" max="1811" width="2.33203125" style="2" hidden="1" customWidth="1"/>
    <col min="1812" max="1812" width="10" style="2" hidden="1" customWidth="1"/>
    <col min="1813" max="1813" width="3.44140625" style="2" hidden="1" customWidth="1"/>
    <col min="1814" max="1814" width="53.44140625" style="2" hidden="1" customWidth="1"/>
    <col min="1815" max="1815" width="2.33203125" style="2" hidden="1" customWidth="1"/>
    <col min="1816" max="1817" width="7.88671875" style="2" hidden="1" customWidth="1"/>
    <col min="1818" max="2048" width="0" style="2" hidden="1" customWidth="1"/>
    <col min="2049" max="2049" width="2.33203125" style="2" hidden="1" customWidth="1"/>
    <col min="2050" max="2050" width="23.88671875" style="2" hidden="1" customWidth="1"/>
    <col min="2051" max="2051" width="21.6640625" style="2" hidden="1" customWidth="1"/>
    <col min="2052" max="2052" width="3.109375" style="2" hidden="1" customWidth="1"/>
    <col min="2053" max="2053" width="15.6640625" style="2" hidden="1" customWidth="1"/>
    <col min="2054" max="2054" width="33.33203125" style="2" hidden="1" customWidth="1"/>
    <col min="2055" max="2055" width="38.6640625" style="2" hidden="1" customWidth="1"/>
    <col min="2056" max="2064" width="0" style="2" hidden="1" customWidth="1"/>
    <col min="2065" max="2065" width="2.109375" style="2" hidden="1" customWidth="1"/>
    <col min="2066" max="2066" width="0.109375" style="2" hidden="1" customWidth="1"/>
    <col min="2067" max="2067" width="2.33203125" style="2" hidden="1" customWidth="1"/>
    <col min="2068" max="2068" width="10" style="2" hidden="1" customWidth="1"/>
    <col min="2069" max="2069" width="3.44140625" style="2" hidden="1" customWidth="1"/>
    <col min="2070" max="2070" width="53.44140625" style="2" hidden="1" customWidth="1"/>
    <col min="2071" max="2071" width="2.33203125" style="2" hidden="1" customWidth="1"/>
    <col min="2072" max="2073" width="7.88671875" style="2" hidden="1" customWidth="1"/>
    <col min="2074" max="2304" width="0" style="2" hidden="1" customWidth="1"/>
    <col min="2305" max="2305" width="2.33203125" style="2" hidden="1" customWidth="1"/>
    <col min="2306" max="2306" width="23.88671875" style="2" hidden="1" customWidth="1"/>
    <col min="2307" max="2307" width="21.6640625" style="2" hidden="1" customWidth="1"/>
    <col min="2308" max="2308" width="3.109375" style="2" hidden="1" customWidth="1"/>
    <col min="2309" max="2309" width="15.6640625" style="2" hidden="1" customWidth="1"/>
    <col min="2310" max="2310" width="33.33203125" style="2" hidden="1" customWidth="1"/>
    <col min="2311" max="2311" width="38.6640625" style="2" hidden="1" customWidth="1"/>
    <col min="2312" max="2320" width="0" style="2" hidden="1" customWidth="1"/>
    <col min="2321" max="2321" width="2.109375" style="2" hidden="1" customWidth="1"/>
    <col min="2322" max="2322" width="0.109375" style="2" hidden="1" customWidth="1"/>
    <col min="2323" max="2323" width="2.33203125" style="2" hidden="1" customWidth="1"/>
    <col min="2324" max="2324" width="10" style="2" hidden="1" customWidth="1"/>
    <col min="2325" max="2325" width="3.44140625" style="2" hidden="1" customWidth="1"/>
    <col min="2326" max="2326" width="53.44140625" style="2" hidden="1" customWidth="1"/>
    <col min="2327" max="2327" width="2.33203125" style="2" hidden="1" customWidth="1"/>
    <col min="2328" max="2329" width="7.88671875" style="2" hidden="1" customWidth="1"/>
    <col min="2330" max="2560" width="0" style="2" hidden="1" customWidth="1"/>
    <col min="2561" max="2561" width="2.33203125" style="2" hidden="1" customWidth="1"/>
    <col min="2562" max="2562" width="23.88671875" style="2" hidden="1" customWidth="1"/>
    <col min="2563" max="2563" width="21.6640625" style="2" hidden="1" customWidth="1"/>
    <col min="2564" max="2564" width="3.109375" style="2" hidden="1" customWidth="1"/>
    <col min="2565" max="2565" width="15.6640625" style="2" hidden="1" customWidth="1"/>
    <col min="2566" max="2566" width="33.33203125" style="2" hidden="1" customWidth="1"/>
    <col min="2567" max="2567" width="38.6640625" style="2" hidden="1" customWidth="1"/>
    <col min="2568" max="2576" width="0" style="2" hidden="1" customWidth="1"/>
    <col min="2577" max="2577" width="2.109375" style="2" hidden="1" customWidth="1"/>
    <col min="2578" max="2578" width="0.109375" style="2" hidden="1" customWidth="1"/>
    <col min="2579" max="2579" width="2.33203125" style="2" hidden="1" customWidth="1"/>
    <col min="2580" max="2580" width="10" style="2" hidden="1" customWidth="1"/>
    <col min="2581" max="2581" width="3.44140625" style="2" hidden="1" customWidth="1"/>
    <col min="2582" max="2582" width="53.44140625" style="2" hidden="1" customWidth="1"/>
    <col min="2583" max="2583" width="2.33203125" style="2" hidden="1" customWidth="1"/>
    <col min="2584" max="2585" width="7.88671875" style="2" hidden="1" customWidth="1"/>
    <col min="2586" max="2816" width="0" style="2" hidden="1" customWidth="1"/>
    <col min="2817" max="2817" width="2.33203125" style="2" hidden="1" customWidth="1"/>
    <col min="2818" max="2818" width="23.88671875" style="2" hidden="1" customWidth="1"/>
    <col min="2819" max="2819" width="21.6640625" style="2" hidden="1" customWidth="1"/>
    <col min="2820" max="2820" width="3.109375" style="2" hidden="1" customWidth="1"/>
    <col min="2821" max="2821" width="15.6640625" style="2" hidden="1" customWidth="1"/>
    <col min="2822" max="2822" width="33.33203125" style="2" hidden="1" customWidth="1"/>
    <col min="2823" max="2823" width="38.6640625" style="2" hidden="1" customWidth="1"/>
    <col min="2824" max="2832" width="0" style="2" hidden="1" customWidth="1"/>
    <col min="2833" max="2833" width="2.109375" style="2" hidden="1" customWidth="1"/>
    <col min="2834" max="2834" width="0.109375" style="2" hidden="1" customWidth="1"/>
    <col min="2835" max="2835" width="2.33203125" style="2" hidden="1" customWidth="1"/>
    <col min="2836" max="2836" width="10" style="2" hidden="1" customWidth="1"/>
    <col min="2837" max="2837" width="3.44140625" style="2" hidden="1" customWidth="1"/>
    <col min="2838" max="2838" width="53.44140625" style="2" hidden="1" customWidth="1"/>
    <col min="2839" max="2839" width="2.33203125" style="2" hidden="1" customWidth="1"/>
    <col min="2840" max="2841" width="7.88671875" style="2" hidden="1" customWidth="1"/>
    <col min="2842" max="3072" width="0" style="2" hidden="1" customWidth="1"/>
    <col min="3073" max="3073" width="2.33203125" style="2" hidden="1" customWidth="1"/>
    <col min="3074" max="3074" width="23.88671875" style="2" hidden="1" customWidth="1"/>
    <col min="3075" max="3075" width="21.6640625" style="2" hidden="1" customWidth="1"/>
    <col min="3076" max="3076" width="3.109375" style="2" hidden="1" customWidth="1"/>
    <col min="3077" max="3077" width="15.6640625" style="2" hidden="1" customWidth="1"/>
    <col min="3078" max="3078" width="33.33203125" style="2" hidden="1" customWidth="1"/>
    <col min="3079" max="3079" width="38.6640625" style="2" hidden="1" customWidth="1"/>
    <col min="3080" max="3088" width="0" style="2" hidden="1" customWidth="1"/>
    <col min="3089" max="3089" width="2.109375" style="2" hidden="1" customWidth="1"/>
    <col min="3090" max="3090" width="0.109375" style="2" hidden="1" customWidth="1"/>
    <col min="3091" max="3091" width="2.33203125" style="2" hidden="1" customWidth="1"/>
    <col min="3092" max="3092" width="10" style="2" hidden="1" customWidth="1"/>
    <col min="3093" max="3093" width="3.44140625" style="2" hidden="1" customWidth="1"/>
    <col min="3094" max="3094" width="53.44140625" style="2" hidden="1" customWidth="1"/>
    <col min="3095" max="3095" width="2.33203125" style="2" hidden="1" customWidth="1"/>
    <col min="3096" max="3097" width="7.88671875" style="2" hidden="1" customWidth="1"/>
    <col min="3098" max="3328" width="0" style="2" hidden="1" customWidth="1"/>
    <col min="3329" max="3329" width="2.33203125" style="2" hidden="1" customWidth="1"/>
    <col min="3330" max="3330" width="23.88671875" style="2" hidden="1" customWidth="1"/>
    <col min="3331" max="3331" width="21.6640625" style="2" hidden="1" customWidth="1"/>
    <col min="3332" max="3332" width="3.109375" style="2" hidden="1" customWidth="1"/>
    <col min="3333" max="3333" width="15.6640625" style="2" hidden="1" customWidth="1"/>
    <col min="3334" max="3334" width="33.33203125" style="2" hidden="1" customWidth="1"/>
    <col min="3335" max="3335" width="38.6640625" style="2" hidden="1" customWidth="1"/>
    <col min="3336" max="3344" width="0" style="2" hidden="1" customWidth="1"/>
    <col min="3345" max="3345" width="2.109375" style="2" hidden="1" customWidth="1"/>
    <col min="3346" max="3346" width="0.109375" style="2" hidden="1" customWidth="1"/>
    <col min="3347" max="3347" width="2.33203125" style="2" hidden="1" customWidth="1"/>
    <col min="3348" max="3348" width="10" style="2" hidden="1" customWidth="1"/>
    <col min="3349" max="3349" width="3.44140625" style="2" hidden="1" customWidth="1"/>
    <col min="3350" max="3350" width="53.44140625" style="2" hidden="1" customWidth="1"/>
    <col min="3351" max="3351" width="2.33203125" style="2" hidden="1" customWidth="1"/>
    <col min="3352" max="3353" width="7.88671875" style="2" hidden="1" customWidth="1"/>
    <col min="3354" max="3584" width="0" style="2" hidden="1" customWidth="1"/>
    <col min="3585" max="3585" width="2.33203125" style="2" hidden="1" customWidth="1"/>
    <col min="3586" max="3586" width="23.88671875" style="2" hidden="1" customWidth="1"/>
    <col min="3587" max="3587" width="21.6640625" style="2" hidden="1" customWidth="1"/>
    <col min="3588" max="3588" width="3.109375" style="2" hidden="1" customWidth="1"/>
    <col min="3589" max="3589" width="15.6640625" style="2" hidden="1" customWidth="1"/>
    <col min="3590" max="3590" width="33.33203125" style="2" hidden="1" customWidth="1"/>
    <col min="3591" max="3591" width="38.6640625" style="2" hidden="1" customWidth="1"/>
    <col min="3592" max="3600" width="0" style="2" hidden="1" customWidth="1"/>
    <col min="3601" max="3601" width="2.109375" style="2" hidden="1" customWidth="1"/>
    <col min="3602" max="3602" width="0.109375" style="2" hidden="1" customWidth="1"/>
    <col min="3603" max="3603" width="2.33203125" style="2" hidden="1" customWidth="1"/>
    <col min="3604" max="3604" width="10" style="2" hidden="1" customWidth="1"/>
    <col min="3605" max="3605" width="3.44140625" style="2" hidden="1" customWidth="1"/>
    <col min="3606" max="3606" width="53.44140625" style="2" hidden="1" customWidth="1"/>
    <col min="3607" max="3607" width="2.33203125" style="2" hidden="1" customWidth="1"/>
    <col min="3608" max="3609" width="7.88671875" style="2" hidden="1" customWidth="1"/>
    <col min="3610" max="3840" width="0" style="2" hidden="1" customWidth="1"/>
    <col min="3841" max="3841" width="2.33203125" style="2" hidden="1" customWidth="1"/>
    <col min="3842" max="3842" width="23.88671875" style="2" hidden="1" customWidth="1"/>
    <col min="3843" max="3843" width="21.6640625" style="2" hidden="1" customWidth="1"/>
    <col min="3844" max="3844" width="3.109375" style="2" hidden="1" customWidth="1"/>
    <col min="3845" max="3845" width="15.6640625" style="2" hidden="1" customWidth="1"/>
    <col min="3846" max="3846" width="33.33203125" style="2" hidden="1" customWidth="1"/>
    <col min="3847" max="3847" width="38.6640625" style="2" hidden="1" customWidth="1"/>
    <col min="3848" max="3856" width="0" style="2" hidden="1" customWidth="1"/>
    <col min="3857" max="3857" width="2.109375" style="2" hidden="1" customWidth="1"/>
    <col min="3858" max="3858" width="0.109375" style="2" hidden="1" customWidth="1"/>
    <col min="3859" max="3859" width="2.33203125" style="2" hidden="1" customWidth="1"/>
    <col min="3860" max="3860" width="10" style="2" hidden="1" customWidth="1"/>
    <col min="3861" max="3861" width="3.44140625" style="2" hidden="1" customWidth="1"/>
    <col min="3862" max="3862" width="53.44140625" style="2" hidden="1" customWidth="1"/>
    <col min="3863" max="3863" width="2.33203125" style="2" hidden="1" customWidth="1"/>
    <col min="3864" max="3865" width="7.88671875" style="2" hidden="1" customWidth="1"/>
    <col min="3866" max="4096" width="0" style="2" hidden="1" customWidth="1"/>
    <col min="4097" max="4097" width="2.33203125" style="2" hidden="1" customWidth="1"/>
    <col min="4098" max="4098" width="23.88671875" style="2" hidden="1" customWidth="1"/>
    <col min="4099" max="4099" width="21.6640625" style="2" hidden="1" customWidth="1"/>
    <col min="4100" max="4100" width="3.109375" style="2" hidden="1" customWidth="1"/>
    <col min="4101" max="4101" width="15.6640625" style="2" hidden="1" customWidth="1"/>
    <col min="4102" max="4102" width="33.33203125" style="2" hidden="1" customWidth="1"/>
    <col min="4103" max="4103" width="38.6640625" style="2" hidden="1" customWidth="1"/>
    <col min="4104" max="4112" width="0" style="2" hidden="1" customWidth="1"/>
    <col min="4113" max="4113" width="2.109375" style="2" hidden="1" customWidth="1"/>
    <col min="4114" max="4114" width="0.109375" style="2" hidden="1" customWidth="1"/>
    <col min="4115" max="4115" width="2.33203125" style="2" hidden="1" customWidth="1"/>
    <col min="4116" max="4116" width="10" style="2" hidden="1" customWidth="1"/>
    <col min="4117" max="4117" width="3.44140625" style="2" hidden="1" customWidth="1"/>
    <col min="4118" max="4118" width="53.44140625" style="2" hidden="1" customWidth="1"/>
    <col min="4119" max="4119" width="2.33203125" style="2" hidden="1" customWidth="1"/>
    <col min="4120" max="4121" width="7.88671875" style="2" hidden="1" customWidth="1"/>
    <col min="4122" max="4352" width="0" style="2" hidden="1" customWidth="1"/>
    <col min="4353" max="4353" width="2.33203125" style="2" hidden="1" customWidth="1"/>
    <col min="4354" max="4354" width="23.88671875" style="2" hidden="1" customWidth="1"/>
    <col min="4355" max="4355" width="21.6640625" style="2" hidden="1" customWidth="1"/>
    <col min="4356" max="4356" width="3.109375" style="2" hidden="1" customWidth="1"/>
    <col min="4357" max="4357" width="15.6640625" style="2" hidden="1" customWidth="1"/>
    <col min="4358" max="4358" width="33.33203125" style="2" hidden="1" customWidth="1"/>
    <col min="4359" max="4359" width="38.6640625" style="2" hidden="1" customWidth="1"/>
    <col min="4360" max="4368" width="0" style="2" hidden="1" customWidth="1"/>
    <col min="4369" max="4369" width="2.109375" style="2" hidden="1" customWidth="1"/>
    <col min="4370" max="4370" width="0.109375" style="2" hidden="1" customWidth="1"/>
    <col min="4371" max="4371" width="2.33203125" style="2" hidden="1" customWidth="1"/>
    <col min="4372" max="4372" width="10" style="2" hidden="1" customWidth="1"/>
    <col min="4373" max="4373" width="3.44140625" style="2" hidden="1" customWidth="1"/>
    <col min="4374" max="4374" width="53.44140625" style="2" hidden="1" customWidth="1"/>
    <col min="4375" max="4375" width="2.33203125" style="2" hidden="1" customWidth="1"/>
    <col min="4376" max="4377" width="7.88671875" style="2" hidden="1" customWidth="1"/>
    <col min="4378" max="4608" width="0" style="2" hidden="1" customWidth="1"/>
    <col min="4609" max="4609" width="2.33203125" style="2" hidden="1" customWidth="1"/>
    <col min="4610" max="4610" width="23.88671875" style="2" hidden="1" customWidth="1"/>
    <col min="4611" max="4611" width="21.6640625" style="2" hidden="1" customWidth="1"/>
    <col min="4612" max="4612" width="3.109375" style="2" hidden="1" customWidth="1"/>
    <col min="4613" max="4613" width="15.6640625" style="2" hidden="1" customWidth="1"/>
    <col min="4614" max="4614" width="33.33203125" style="2" hidden="1" customWidth="1"/>
    <col min="4615" max="4615" width="38.6640625" style="2" hidden="1" customWidth="1"/>
    <col min="4616" max="4624" width="0" style="2" hidden="1" customWidth="1"/>
    <col min="4625" max="4625" width="2.109375" style="2" hidden="1" customWidth="1"/>
    <col min="4626" max="4626" width="0.109375" style="2" hidden="1" customWidth="1"/>
    <col min="4627" max="4627" width="2.33203125" style="2" hidden="1" customWidth="1"/>
    <col min="4628" max="4628" width="10" style="2" hidden="1" customWidth="1"/>
    <col min="4629" max="4629" width="3.44140625" style="2" hidden="1" customWidth="1"/>
    <col min="4630" max="4630" width="53.44140625" style="2" hidden="1" customWidth="1"/>
    <col min="4631" max="4631" width="2.33203125" style="2" hidden="1" customWidth="1"/>
    <col min="4632" max="4633" width="7.88671875" style="2" hidden="1" customWidth="1"/>
    <col min="4634" max="4864" width="0" style="2" hidden="1" customWidth="1"/>
    <col min="4865" max="4865" width="2.33203125" style="2" hidden="1" customWidth="1"/>
    <col min="4866" max="4866" width="23.88671875" style="2" hidden="1" customWidth="1"/>
    <col min="4867" max="4867" width="21.6640625" style="2" hidden="1" customWidth="1"/>
    <col min="4868" max="4868" width="3.109375" style="2" hidden="1" customWidth="1"/>
    <col min="4869" max="4869" width="15.6640625" style="2" hidden="1" customWidth="1"/>
    <col min="4870" max="4870" width="33.33203125" style="2" hidden="1" customWidth="1"/>
    <col min="4871" max="4871" width="38.6640625" style="2" hidden="1" customWidth="1"/>
    <col min="4872" max="4880" width="0" style="2" hidden="1" customWidth="1"/>
    <col min="4881" max="4881" width="2.109375" style="2" hidden="1" customWidth="1"/>
    <col min="4882" max="4882" width="0.109375" style="2" hidden="1" customWidth="1"/>
    <col min="4883" max="4883" width="2.33203125" style="2" hidden="1" customWidth="1"/>
    <col min="4884" max="4884" width="10" style="2" hidden="1" customWidth="1"/>
    <col min="4885" max="4885" width="3.44140625" style="2" hidden="1" customWidth="1"/>
    <col min="4886" max="4886" width="53.44140625" style="2" hidden="1" customWidth="1"/>
    <col min="4887" max="4887" width="2.33203125" style="2" hidden="1" customWidth="1"/>
    <col min="4888" max="4889" width="7.88671875" style="2" hidden="1" customWidth="1"/>
    <col min="4890" max="5120" width="0" style="2" hidden="1" customWidth="1"/>
    <col min="5121" max="5121" width="2.33203125" style="2" hidden="1" customWidth="1"/>
    <col min="5122" max="5122" width="23.88671875" style="2" hidden="1" customWidth="1"/>
    <col min="5123" max="5123" width="21.6640625" style="2" hidden="1" customWidth="1"/>
    <col min="5124" max="5124" width="3.109375" style="2" hidden="1" customWidth="1"/>
    <col min="5125" max="5125" width="15.6640625" style="2" hidden="1" customWidth="1"/>
    <col min="5126" max="5126" width="33.33203125" style="2" hidden="1" customWidth="1"/>
    <col min="5127" max="5127" width="38.6640625" style="2" hidden="1" customWidth="1"/>
    <col min="5128" max="5136" width="0" style="2" hidden="1" customWidth="1"/>
    <col min="5137" max="5137" width="2.109375" style="2" hidden="1" customWidth="1"/>
    <col min="5138" max="5138" width="0.109375" style="2" hidden="1" customWidth="1"/>
    <col min="5139" max="5139" width="2.33203125" style="2" hidden="1" customWidth="1"/>
    <col min="5140" max="5140" width="10" style="2" hidden="1" customWidth="1"/>
    <col min="5141" max="5141" width="3.44140625" style="2" hidden="1" customWidth="1"/>
    <col min="5142" max="5142" width="53.44140625" style="2" hidden="1" customWidth="1"/>
    <col min="5143" max="5143" width="2.33203125" style="2" hidden="1" customWidth="1"/>
    <col min="5144" max="5145" width="7.88671875" style="2" hidden="1" customWidth="1"/>
    <col min="5146" max="5376" width="0" style="2" hidden="1" customWidth="1"/>
    <col min="5377" max="5377" width="2.33203125" style="2" hidden="1" customWidth="1"/>
    <col min="5378" max="5378" width="23.88671875" style="2" hidden="1" customWidth="1"/>
    <col min="5379" max="5379" width="21.6640625" style="2" hidden="1" customWidth="1"/>
    <col min="5380" max="5380" width="3.109375" style="2" hidden="1" customWidth="1"/>
    <col min="5381" max="5381" width="15.6640625" style="2" hidden="1" customWidth="1"/>
    <col min="5382" max="5382" width="33.33203125" style="2" hidden="1" customWidth="1"/>
    <col min="5383" max="5383" width="38.6640625" style="2" hidden="1" customWidth="1"/>
    <col min="5384" max="5392" width="0" style="2" hidden="1" customWidth="1"/>
    <col min="5393" max="5393" width="2.109375" style="2" hidden="1" customWidth="1"/>
    <col min="5394" max="5394" width="0.109375" style="2" hidden="1" customWidth="1"/>
    <col min="5395" max="5395" width="2.33203125" style="2" hidden="1" customWidth="1"/>
    <col min="5396" max="5396" width="10" style="2" hidden="1" customWidth="1"/>
    <col min="5397" max="5397" width="3.44140625" style="2" hidden="1" customWidth="1"/>
    <col min="5398" max="5398" width="53.44140625" style="2" hidden="1" customWidth="1"/>
    <col min="5399" max="5399" width="2.33203125" style="2" hidden="1" customWidth="1"/>
    <col min="5400" max="5401" width="7.88671875" style="2" hidden="1" customWidth="1"/>
    <col min="5402" max="5632" width="0" style="2" hidden="1" customWidth="1"/>
    <col min="5633" max="5633" width="2.33203125" style="2" hidden="1" customWidth="1"/>
    <col min="5634" max="5634" width="23.88671875" style="2" hidden="1" customWidth="1"/>
    <col min="5635" max="5635" width="21.6640625" style="2" hidden="1" customWidth="1"/>
    <col min="5636" max="5636" width="3.109375" style="2" hidden="1" customWidth="1"/>
    <col min="5637" max="5637" width="15.6640625" style="2" hidden="1" customWidth="1"/>
    <col min="5638" max="5638" width="33.33203125" style="2" hidden="1" customWidth="1"/>
    <col min="5639" max="5639" width="38.6640625" style="2" hidden="1" customWidth="1"/>
    <col min="5640" max="5648" width="0" style="2" hidden="1" customWidth="1"/>
    <col min="5649" max="5649" width="2.109375" style="2" hidden="1" customWidth="1"/>
    <col min="5650" max="5650" width="0.109375" style="2" hidden="1" customWidth="1"/>
    <col min="5651" max="5651" width="2.33203125" style="2" hidden="1" customWidth="1"/>
    <col min="5652" max="5652" width="10" style="2" hidden="1" customWidth="1"/>
    <col min="5653" max="5653" width="3.44140625" style="2" hidden="1" customWidth="1"/>
    <col min="5654" max="5654" width="53.44140625" style="2" hidden="1" customWidth="1"/>
    <col min="5655" max="5655" width="2.33203125" style="2" hidden="1" customWidth="1"/>
    <col min="5656" max="5657" width="7.88671875" style="2" hidden="1" customWidth="1"/>
    <col min="5658" max="5888" width="0" style="2" hidden="1" customWidth="1"/>
    <col min="5889" max="5889" width="2.33203125" style="2" hidden="1" customWidth="1"/>
    <col min="5890" max="5890" width="23.88671875" style="2" hidden="1" customWidth="1"/>
    <col min="5891" max="5891" width="21.6640625" style="2" hidden="1" customWidth="1"/>
    <col min="5892" max="5892" width="3.109375" style="2" hidden="1" customWidth="1"/>
    <col min="5893" max="5893" width="15.6640625" style="2" hidden="1" customWidth="1"/>
    <col min="5894" max="5894" width="33.33203125" style="2" hidden="1" customWidth="1"/>
    <col min="5895" max="5895" width="38.6640625" style="2" hidden="1" customWidth="1"/>
    <col min="5896" max="5904" width="0" style="2" hidden="1" customWidth="1"/>
    <col min="5905" max="5905" width="2.109375" style="2" hidden="1" customWidth="1"/>
    <col min="5906" max="5906" width="0.109375" style="2" hidden="1" customWidth="1"/>
    <col min="5907" max="5907" width="2.33203125" style="2" hidden="1" customWidth="1"/>
    <col min="5908" max="5908" width="10" style="2" hidden="1" customWidth="1"/>
    <col min="5909" max="5909" width="3.44140625" style="2" hidden="1" customWidth="1"/>
    <col min="5910" max="5910" width="53.44140625" style="2" hidden="1" customWidth="1"/>
    <col min="5911" max="5911" width="2.33203125" style="2" hidden="1" customWidth="1"/>
    <col min="5912" max="5913" width="7.88671875" style="2" hidden="1" customWidth="1"/>
    <col min="5914" max="6144" width="0" style="2" hidden="1" customWidth="1"/>
    <col min="6145" max="6145" width="2.33203125" style="2" hidden="1" customWidth="1"/>
    <col min="6146" max="6146" width="23.88671875" style="2" hidden="1" customWidth="1"/>
    <col min="6147" max="6147" width="21.6640625" style="2" hidden="1" customWidth="1"/>
    <col min="6148" max="6148" width="3.109375" style="2" hidden="1" customWidth="1"/>
    <col min="6149" max="6149" width="15.6640625" style="2" hidden="1" customWidth="1"/>
    <col min="6150" max="6150" width="33.33203125" style="2" hidden="1" customWidth="1"/>
    <col min="6151" max="6151" width="38.6640625" style="2" hidden="1" customWidth="1"/>
    <col min="6152" max="6160" width="0" style="2" hidden="1" customWidth="1"/>
    <col min="6161" max="6161" width="2.109375" style="2" hidden="1" customWidth="1"/>
    <col min="6162" max="6162" width="0.109375" style="2" hidden="1" customWidth="1"/>
    <col min="6163" max="6163" width="2.33203125" style="2" hidden="1" customWidth="1"/>
    <col min="6164" max="6164" width="10" style="2" hidden="1" customWidth="1"/>
    <col min="6165" max="6165" width="3.44140625" style="2" hidden="1" customWidth="1"/>
    <col min="6166" max="6166" width="53.44140625" style="2" hidden="1" customWidth="1"/>
    <col min="6167" max="6167" width="2.33203125" style="2" hidden="1" customWidth="1"/>
    <col min="6168" max="6169" width="7.88671875" style="2" hidden="1" customWidth="1"/>
    <col min="6170" max="6400" width="0" style="2" hidden="1" customWidth="1"/>
    <col min="6401" max="6401" width="2.33203125" style="2" hidden="1" customWidth="1"/>
    <col min="6402" max="6402" width="23.88671875" style="2" hidden="1" customWidth="1"/>
    <col min="6403" max="6403" width="21.6640625" style="2" hidden="1" customWidth="1"/>
    <col min="6404" max="6404" width="3.109375" style="2" hidden="1" customWidth="1"/>
    <col min="6405" max="6405" width="15.6640625" style="2" hidden="1" customWidth="1"/>
    <col min="6406" max="6406" width="33.33203125" style="2" hidden="1" customWidth="1"/>
    <col min="6407" max="6407" width="38.6640625" style="2" hidden="1" customWidth="1"/>
    <col min="6408" max="6416" width="0" style="2" hidden="1" customWidth="1"/>
    <col min="6417" max="6417" width="2.109375" style="2" hidden="1" customWidth="1"/>
    <col min="6418" max="6418" width="0.109375" style="2" hidden="1" customWidth="1"/>
    <col min="6419" max="6419" width="2.33203125" style="2" hidden="1" customWidth="1"/>
    <col min="6420" max="6420" width="10" style="2" hidden="1" customWidth="1"/>
    <col min="6421" max="6421" width="3.44140625" style="2" hidden="1" customWidth="1"/>
    <col min="6422" max="6422" width="53.44140625" style="2" hidden="1" customWidth="1"/>
    <col min="6423" max="6423" width="2.33203125" style="2" hidden="1" customWidth="1"/>
    <col min="6424" max="6425" width="7.88671875" style="2" hidden="1" customWidth="1"/>
    <col min="6426" max="6656" width="0" style="2" hidden="1" customWidth="1"/>
    <col min="6657" max="6657" width="2.33203125" style="2" hidden="1" customWidth="1"/>
    <col min="6658" max="6658" width="23.88671875" style="2" hidden="1" customWidth="1"/>
    <col min="6659" max="6659" width="21.6640625" style="2" hidden="1" customWidth="1"/>
    <col min="6660" max="6660" width="3.109375" style="2" hidden="1" customWidth="1"/>
    <col min="6661" max="6661" width="15.6640625" style="2" hidden="1" customWidth="1"/>
    <col min="6662" max="6662" width="33.33203125" style="2" hidden="1" customWidth="1"/>
    <col min="6663" max="6663" width="38.6640625" style="2" hidden="1" customWidth="1"/>
    <col min="6664" max="6672" width="0" style="2" hidden="1" customWidth="1"/>
    <col min="6673" max="6673" width="2.109375" style="2" hidden="1" customWidth="1"/>
    <col min="6674" max="6674" width="0.109375" style="2" hidden="1" customWidth="1"/>
    <col min="6675" max="6675" width="2.33203125" style="2" hidden="1" customWidth="1"/>
    <col min="6676" max="6676" width="10" style="2" hidden="1" customWidth="1"/>
    <col min="6677" max="6677" width="3.44140625" style="2" hidden="1" customWidth="1"/>
    <col min="6678" max="6678" width="53.44140625" style="2" hidden="1" customWidth="1"/>
    <col min="6679" max="6679" width="2.33203125" style="2" hidden="1" customWidth="1"/>
    <col min="6680" max="6681" width="7.88671875" style="2" hidden="1" customWidth="1"/>
    <col min="6682" max="6912" width="0" style="2" hidden="1" customWidth="1"/>
    <col min="6913" max="6913" width="2.33203125" style="2" hidden="1" customWidth="1"/>
    <col min="6914" max="6914" width="23.88671875" style="2" hidden="1" customWidth="1"/>
    <col min="6915" max="6915" width="21.6640625" style="2" hidden="1" customWidth="1"/>
    <col min="6916" max="6916" width="3.109375" style="2" hidden="1" customWidth="1"/>
    <col min="6917" max="6917" width="15.6640625" style="2" hidden="1" customWidth="1"/>
    <col min="6918" max="6918" width="33.33203125" style="2" hidden="1" customWidth="1"/>
    <col min="6919" max="6919" width="38.6640625" style="2" hidden="1" customWidth="1"/>
    <col min="6920" max="6928" width="0" style="2" hidden="1" customWidth="1"/>
    <col min="6929" max="6929" width="2.109375" style="2" hidden="1" customWidth="1"/>
    <col min="6930" max="6930" width="0.109375" style="2" hidden="1" customWidth="1"/>
    <col min="6931" max="6931" width="2.33203125" style="2" hidden="1" customWidth="1"/>
    <col min="6932" max="6932" width="10" style="2" hidden="1" customWidth="1"/>
    <col min="6933" max="6933" width="3.44140625" style="2" hidden="1" customWidth="1"/>
    <col min="6934" max="6934" width="53.44140625" style="2" hidden="1" customWidth="1"/>
    <col min="6935" max="6935" width="2.33203125" style="2" hidden="1" customWidth="1"/>
    <col min="6936" max="6937" width="7.88671875" style="2" hidden="1" customWidth="1"/>
    <col min="6938" max="7168" width="0" style="2" hidden="1" customWidth="1"/>
    <col min="7169" max="7169" width="2.33203125" style="2" hidden="1" customWidth="1"/>
    <col min="7170" max="7170" width="23.88671875" style="2" hidden="1" customWidth="1"/>
    <col min="7171" max="7171" width="21.6640625" style="2" hidden="1" customWidth="1"/>
    <col min="7172" max="7172" width="3.109375" style="2" hidden="1" customWidth="1"/>
    <col min="7173" max="7173" width="15.6640625" style="2" hidden="1" customWidth="1"/>
    <col min="7174" max="7174" width="33.33203125" style="2" hidden="1" customWidth="1"/>
    <col min="7175" max="7175" width="38.6640625" style="2" hidden="1" customWidth="1"/>
    <col min="7176" max="7184" width="0" style="2" hidden="1" customWidth="1"/>
    <col min="7185" max="7185" width="2.109375" style="2" hidden="1" customWidth="1"/>
    <col min="7186" max="7186" width="0.109375" style="2" hidden="1" customWidth="1"/>
    <col min="7187" max="7187" width="2.33203125" style="2" hidden="1" customWidth="1"/>
    <col min="7188" max="7188" width="10" style="2" hidden="1" customWidth="1"/>
    <col min="7189" max="7189" width="3.44140625" style="2" hidden="1" customWidth="1"/>
    <col min="7190" max="7190" width="53.44140625" style="2" hidden="1" customWidth="1"/>
    <col min="7191" max="7191" width="2.33203125" style="2" hidden="1" customWidth="1"/>
    <col min="7192" max="7193" width="7.88671875" style="2" hidden="1" customWidth="1"/>
    <col min="7194" max="7424" width="0" style="2" hidden="1" customWidth="1"/>
    <col min="7425" max="7425" width="2.33203125" style="2" hidden="1" customWidth="1"/>
    <col min="7426" max="7426" width="23.88671875" style="2" hidden="1" customWidth="1"/>
    <col min="7427" max="7427" width="21.6640625" style="2" hidden="1" customWidth="1"/>
    <col min="7428" max="7428" width="3.109375" style="2" hidden="1" customWidth="1"/>
    <col min="7429" max="7429" width="15.6640625" style="2" hidden="1" customWidth="1"/>
    <col min="7430" max="7430" width="33.33203125" style="2" hidden="1" customWidth="1"/>
    <col min="7431" max="7431" width="38.6640625" style="2" hidden="1" customWidth="1"/>
    <col min="7432" max="7440" width="0" style="2" hidden="1" customWidth="1"/>
    <col min="7441" max="7441" width="2.109375" style="2" hidden="1" customWidth="1"/>
    <col min="7442" max="7442" width="0.109375" style="2" hidden="1" customWidth="1"/>
    <col min="7443" max="7443" width="2.33203125" style="2" hidden="1" customWidth="1"/>
    <col min="7444" max="7444" width="10" style="2" hidden="1" customWidth="1"/>
    <col min="7445" max="7445" width="3.44140625" style="2" hidden="1" customWidth="1"/>
    <col min="7446" max="7446" width="53.44140625" style="2" hidden="1" customWidth="1"/>
    <col min="7447" max="7447" width="2.33203125" style="2" hidden="1" customWidth="1"/>
    <col min="7448" max="7449" width="7.88671875" style="2" hidden="1" customWidth="1"/>
    <col min="7450" max="7680" width="0" style="2" hidden="1" customWidth="1"/>
    <col min="7681" max="7681" width="2.33203125" style="2" hidden="1" customWidth="1"/>
    <col min="7682" max="7682" width="23.88671875" style="2" hidden="1" customWidth="1"/>
    <col min="7683" max="7683" width="21.6640625" style="2" hidden="1" customWidth="1"/>
    <col min="7684" max="7684" width="3.109375" style="2" hidden="1" customWidth="1"/>
    <col min="7685" max="7685" width="15.6640625" style="2" hidden="1" customWidth="1"/>
    <col min="7686" max="7686" width="33.33203125" style="2" hidden="1" customWidth="1"/>
    <col min="7687" max="7687" width="38.6640625" style="2" hidden="1" customWidth="1"/>
    <col min="7688" max="7696" width="0" style="2" hidden="1" customWidth="1"/>
    <col min="7697" max="7697" width="2.109375" style="2" hidden="1" customWidth="1"/>
    <col min="7698" max="7698" width="0.109375" style="2" hidden="1" customWidth="1"/>
    <col min="7699" max="7699" width="2.33203125" style="2" hidden="1" customWidth="1"/>
    <col min="7700" max="7700" width="10" style="2" hidden="1" customWidth="1"/>
    <col min="7701" max="7701" width="3.44140625" style="2" hidden="1" customWidth="1"/>
    <col min="7702" max="7702" width="53.44140625" style="2" hidden="1" customWidth="1"/>
    <col min="7703" max="7703" width="2.33203125" style="2" hidden="1" customWidth="1"/>
    <col min="7704" max="7705" width="7.88671875" style="2" hidden="1" customWidth="1"/>
    <col min="7706" max="7936" width="0" style="2" hidden="1" customWidth="1"/>
    <col min="7937" max="7937" width="2.33203125" style="2" hidden="1" customWidth="1"/>
    <col min="7938" max="7938" width="23.88671875" style="2" hidden="1" customWidth="1"/>
    <col min="7939" max="7939" width="21.6640625" style="2" hidden="1" customWidth="1"/>
    <col min="7940" max="7940" width="3.109375" style="2" hidden="1" customWidth="1"/>
    <col min="7941" max="7941" width="15.6640625" style="2" hidden="1" customWidth="1"/>
    <col min="7942" max="7942" width="33.33203125" style="2" hidden="1" customWidth="1"/>
    <col min="7943" max="7943" width="38.6640625" style="2" hidden="1" customWidth="1"/>
    <col min="7944" max="7952" width="0" style="2" hidden="1" customWidth="1"/>
    <col min="7953" max="7953" width="2.109375" style="2" hidden="1" customWidth="1"/>
    <col min="7954" max="7954" width="0.109375" style="2" hidden="1" customWidth="1"/>
    <col min="7955" max="7955" width="2.33203125" style="2" hidden="1" customWidth="1"/>
    <col min="7956" max="7956" width="10" style="2" hidden="1" customWidth="1"/>
    <col min="7957" max="7957" width="3.44140625" style="2" hidden="1" customWidth="1"/>
    <col min="7958" max="7958" width="53.44140625" style="2" hidden="1" customWidth="1"/>
    <col min="7959" max="7959" width="2.33203125" style="2" hidden="1" customWidth="1"/>
    <col min="7960" max="7961" width="7.88671875" style="2" hidden="1" customWidth="1"/>
    <col min="7962" max="8192" width="0" style="2" hidden="1" customWidth="1"/>
    <col min="8193" max="8193" width="2.33203125" style="2" hidden="1" customWidth="1"/>
    <col min="8194" max="8194" width="23.88671875" style="2" hidden="1" customWidth="1"/>
    <col min="8195" max="8195" width="21.6640625" style="2" hidden="1" customWidth="1"/>
    <col min="8196" max="8196" width="3.109375" style="2" hidden="1" customWidth="1"/>
    <col min="8197" max="8197" width="15.6640625" style="2" hidden="1" customWidth="1"/>
    <col min="8198" max="8198" width="33.33203125" style="2" hidden="1" customWidth="1"/>
    <col min="8199" max="8199" width="38.6640625" style="2" hidden="1" customWidth="1"/>
    <col min="8200" max="8208" width="0" style="2" hidden="1" customWidth="1"/>
    <col min="8209" max="8209" width="2.109375" style="2" hidden="1" customWidth="1"/>
    <col min="8210" max="8210" width="0.109375" style="2" hidden="1" customWidth="1"/>
    <col min="8211" max="8211" width="2.33203125" style="2" hidden="1" customWidth="1"/>
    <col min="8212" max="8212" width="10" style="2" hidden="1" customWidth="1"/>
    <col min="8213" max="8213" width="3.44140625" style="2" hidden="1" customWidth="1"/>
    <col min="8214" max="8214" width="53.44140625" style="2" hidden="1" customWidth="1"/>
    <col min="8215" max="8215" width="2.33203125" style="2" hidden="1" customWidth="1"/>
    <col min="8216" max="8217" width="7.88671875" style="2" hidden="1" customWidth="1"/>
    <col min="8218" max="8448" width="0" style="2" hidden="1" customWidth="1"/>
    <col min="8449" max="8449" width="2.33203125" style="2" hidden="1" customWidth="1"/>
    <col min="8450" max="8450" width="23.88671875" style="2" hidden="1" customWidth="1"/>
    <col min="8451" max="8451" width="21.6640625" style="2" hidden="1" customWidth="1"/>
    <col min="8452" max="8452" width="3.109375" style="2" hidden="1" customWidth="1"/>
    <col min="8453" max="8453" width="15.6640625" style="2" hidden="1" customWidth="1"/>
    <col min="8454" max="8454" width="33.33203125" style="2" hidden="1" customWidth="1"/>
    <col min="8455" max="8455" width="38.6640625" style="2" hidden="1" customWidth="1"/>
    <col min="8456" max="8464" width="0" style="2" hidden="1" customWidth="1"/>
    <col min="8465" max="8465" width="2.109375" style="2" hidden="1" customWidth="1"/>
    <col min="8466" max="8466" width="0.109375" style="2" hidden="1" customWidth="1"/>
    <col min="8467" max="8467" width="2.33203125" style="2" hidden="1" customWidth="1"/>
    <col min="8468" max="8468" width="10" style="2" hidden="1" customWidth="1"/>
    <col min="8469" max="8469" width="3.44140625" style="2" hidden="1" customWidth="1"/>
    <col min="8470" max="8470" width="53.44140625" style="2" hidden="1" customWidth="1"/>
    <col min="8471" max="8471" width="2.33203125" style="2" hidden="1" customWidth="1"/>
    <col min="8472" max="8473" width="7.88671875" style="2" hidden="1" customWidth="1"/>
    <col min="8474" max="8704" width="0" style="2" hidden="1" customWidth="1"/>
    <col min="8705" max="8705" width="2.33203125" style="2" hidden="1" customWidth="1"/>
    <col min="8706" max="8706" width="23.88671875" style="2" hidden="1" customWidth="1"/>
    <col min="8707" max="8707" width="21.6640625" style="2" hidden="1" customWidth="1"/>
    <col min="8708" max="8708" width="3.109375" style="2" hidden="1" customWidth="1"/>
    <col min="8709" max="8709" width="15.6640625" style="2" hidden="1" customWidth="1"/>
    <col min="8710" max="8710" width="33.33203125" style="2" hidden="1" customWidth="1"/>
    <col min="8711" max="8711" width="38.6640625" style="2" hidden="1" customWidth="1"/>
    <col min="8712" max="8720" width="0" style="2" hidden="1" customWidth="1"/>
    <col min="8721" max="8721" width="2.109375" style="2" hidden="1" customWidth="1"/>
    <col min="8722" max="8722" width="0.109375" style="2" hidden="1" customWidth="1"/>
    <col min="8723" max="8723" width="2.33203125" style="2" hidden="1" customWidth="1"/>
    <col min="8724" max="8724" width="10" style="2" hidden="1" customWidth="1"/>
    <col min="8725" max="8725" width="3.44140625" style="2" hidden="1" customWidth="1"/>
    <col min="8726" max="8726" width="53.44140625" style="2" hidden="1" customWidth="1"/>
    <col min="8727" max="8727" width="2.33203125" style="2" hidden="1" customWidth="1"/>
    <col min="8728" max="8729" width="7.88671875" style="2" hidden="1" customWidth="1"/>
    <col min="8730" max="8960" width="0" style="2" hidden="1" customWidth="1"/>
    <col min="8961" max="8961" width="2.33203125" style="2" hidden="1" customWidth="1"/>
    <col min="8962" max="8962" width="23.88671875" style="2" hidden="1" customWidth="1"/>
    <col min="8963" max="8963" width="21.6640625" style="2" hidden="1" customWidth="1"/>
    <col min="8964" max="8964" width="3.109375" style="2" hidden="1" customWidth="1"/>
    <col min="8965" max="8965" width="15.6640625" style="2" hidden="1" customWidth="1"/>
    <col min="8966" max="8966" width="33.33203125" style="2" hidden="1" customWidth="1"/>
    <col min="8967" max="8967" width="38.6640625" style="2" hidden="1" customWidth="1"/>
    <col min="8968" max="8976" width="0" style="2" hidden="1" customWidth="1"/>
    <col min="8977" max="8977" width="2.109375" style="2" hidden="1" customWidth="1"/>
    <col min="8978" max="8978" width="0.109375" style="2" hidden="1" customWidth="1"/>
    <col min="8979" max="8979" width="2.33203125" style="2" hidden="1" customWidth="1"/>
    <col min="8980" max="8980" width="10" style="2" hidden="1" customWidth="1"/>
    <col min="8981" max="8981" width="3.44140625" style="2" hidden="1" customWidth="1"/>
    <col min="8982" max="8982" width="53.44140625" style="2" hidden="1" customWidth="1"/>
    <col min="8983" max="8983" width="2.33203125" style="2" hidden="1" customWidth="1"/>
    <col min="8984" max="8985" width="7.88671875" style="2" hidden="1" customWidth="1"/>
    <col min="8986" max="9216" width="0" style="2" hidden="1" customWidth="1"/>
    <col min="9217" max="9217" width="2.33203125" style="2" hidden="1" customWidth="1"/>
    <col min="9218" max="9218" width="23.88671875" style="2" hidden="1" customWidth="1"/>
    <col min="9219" max="9219" width="21.6640625" style="2" hidden="1" customWidth="1"/>
    <col min="9220" max="9220" width="3.109375" style="2" hidden="1" customWidth="1"/>
    <col min="9221" max="9221" width="15.6640625" style="2" hidden="1" customWidth="1"/>
    <col min="9222" max="9222" width="33.33203125" style="2" hidden="1" customWidth="1"/>
    <col min="9223" max="9223" width="38.6640625" style="2" hidden="1" customWidth="1"/>
    <col min="9224" max="9232" width="0" style="2" hidden="1" customWidth="1"/>
    <col min="9233" max="9233" width="2.109375" style="2" hidden="1" customWidth="1"/>
    <col min="9234" max="9234" width="0.109375" style="2" hidden="1" customWidth="1"/>
    <col min="9235" max="9235" width="2.33203125" style="2" hidden="1" customWidth="1"/>
    <col min="9236" max="9236" width="10" style="2" hidden="1" customWidth="1"/>
    <col min="9237" max="9237" width="3.44140625" style="2" hidden="1" customWidth="1"/>
    <col min="9238" max="9238" width="53.44140625" style="2" hidden="1" customWidth="1"/>
    <col min="9239" max="9239" width="2.33203125" style="2" hidden="1" customWidth="1"/>
    <col min="9240" max="9241" width="7.88671875" style="2" hidden="1" customWidth="1"/>
    <col min="9242" max="9472" width="0" style="2" hidden="1" customWidth="1"/>
    <col min="9473" max="9473" width="2.33203125" style="2" hidden="1" customWidth="1"/>
    <col min="9474" max="9474" width="23.88671875" style="2" hidden="1" customWidth="1"/>
    <col min="9475" max="9475" width="21.6640625" style="2" hidden="1" customWidth="1"/>
    <col min="9476" max="9476" width="3.109375" style="2" hidden="1" customWidth="1"/>
    <col min="9477" max="9477" width="15.6640625" style="2" hidden="1" customWidth="1"/>
    <col min="9478" max="9478" width="33.33203125" style="2" hidden="1" customWidth="1"/>
    <col min="9479" max="9479" width="38.6640625" style="2" hidden="1" customWidth="1"/>
    <col min="9480" max="9488" width="0" style="2" hidden="1" customWidth="1"/>
    <col min="9489" max="9489" width="2.109375" style="2" hidden="1" customWidth="1"/>
    <col min="9490" max="9490" width="0.109375" style="2" hidden="1" customWidth="1"/>
    <col min="9491" max="9491" width="2.33203125" style="2" hidden="1" customWidth="1"/>
    <col min="9492" max="9492" width="10" style="2" hidden="1" customWidth="1"/>
    <col min="9493" max="9493" width="3.44140625" style="2" hidden="1" customWidth="1"/>
    <col min="9494" max="9494" width="53.44140625" style="2" hidden="1" customWidth="1"/>
    <col min="9495" max="9495" width="2.33203125" style="2" hidden="1" customWidth="1"/>
    <col min="9496" max="9497" width="7.88671875" style="2" hidden="1" customWidth="1"/>
    <col min="9498" max="9728" width="0" style="2" hidden="1" customWidth="1"/>
    <col min="9729" max="9729" width="2.33203125" style="2" hidden="1" customWidth="1"/>
    <col min="9730" max="9730" width="23.88671875" style="2" hidden="1" customWidth="1"/>
    <col min="9731" max="9731" width="21.6640625" style="2" hidden="1" customWidth="1"/>
    <col min="9732" max="9732" width="3.109375" style="2" hidden="1" customWidth="1"/>
    <col min="9733" max="9733" width="15.6640625" style="2" hidden="1" customWidth="1"/>
    <col min="9734" max="9734" width="33.33203125" style="2" hidden="1" customWidth="1"/>
    <col min="9735" max="9735" width="38.6640625" style="2" hidden="1" customWidth="1"/>
    <col min="9736" max="9744" width="0" style="2" hidden="1" customWidth="1"/>
    <col min="9745" max="9745" width="2.109375" style="2" hidden="1" customWidth="1"/>
    <col min="9746" max="9746" width="0.109375" style="2" hidden="1" customWidth="1"/>
    <col min="9747" max="9747" width="2.33203125" style="2" hidden="1" customWidth="1"/>
    <col min="9748" max="9748" width="10" style="2" hidden="1" customWidth="1"/>
    <col min="9749" max="9749" width="3.44140625" style="2" hidden="1" customWidth="1"/>
    <col min="9750" max="9750" width="53.44140625" style="2" hidden="1" customWidth="1"/>
    <col min="9751" max="9751" width="2.33203125" style="2" hidden="1" customWidth="1"/>
    <col min="9752" max="9753" width="7.88671875" style="2" hidden="1" customWidth="1"/>
    <col min="9754" max="9984" width="0" style="2" hidden="1" customWidth="1"/>
    <col min="9985" max="9985" width="2.33203125" style="2" hidden="1" customWidth="1"/>
    <col min="9986" max="9986" width="23.88671875" style="2" hidden="1" customWidth="1"/>
    <col min="9987" max="9987" width="21.6640625" style="2" hidden="1" customWidth="1"/>
    <col min="9988" max="9988" width="3.109375" style="2" hidden="1" customWidth="1"/>
    <col min="9989" max="9989" width="15.6640625" style="2" hidden="1" customWidth="1"/>
    <col min="9990" max="9990" width="33.33203125" style="2" hidden="1" customWidth="1"/>
    <col min="9991" max="9991" width="38.6640625" style="2" hidden="1" customWidth="1"/>
    <col min="9992" max="10000" width="0" style="2" hidden="1" customWidth="1"/>
    <col min="10001" max="10001" width="2.109375" style="2" hidden="1" customWidth="1"/>
    <col min="10002" max="10002" width="0.109375" style="2" hidden="1" customWidth="1"/>
    <col min="10003" max="10003" width="2.33203125" style="2" hidden="1" customWidth="1"/>
    <col min="10004" max="10004" width="10" style="2" hidden="1" customWidth="1"/>
    <col min="10005" max="10005" width="3.44140625" style="2" hidden="1" customWidth="1"/>
    <col min="10006" max="10006" width="53.44140625" style="2" hidden="1" customWidth="1"/>
    <col min="10007" max="10007" width="2.33203125" style="2" hidden="1" customWidth="1"/>
    <col min="10008" max="10009" width="7.88671875" style="2" hidden="1" customWidth="1"/>
    <col min="10010" max="10240" width="0" style="2" hidden="1" customWidth="1"/>
    <col min="10241" max="10241" width="2.33203125" style="2" hidden="1" customWidth="1"/>
    <col min="10242" max="10242" width="23.88671875" style="2" hidden="1" customWidth="1"/>
    <col min="10243" max="10243" width="21.6640625" style="2" hidden="1" customWidth="1"/>
    <col min="10244" max="10244" width="3.109375" style="2" hidden="1" customWidth="1"/>
    <col min="10245" max="10245" width="15.6640625" style="2" hidden="1" customWidth="1"/>
    <col min="10246" max="10246" width="33.33203125" style="2" hidden="1" customWidth="1"/>
    <col min="10247" max="10247" width="38.6640625" style="2" hidden="1" customWidth="1"/>
    <col min="10248" max="10256" width="0" style="2" hidden="1" customWidth="1"/>
    <col min="10257" max="10257" width="2.109375" style="2" hidden="1" customWidth="1"/>
    <col min="10258" max="10258" width="0.109375" style="2" hidden="1" customWidth="1"/>
    <col min="10259" max="10259" width="2.33203125" style="2" hidden="1" customWidth="1"/>
    <col min="10260" max="10260" width="10" style="2" hidden="1" customWidth="1"/>
    <col min="10261" max="10261" width="3.44140625" style="2" hidden="1" customWidth="1"/>
    <col min="10262" max="10262" width="53.44140625" style="2" hidden="1" customWidth="1"/>
    <col min="10263" max="10263" width="2.33203125" style="2" hidden="1" customWidth="1"/>
    <col min="10264" max="10265" width="7.88671875" style="2" hidden="1" customWidth="1"/>
    <col min="10266" max="10496" width="0" style="2" hidden="1" customWidth="1"/>
    <col min="10497" max="10497" width="2.33203125" style="2" hidden="1" customWidth="1"/>
    <col min="10498" max="10498" width="23.88671875" style="2" hidden="1" customWidth="1"/>
    <col min="10499" max="10499" width="21.6640625" style="2" hidden="1" customWidth="1"/>
    <col min="10500" max="10500" width="3.109375" style="2" hidden="1" customWidth="1"/>
    <col min="10501" max="10501" width="15.6640625" style="2" hidden="1" customWidth="1"/>
    <col min="10502" max="10502" width="33.33203125" style="2" hidden="1" customWidth="1"/>
    <col min="10503" max="10503" width="38.6640625" style="2" hidden="1" customWidth="1"/>
    <col min="10504" max="10512" width="0" style="2" hidden="1" customWidth="1"/>
    <col min="10513" max="10513" width="2.109375" style="2" hidden="1" customWidth="1"/>
    <col min="10514" max="10514" width="0.109375" style="2" hidden="1" customWidth="1"/>
    <col min="10515" max="10515" width="2.33203125" style="2" hidden="1" customWidth="1"/>
    <col min="10516" max="10516" width="10" style="2" hidden="1" customWidth="1"/>
    <col min="10517" max="10517" width="3.44140625" style="2" hidden="1" customWidth="1"/>
    <col min="10518" max="10518" width="53.44140625" style="2" hidden="1" customWidth="1"/>
    <col min="10519" max="10519" width="2.33203125" style="2" hidden="1" customWidth="1"/>
    <col min="10520" max="10521" width="7.88671875" style="2" hidden="1" customWidth="1"/>
    <col min="10522" max="10752" width="0" style="2" hidden="1" customWidth="1"/>
    <col min="10753" max="10753" width="2.33203125" style="2" hidden="1" customWidth="1"/>
    <col min="10754" max="10754" width="23.88671875" style="2" hidden="1" customWidth="1"/>
    <col min="10755" max="10755" width="21.6640625" style="2" hidden="1" customWidth="1"/>
    <col min="10756" max="10756" width="3.109375" style="2" hidden="1" customWidth="1"/>
    <col min="10757" max="10757" width="15.6640625" style="2" hidden="1" customWidth="1"/>
    <col min="10758" max="10758" width="33.33203125" style="2" hidden="1" customWidth="1"/>
    <col min="10759" max="10759" width="38.6640625" style="2" hidden="1" customWidth="1"/>
    <col min="10760" max="10768" width="0" style="2" hidden="1" customWidth="1"/>
    <col min="10769" max="10769" width="2.109375" style="2" hidden="1" customWidth="1"/>
    <col min="10770" max="10770" width="0.109375" style="2" hidden="1" customWidth="1"/>
    <col min="10771" max="10771" width="2.33203125" style="2" hidden="1" customWidth="1"/>
    <col min="10772" max="10772" width="10" style="2" hidden="1" customWidth="1"/>
    <col min="10773" max="10773" width="3.44140625" style="2" hidden="1" customWidth="1"/>
    <col min="10774" max="10774" width="53.44140625" style="2" hidden="1" customWidth="1"/>
    <col min="10775" max="10775" width="2.33203125" style="2" hidden="1" customWidth="1"/>
    <col min="10776" max="10777" width="7.88671875" style="2" hidden="1" customWidth="1"/>
    <col min="10778" max="11008" width="0" style="2" hidden="1" customWidth="1"/>
    <col min="11009" max="11009" width="2.33203125" style="2" hidden="1" customWidth="1"/>
    <col min="11010" max="11010" width="23.88671875" style="2" hidden="1" customWidth="1"/>
    <col min="11011" max="11011" width="21.6640625" style="2" hidden="1" customWidth="1"/>
    <col min="11012" max="11012" width="3.109375" style="2" hidden="1" customWidth="1"/>
    <col min="11013" max="11013" width="15.6640625" style="2" hidden="1" customWidth="1"/>
    <col min="11014" max="11014" width="33.33203125" style="2" hidden="1" customWidth="1"/>
    <col min="11015" max="11015" width="38.6640625" style="2" hidden="1" customWidth="1"/>
    <col min="11016" max="11024" width="0" style="2" hidden="1" customWidth="1"/>
    <col min="11025" max="11025" width="2.109375" style="2" hidden="1" customWidth="1"/>
    <col min="11026" max="11026" width="0.109375" style="2" hidden="1" customWidth="1"/>
    <col min="11027" max="11027" width="2.33203125" style="2" hidden="1" customWidth="1"/>
    <col min="11028" max="11028" width="10" style="2" hidden="1" customWidth="1"/>
    <col min="11029" max="11029" width="3.44140625" style="2" hidden="1" customWidth="1"/>
    <col min="11030" max="11030" width="53.44140625" style="2" hidden="1" customWidth="1"/>
    <col min="11031" max="11031" width="2.33203125" style="2" hidden="1" customWidth="1"/>
    <col min="11032" max="11033" width="7.88671875" style="2" hidden="1" customWidth="1"/>
    <col min="11034" max="11264" width="0" style="2" hidden="1" customWidth="1"/>
    <col min="11265" max="11265" width="2.33203125" style="2" hidden="1" customWidth="1"/>
    <col min="11266" max="11266" width="23.88671875" style="2" hidden="1" customWidth="1"/>
    <col min="11267" max="11267" width="21.6640625" style="2" hidden="1" customWidth="1"/>
    <col min="11268" max="11268" width="3.109375" style="2" hidden="1" customWidth="1"/>
    <col min="11269" max="11269" width="15.6640625" style="2" hidden="1" customWidth="1"/>
    <col min="11270" max="11270" width="33.33203125" style="2" hidden="1" customWidth="1"/>
    <col min="11271" max="11271" width="38.6640625" style="2" hidden="1" customWidth="1"/>
    <col min="11272" max="11280" width="0" style="2" hidden="1" customWidth="1"/>
    <col min="11281" max="11281" width="2.109375" style="2" hidden="1" customWidth="1"/>
    <col min="11282" max="11282" width="0.109375" style="2" hidden="1" customWidth="1"/>
    <col min="11283" max="11283" width="2.33203125" style="2" hidden="1" customWidth="1"/>
    <col min="11284" max="11284" width="10" style="2" hidden="1" customWidth="1"/>
    <col min="11285" max="11285" width="3.44140625" style="2" hidden="1" customWidth="1"/>
    <col min="11286" max="11286" width="53.44140625" style="2" hidden="1" customWidth="1"/>
    <col min="11287" max="11287" width="2.33203125" style="2" hidden="1" customWidth="1"/>
    <col min="11288" max="11289" width="7.88671875" style="2" hidden="1" customWidth="1"/>
    <col min="11290" max="11520" width="0" style="2" hidden="1" customWidth="1"/>
    <col min="11521" max="11521" width="2.33203125" style="2" hidden="1" customWidth="1"/>
    <col min="11522" max="11522" width="23.88671875" style="2" hidden="1" customWidth="1"/>
    <col min="11523" max="11523" width="21.6640625" style="2" hidden="1" customWidth="1"/>
    <col min="11524" max="11524" width="3.109375" style="2" hidden="1" customWidth="1"/>
    <col min="11525" max="11525" width="15.6640625" style="2" hidden="1" customWidth="1"/>
    <col min="11526" max="11526" width="33.33203125" style="2" hidden="1" customWidth="1"/>
    <col min="11527" max="11527" width="38.6640625" style="2" hidden="1" customWidth="1"/>
    <col min="11528" max="11536" width="0" style="2" hidden="1" customWidth="1"/>
    <col min="11537" max="11537" width="2.109375" style="2" hidden="1" customWidth="1"/>
    <col min="11538" max="11538" width="0.109375" style="2" hidden="1" customWidth="1"/>
    <col min="11539" max="11539" width="2.33203125" style="2" hidden="1" customWidth="1"/>
    <col min="11540" max="11540" width="10" style="2" hidden="1" customWidth="1"/>
    <col min="11541" max="11541" width="3.44140625" style="2" hidden="1" customWidth="1"/>
    <col min="11542" max="11542" width="53.44140625" style="2" hidden="1" customWidth="1"/>
    <col min="11543" max="11543" width="2.33203125" style="2" hidden="1" customWidth="1"/>
    <col min="11544" max="11545" width="7.88671875" style="2" hidden="1" customWidth="1"/>
    <col min="11546" max="11776" width="0" style="2" hidden="1" customWidth="1"/>
    <col min="11777" max="11777" width="2.33203125" style="2" hidden="1" customWidth="1"/>
    <col min="11778" max="11778" width="23.88671875" style="2" hidden="1" customWidth="1"/>
    <col min="11779" max="11779" width="21.6640625" style="2" hidden="1" customWidth="1"/>
    <col min="11780" max="11780" width="3.109375" style="2" hidden="1" customWidth="1"/>
    <col min="11781" max="11781" width="15.6640625" style="2" hidden="1" customWidth="1"/>
    <col min="11782" max="11782" width="33.33203125" style="2" hidden="1" customWidth="1"/>
    <col min="11783" max="11783" width="38.6640625" style="2" hidden="1" customWidth="1"/>
    <col min="11784" max="11792" width="0" style="2" hidden="1" customWidth="1"/>
    <col min="11793" max="11793" width="2.109375" style="2" hidden="1" customWidth="1"/>
    <col min="11794" max="11794" width="0.109375" style="2" hidden="1" customWidth="1"/>
    <col min="11795" max="11795" width="2.33203125" style="2" hidden="1" customWidth="1"/>
    <col min="11796" max="11796" width="10" style="2" hidden="1" customWidth="1"/>
    <col min="11797" max="11797" width="3.44140625" style="2" hidden="1" customWidth="1"/>
    <col min="11798" max="11798" width="53.44140625" style="2" hidden="1" customWidth="1"/>
    <col min="11799" max="11799" width="2.33203125" style="2" hidden="1" customWidth="1"/>
    <col min="11800" max="11801" width="7.88671875" style="2" hidden="1" customWidth="1"/>
    <col min="11802" max="12032" width="0" style="2" hidden="1" customWidth="1"/>
    <col min="12033" max="12033" width="2.33203125" style="2" hidden="1" customWidth="1"/>
    <col min="12034" max="12034" width="23.88671875" style="2" hidden="1" customWidth="1"/>
    <col min="12035" max="12035" width="21.6640625" style="2" hidden="1" customWidth="1"/>
    <col min="12036" max="12036" width="3.109375" style="2" hidden="1" customWidth="1"/>
    <col min="12037" max="12037" width="15.6640625" style="2" hidden="1" customWidth="1"/>
    <col min="12038" max="12038" width="33.33203125" style="2" hidden="1" customWidth="1"/>
    <col min="12039" max="12039" width="38.6640625" style="2" hidden="1" customWidth="1"/>
    <col min="12040" max="12048" width="0" style="2" hidden="1" customWidth="1"/>
    <col min="12049" max="12049" width="2.109375" style="2" hidden="1" customWidth="1"/>
    <col min="12050" max="12050" width="0.109375" style="2" hidden="1" customWidth="1"/>
    <col min="12051" max="12051" width="2.33203125" style="2" hidden="1" customWidth="1"/>
    <col min="12052" max="12052" width="10" style="2" hidden="1" customWidth="1"/>
    <col min="12053" max="12053" width="3.44140625" style="2" hidden="1" customWidth="1"/>
    <col min="12054" max="12054" width="53.44140625" style="2" hidden="1" customWidth="1"/>
    <col min="12055" max="12055" width="2.33203125" style="2" hidden="1" customWidth="1"/>
    <col min="12056" max="12057" width="7.88671875" style="2" hidden="1" customWidth="1"/>
    <col min="12058" max="12288" width="0" style="2" hidden="1" customWidth="1"/>
    <col min="12289" max="12289" width="2.33203125" style="2" hidden="1" customWidth="1"/>
    <col min="12290" max="12290" width="23.88671875" style="2" hidden="1" customWidth="1"/>
    <col min="12291" max="12291" width="21.6640625" style="2" hidden="1" customWidth="1"/>
    <col min="12292" max="12292" width="3.109375" style="2" hidden="1" customWidth="1"/>
    <col min="12293" max="12293" width="15.6640625" style="2" hidden="1" customWidth="1"/>
    <col min="12294" max="12294" width="33.33203125" style="2" hidden="1" customWidth="1"/>
    <col min="12295" max="12295" width="38.6640625" style="2" hidden="1" customWidth="1"/>
    <col min="12296" max="12304" width="0" style="2" hidden="1" customWidth="1"/>
    <col min="12305" max="12305" width="2.109375" style="2" hidden="1" customWidth="1"/>
    <col min="12306" max="12306" width="0.109375" style="2" hidden="1" customWidth="1"/>
    <col min="12307" max="12307" width="2.33203125" style="2" hidden="1" customWidth="1"/>
    <col min="12308" max="12308" width="10" style="2" hidden="1" customWidth="1"/>
    <col min="12309" max="12309" width="3.44140625" style="2" hidden="1" customWidth="1"/>
    <col min="12310" max="12310" width="53.44140625" style="2" hidden="1" customWidth="1"/>
    <col min="12311" max="12311" width="2.33203125" style="2" hidden="1" customWidth="1"/>
    <col min="12312" max="12313" width="7.88671875" style="2" hidden="1" customWidth="1"/>
    <col min="12314" max="12544" width="0" style="2" hidden="1" customWidth="1"/>
    <col min="12545" max="12545" width="2.33203125" style="2" hidden="1" customWidth="1"/>
    <col min="12546" max="12546" width="23.88671875" style="2" hidden="1" customWidth="1"/>
    <col min="12547" max="12547" width="21.6640625" style="2" hidden="1" customWidth="1"/>
    <col min="12548" max="12548" width="3.109375" style="2" hidden="1" customWidth="1"/>
    <col min="12549" max="12549" width="15.6640625" style="2" hidden="1" customWidth="1"/>
    <col min="12550" max="12550" width="33.33203125" style="2" hidden="1" customWidth="1"/>
    <col min="12551" max="12551" width="38.6640625" style="2" hidden="1" customWidth="1"/>
    <col min="12552" max="12560" width="0" style="2" hidden="1" customWidth="1"/>
    <col min="12561" max="12561" width="2.109375" style="2" hidden="1" customWidth="1"/>
    <col min="12562" max="12562" width="0.109375" style="2" hidden="1" customWidth="1"/>
    <col min="12563" max="12563" width="2.33203125" style="2" hidden="1" customWidth="1"/>
    <col min="12564" max="12564" width="10" style="2" hidden="1" customWidth="1"/>
    <col min="12565" max="12565" width="3.44140625" style="2" hidden="1" customWidth="1"/>
    <col min="12566" max="12566" width="53.44140625" style="2" hidden="1" customWidth="1"/>
    <col min="12567" max="12567" width="2.33203125" style="2" hidden="1" customWidth="1"/>
    <col min="12568" max="12569" width="7.88671875" style="2" hidden="1" customWidth="1"/>
    <col min="12570" max="12800" width="0" style="2" hidden="1" customWidth="1"/>
    <col min="12801" max="12801" width="2.33203125" style="2" hidden="1" customWidth="1"/>
    <col min="12802" max="12802" width="23.88671875" style="2" hidden="1" customWidth="1"/>
    <col min="12803" max="12803" width="21.6640625" style="2" hidden="1" customWidth="1"/>
    <col min="12804" max="12804" width="3.109375" style="2" hidden="1" customWidth="1"/>
    <col min="12805" max="12805" width="15.6640625" style="2" hidden="1" customWidth="1"/>
    <col min="12806" max="12806" width="33.33203125" style="2" hidden="1" customWidth="1"/>
    <col min="12807" max="12807" width="38.6640625" style="2" hidden="1" customWidth="1"/>
    <col min="12808" max="12816" width="0" style="2" hidden="1" customWidth="1"/>
    <col min="12817" max="12817" width="2.109375" style="2" hidden="1" customWidth="1"/>
    <col min="12818" max="12818" width="0.109375" style="2" hidden="1" customWidth="1"/>
    <col min="12819" max="12819" width="2.33203125" style="2" hidden="1" customWidth="1"/>
    <col min="12820" max="12820" width="10" style="2" hidden="1" customWidth="1"/>
    <col min="12821" max="12821" width="3.44140625" style="2" hidden="1" customWidth="1"/>
    <col min="12822" max="12822" width="53.44140625" style="2" hidden="1" customWidth="1"/>
    <col min="12823" max="12823" width="2.33203125" style="2" hidden="1" customWidth="1"/>
    <col min="12824" max="12825" width="7.88671875" style="2" hidden="1" customWidth="1"/>
    <col min="12826" max="13056" width="0" style="2" hidden="1" customWidth="1"/>
    <col min="13057" max="13057" width="2.33203125" style="2" hidden="1" customWidth="1"/>
    <col min="13058" max="13058" width="23.88671875" style="2" hidden="1" customWidth="1"/>
    <col min="13059" max="13059" width="21.6640625" style="2" hidden="1" customWidth="1"/>
    <col min="13060" max="13060" width="3.109375" style="2" hidden="1" customWidth="1"/>
    <col min="13061" max="13061" width="15.6640625" style="2" hidden="1" customWidth="1"/>
    <col min="13062" max="13062" width="33.33203125" style="2" hidden="1" customWidth="1"/>
    <col min="13063" max="13063" width="38.6640625" style="2" hidden="1" customWidth="1"/>
    <col min="13064" max="13072" width="0" style="2" hidden="1" customWidth="1"/>
    <col min="13073" max="13073" width="2.109375" style="2" hidden="1" customWidth="1"/>
    <col min="13074" max="13074" width="0.109375" style="2" hidden="1" customWidth="1"/>
    <col min="13075" max="13075" width="2.33203125" style="2" hidden="1" customWidth="1"/>
    <col min="13076" max="13076" width="10" style="2" hidden="1" customWidth="1"/>
    <col min="13077" max="13077" width="3.44140625" style="2" hidden="1" customWidth="1"/>
    <col min="13078" max="13078" width="53.44140625" style="2" hidden="1" customWidth="1"/>
    <col min="13079" max="13079" width="2.33203125" style="2" hidden="1" customWidth="1"/>
    <col min="13080" max="13081" width="7.88671875" style="2" hidden="1" customWidth="1"/>
    <col min="13082" max="13312" width="0" style="2" hidden="1" customWidth="1"/>
    <col min="13313" max="13313" width="2.33203125" style="2" hidden="1" customWidth="1"/>
    <col min="13314" max="13314" width="23.88671875" style="2" hidden="1" customWidth="1"/>
    <col min="13315" max="13315" width="21.6640625" style="2" hidden="1" customWidth="1"/>
    <col min="13316" max="13316" width="3.109375" style="2" hidden="1" customWidth="1"/>
    <col min="13317" max="13317" width="15.6640625" style="2" hidden="1" customWidth="1"/>
    <col min="13318" max="13318" width="33.33203125" style="2" hidden="1" customWidth="1"/>
    <col min="13319" max="13319" width="38.6640625" style="2" hidden="1" customWidth="1"/>
    <col min="13320" max="13328" width="0" style="2" hidden="1" customWidth="1"/>
    <col min="13329" max="13329" width="2.109375" style="2" hidden="1" customWidth="1"/>
    <col min="13330" max="13330" width="0.109375" style="2" hidden="1" customWidth="1"/>
    <col min="13331" max="13331" width="2.33203125" style="2" hidden="1" customWidth="1"/>
    <col min="13332" max="13332" width="10" style="2" hidden="1" customWidth="1"/>
    <col min="13333" max="13333" width="3.44140625" style="2" hidden="1" customWidth="1"/>
    <col min="13334" max="13334" width="53.44140625" style="2" hidden="1" customWidth="1"/>
    <col min="13335" max="13335" width="2.33203125" style="2" hidden="1" customWidth="1"/>
    <col min="13336" max="13337" width="7.88671875" style="2" hidden="1" customWidth="1"/>
    <col min="13338" max="13568" width="0" style="2" hidden="1" customWidth="1"/>
    <col min="13569" max="13569" width="2.33203125" style="2" hidden="1" customWidth="1"/>
    <col min="13570" max="13570" width="23.88671875" style="2" hidden="1" customWidth="1"/>
    <col min="13571" max="13571" width="21.6640625" style="2" hidden="1" customWidth="1"/>
    <col min="13572" max="13572" width="3.109375" style="2" hidden="1" customWidth="1"/>
    <col min="13573" max="13573" width="15.6640625" style="2" hidden="1" customWidth="1"/>
    <col min="13574" max="13574" width="33.33203125" style="2" hidden="1" customWidth="1"/>
    <col min="13575" max="13575" width="38.6640625" style="2" hidden="1" customWidth="1"/>
    <col min="13576" max="13584" width="0" style="2" hidden="1" customWidth="1"/>
    <col min="13585" max="13585" width="2.109375" style="2" hidden="1" customWidth="1"/>
    <col min="13586" max="13586" width="0.109375" style="2" hidden="1" customWidth="1"/>
    <col min="13587" max="13587" width="2.33203125" style="2" hidden="1" customWidth="1"/>
    <col min="13588" max="13588" width="10" style="2" hidden="1" customWidth="1"/>
    <col min="13589" max="13589" width="3.44140625" style="2" hidden="1" customWidth="1"/>
    <col min="13590" max="13590" width="53.44140625" style="2" hidden="1" customWidth="1"/>
    <col min="13591" max="13591" width="2.33203125" style="2" hidden="1" customWidth="1"/>
    <col min="13592" max="13593" width="7.88671875" style="2" hidden="1" customWidth="1"/>
    <col min="13594" max="13824" width="0" style="2" hidden="1" customWidth="1"/>
    <col min="13825" max="13825" width="2.33203125" style="2" hidden="1" customWidth="1"/>
    <col min="13826" max="13826" width="23.88671875" style="2" hidden="1" customWidth="1"/>
    <col min="13827" max="13827" width="21.6640625" style="2" hidden="1" customWidth="1"/>
    <col min="13828" max="13828" width="3.109375" style="2" hidden="1" customWidth="1"/>
    <col min="13829" max="13829" width="15.6640625" style="2" hidden="1" customWidth="1"/>
    <col min="13830" max="13830" width="33.33203125" style="2" hidden="1" customWidth="1"/>
    <col min="13831" max="13831" width="38.6640625" style="2" hidden="1" customWidth="1"/>
    <col min="13832" max="13840" width="0" style="2" hidden="1" customWidth="1"/>
    <col min="13841" max="13841" width="2.109375" style="2" hidden="1" customWidth="1"/>
    <col min="13842" max="13842" width="0.109375" style="2" hidden="1" customWidth="1"/>
    <col min="13843" max="13843" width="2.33203125" style="2" hidden="1" customWidth="1"/>
    <col min="13844" max="13844" width="10" style="2" hidden="1" customWidth="1"/>
    <col min="13845" max="13845" width="3.44140625" style="2" hidden="1" customWidth="1"/>
    <col min="13846" max="13846" width="53.44140625" style="2" hidden="1" customWidth="1"/>
    <col min="13847" max="13847" width="2.33203125" style="2" hidden="1" customWidth="1"/>
    <col min="13848" max="13849" width="7.88671875" style="2" hidden="1" customWidth="1"/>
    <col min="13850" max="14080" width="0" style="2" hidden="1" customWidth="1"/>
    <col min="14081" max="14081" width="2.33203125" style="2" hidden="1" customWidth="1"/>
    <col min="14082" max="14082" width="23.88671875" style="2" hidden="1" customWidth="1"/>
    <col min="14083" max="14083" width="21.6640625" style="2" hidden="1" customWidth="1"/>
    <col min="14084" max="14084" width="3.109375" style="2" hidden="1" customWidth="1"/>
    <col min="14085" max="14085" width="15.6640625" style="2" hidden="1" customWidth="1"/>
    <col min="14086" max="14086" width="33.33203125" style="2" hidden="1" customWidth="1"/>
    <col min="14087" max="14087" width="38.6640625" style="2" hidden="1" customWidth="1"/>
    <col min="14088" max="14096" width="0" style="2" hidden="1" customWidth="1"/>
    <col min="14097" max="14097" width="2.109375" style="2" hidden="1" customWidth="1"/>
    <col min="14098" max="14098" width="0.109375" style="2" hidden="1" customWidth="1"/>
    <col min="14099" max="14099" width="2.33203125" style="2" hidden="1" customWidth="1"/>
    <col min="14100" max="14100" width="10" style="2" hidden="1" customWidth="1"/>
    <col min="14101" max="14101" width="3.44140625" style="2" hidden="1" customWidth="1"/>
    <col min="14102" max="14102" width="53.44140625" style="2" hidden="1" customWidth="1"/>
    <col min="14103" max="14103" width="2.33203125" style="2" hidden="1" customWidth="1"/>
    <col min="14104" max="14105" width="7.88671875" style="2" hidden="1" customWidth="1"/>
    <col min="14106" max="14336" width="0" style="2" hidden="1" customWidth="1"/>
    <col min="14337" max="14337" width="2.33203125" style="2" hidden="1" customWidth="1"/>
    <col min="14338" max="14338" width="23.88671875" style="2" hidden="1" customWidth="1"/>
    <col min="14339" max="14339" width="21.6640625" style="2" hidden="1" customWidth="1"/>
    <col min="14340" max="14340" width="3.109375" style="2" hidden="1" customWidth="1"/>
    <col min="14341" max="14341" width="15.6640625" style="2" hidden="1" customWidth="1"/>
    <col min="14342" max="14342" width="33.33203125" style="2" hidden="1" customWidth="1"/>
    <col min="14343" max="14343" width="38.6640625" style="2" hidden="1" customWidth="1"/>
    <col min="14344" max="14352" width="0" style="2" hidden="1" customWidth="1"/>
    <col min="14353" max="14353" width="2.109375" style="2" hidden="1" customWidth="1"/>
    <col min="14354" max="14354" width="0.109375" style="2" hidden="1" customWidth="1"/>
    <col min="14355" max="14355" width="2.33203125" style="2" hidden="1" customWidth="1"/>
    <col min="14356" max="14356" width="10" style="2" hidden="1" customWidth="1"/>
    <col min="14357" max="14357" width="3.44140625" style="2" hidden="1" customWidth="1"/>
    <col min="14358" max="14358" width="53.44140625" style="2" hidden="1" customWidth="1"/>
    <col min="14359" max="14359" width="2.33203125" style="2" hidden="1" customWidth="1"/>
    <col min="14360" max="14361" width="7.88671875" style="2" hidden="1" customWidth="1"/>
    <col min="14362" max="14592" width="0" style="2" hidden="1" customWidth="1"/>
    <col min="14593" max="14593" width="2.33203125" style="2" hidden="1" customWidth="1"/>
    <col min="14594" max="14594" width="23.88671875" style="2" hidden="1" customWidth="1"/>
    <col min="14595" max="14595" width="21.6640625" style="2" hidden="1" customWidth="1"/>
    <col min="14596" max="14596" width="3.109375" style="2" hidden="1" customWidth="1"/>
    <col min="14597" max="14597" width="15.6640625" style="2" hidden="1" customWidth="1"/>
    <col min="14598" max="14598" width="33.33203125" style="2" hidden="1" customWidth="1"/>
    <col min="14599" max="14599" width="38.6640625" style="2" hidden="1" customWidth="1"/>
    <col min="14600" max="14608" width="0" style="2" hidden="1" customWidth="1"/>
    <col min="14609" max="14609" width="2.109375" style="2" hidden="1" customWidth="1"/>
    <col min="14610" max="14610" width="0.109375" style="2" hidden="1" customWidth="1"/>
    <col min="14611" max="14611" width="2.33203125" style="2" hidden="1" customWidth="1"/>
    <col min="14612" max="14612" width="10" style="2" hidden="1" customWidth="1"/>
    <col min="14613" max="14613" width="3.44140625" style="2" hidden="1" customWidth="1"/>
    <col min="14614" max="14614" width="53.44140625" style="2" hidden="1" customWidth="1"/>
    <col min="14615" max="14615" width="2.33203125" style="2" hidden="1" customWidth="1"/>
    <col min="14616" max="14617" width="7.88671875" style="2" hidden="1" customWidth="1"/>
    <col min="14618" max="14848" width="0" style="2" hidden="1" customWidth="1"/>
    <col min="14849" max="14849" width="2.33203125" style="2" hidden="1" customWidth="1"/>
    <col min="14850" max="14850" width="23.88671875" style="2" hidden="1" customWidth="1"/>
    <col min="14851" max="14851" width="21.6640625" style="2" hidden="1" customWidth="1"/>
    <col min="14852" max="14852" width="3.109375" style="2" hidden="1" customWidth="1"/>
    <col min="14853" max="14853" width="15.6640625" style="2" hidden="1" customWidth="1"/>
    <col min="14854" max="14854" width="33.33203125" style="2" hidden="1" customWidth="1"/>
    <col min="14855" max="14855" width="38.6640625" style="2" hidden="1" customWidth="1"/>
    <col min="14856" max="14864" width="0" style="2" hidden="1" customWidth="1"/>
    <col min="14865" max="14865" width="2.109375" style="2" hidden="1" customWidth="1"/>
    <col min="14866" max="14866" width="0.109375" style="2" hidden="1" customWidth="1"/>
    <col min="14867" max="14867" width="2.33203125" style="2" hidden="1" customWidth="1"/>
    <col min="14868" max="14868" width="10" style="2" hidden="1" customWidth="1"/>
    <col min="14869" max="14869" width="3.44140625" style="2" hidden="1" customWidth="1"/>
    <col min="14870" max="14870" width="53.44140625" style="2" hidden="1" customWidth="1"/>
    <col min="14871" max="14871" width="2.33203125" style="2" hidden="1" customWidth="1"/>
    <col min="14872" max="14873" width="7.88671875" style="2" hidden="1" customWidth="1"/>
    <col min="14874" max="15104" width="0" style="2" hidden="1" customWidth="1"/>
    <col min="15105" max="15105" width="2.33203125" style="2" hidden="1" customWidth="1"/>
    <col min="15106" max="15106" width="23.88671875" style="2" hidden="1" customWidth="1"/>
    <col min="15107" max="15107" width="21.6640625" style="2" hidden="1" customWidth="1"/>
    <col min="15108" max="15108" width="3.109375" style="2" hidden="1" customWidth="1"/>
    <col min="15109" max="15109" width="15.6640625" style="2" hidden="1" customWidth="1"/>
    <col min="15110" max="15110" width="33.33203125" style="2" hidden="1" customWidth="1"/>
    <col min="15111" max="15111" width="38.6640625" style="2" hidden="1" customWidth="1"/>
    <col min="15112" max="15120" width="0" style="2" hidden="1" customWidth="1"/>
    <col min="15121" max="15121" width="2.109375" style="2" hidden="1" customWidth="1"/>
    <col min="15122" max="15122" width="0.109375" style="2" hidden="1" customWidth="1"/>
    <col min="15123" max="15123" width="2.33203125" style="2" hidden="1" customWidth="1"/>
    <col min="15124" max="15124" width="10" style="2" hidden="1" customWidth="1"/>
    <col min="15125" max="15125" width="3.44140625" style="2" hidden="1" customWidth="1"/>
    <col min="15126" max="15126" width="53.44140625" style="2" hidden="1" customWidth="1"/>
    <col min="15127" max="15127" width="2.33203125" style="2" hidden="1" customWidth="1"/>
    <col min="15128" max="15129" width="7.88671875" style="2" hidden="1" customWidth="1"/>
    <col min="15130" max="15360" width="0" style="2" hidden="1" customWidth="1"/>
    <col min="15361" max="15361" width="2.33203125" style="2" hidden="1" customWidth="1"/>
    <col min="15362" max="15362" width="23.88671875" style="2" hidden="1" customWidth="1"/>
    <col min="15363" max="15363" width="21.6640625" style="2" hidden="1" customWidth="1"/>
    <col min="15364" max="15364" width="3.109375" style="2" hidden="1" customWidth="1"/>
    <col min="15365" max="15365" width="15.6640625" style="2" hidden="1" customWidth="1"/>
    <col min="15366" max="15366" width="33.33203125" style="2" hidden="1" customWidth="1"/>
    <col min="15367" max="15367" width="38.6640625" style="2" hidden="1" customWidth="1"/>
    <col min="15368" max="15376" width="0" style="2" hidden="1"/>
    <col min="15377" max="15377" width="2.109375" style="2" hidden="1" customWidth="1"/>
    <col min="15378" max="15378" width="0.109375" style="2" hidden="1" customWidth="1"/>
    <col min="15379" max="15379" width="2.33203125" style="2" hidden="1" customWidth="1"/>
    <col min="15380" max="15380" width="10" style="2" hidden="1" customWidth="1"/>
    <col min="15381" max="15381" width="3.44140625" style="2" hidden="1" customWidth="1"/>
    <col min="15382" max="15382" width="53.44140625" style="2" hidden="1" customWidth="1"/>
    <col min="15383" max="15383" width="2.33203125" style="2" hidden="1" customWidth="1"/>
    <col min="15384" max="15385" width="7.88671875" style="2" hidden="1" customWidth="1"/>
    <col min="15386" max="15616" width="0" style="2" hidden="1"/>
    <col min="15617" max="15617" width="2.33203125" style="2" hidden="1" customWidth="1"/>
    <col min="15618" max="15618" width="23.88671875" style="2" hidden="1" customWidth="1"/>
    <col min="15619" max="15619" width="21.6640625" style="2" hidden="1" customWidth="1"/>
    <col min="15620" max="15620" width="3.109375" style="2" hidden="1" customWidth="1"/>
    <col min="15621" max="15621" width="15.6640625" style="2" hidden="1" customWidth="1"/>
    <col min="15622" max="15622" width="33.33203125" style="2" hidden="1" customWidth="1"/>
    <col min="15623" max="15623" width="38.6640625" style="2" hidden="1" customWidth="1"/>
    <col min="15624" max="15632" width="0" style="2" hidden="1"/>
    <col min="15633" max="15633" width="2.109375" style="2" hidden="1" customWidth="1"/>
    <col min="15634" max="15634" width="0.109375" style="2" hidden="1" customWidth="1"/>
    <col min="15635" max="15635" width="2.33203125" style="2" hidden="1" customWidth="1"/>
    <col min="15636" max="15636" width="10" style="2" hidden="1" customWidth="1"/>
    <col min="15637" max="15637" width="3.44140625" style="2" hidden="1" customWidth="1"/>
    <col min="15638" max="15638" width="53.44140625" style="2" hidden="1" customWidth="1"/>
    <col min="15639" max="15639" width="2.33203125" style="2" hidden="1" customWidth="1"/>
    <col min="15640" max="15641" width="7.88671875" style="2" hidden="1" customWidth="1"/>
    <col min="15642" max="15872" width="0" style="2" hidden="1"/>
    <col min="15873" max="15873" width="2.33203125" style="2" hidden="1" customWidth="1"/>
    <col min="15874" max="15874" width="23.88671875" style="2" hidden="1" customWidth="1"/>
    <col min="15875" max="15875" width="21.6640625" style="2" hidden="1" customWidth="1"/>
    <col min="15876" max="15876" width="3.109375" style="2" hidden="1" customWidth="1"/>
    <col min="15877" max="15877" width="15.6640625" style="2" hidden="1" customWidth="1"/>
    <col min="15878" max="15878" width="33.33203125" style="2" hidden="1" customWidth="1"/>
    <col min="15879" max="15879" width="38.6640625" style="2" hidden="1" customWidth="1"/>
    <col min="15880" max="15888" width="0" style="2" hidden="1"/>
    <col min="15889" max="15889" width="2.109375" style="2" hidden="1" customWidth="1"/>
    <col min="15890" max="15890" width="0.109375" style="2" hidden="1" customWidth="1"/>
    <col min="15891" max="15891" width="2.33203125" style="2" hidden="1" customWidth="1"/>
    <col min="15892" max="15892" width="10" style="2" hidden="1" customWidth="1"/>
    <col min="15893" max="15893" width="3.44140625" style="2" hidden="1" customWidth="1"/>
    <col min="15894" max="15894" width="53.44140625" style="2" hidden="1" customWidth="1"/>
    <col min="15895" max="15895" width="2.33203125" style="2" hidden="1" customWidth="1"/>
    <col min="15896" max="15897" width="7.88671875" style="2" hidden="1" customWidth="1"/>
    <col min="15898" max="16128" width="0" style="2" hidden="1"/>
    <col min="16129" max="16129" width="2.33203125" style="2" hidden="1" customWidth="1"/>
    <col min="16130" max="16130" width="23.88671875" style="2" hidden="1" customWidth="1"/>
    <col min="16131" max="16131" width="21.6640625" style="2" hidden="1" customWidth="1"/>
    <col min="16132" max="16132" width="3.109375" style="2" hidden="1" customWidth="1"/>
    <col min="16133" max="16133" width="15.6640625" style="2" hidden="1" customWidth="1"/>
    <col min="16134" max="16134" width="33.33203125" style="2" hidden="1" customWidth="1"/>
    <col min="16135" max="16135" width="38.6640625" style="2" hidden="1" customWidth="1"/>
    <col min="16136" max="16144" width="0" style="2" hidden="1"/>
    <col min="16145" max="16145" width="2.109375" style="2" hidden="1" customWidth="1"/>
    <col min="16146" max="16146" width="0.109375" style="2" hidden="1" customWidth="1"/>
    <col min="16147" max="16147" width="2.33203125" style="2" hidden="1" customWidth="1"/>
    <col min="16148" max="16148" width="10" style="2" hidden="1" customWidth="1"/>
    <col min="16149" max="16149" width="3.44140625" style="2" hidden="1" customWidth="1"/>
    <col min="16150" max="16150" width="53.44140625" style="2" hidden="1" customWidth="1"/>
    <col min="16151" max="16151" width="2.33203125" style="2" hidden="1" customWidth="1"/>
    <col min="16152" max="16153" width="7.88671875" style="2" hidden="1" customWidth="1"/>
    <col min="16154" max="16383" width="7.88671875" style="2" hidden="1"/>
    <col min="16384" max="16384" width="7.88671875" style="2" hidden="1" customWidth="1"/>
  </cols>
  <sheetData>
    <row r="1" spans="1:794" ht="22.5" customHeight="1">
      <c r="B1" s="35"/>
      <c r="C1" s="35"/>
      <c r="D1" s="35"/>
      <c r="E1" s="35"/>
      <c r="F1" s="35"/>
      <c r="G1" s="35"/>
      <c r="H1" s="35"/>
      <c r="I1" s="35"/>
      <c r="J1" s="35"/>
      <c r="K1" s="35"/>
      <c r="L1" s="35"/>
      <c r="M1" s="35"/>
      <c r="N1" s="35"/>
      <c r="O1" s="35"/>
      <c r="P1" s="35"/>
      <c r="Q1" s="35"/>
      <c r="R1" s="35"/>
      <c r="S1" s="35"/>
      <c r="T1" s="35"/>
      <c r="U1" s="35"/>
      <c r="V1" s="35"/>
      <c r="W1" s="35"/>
    </row>
    <row r="2" spans="1:794" ht="19.5" customHeight="1">
      <c r="B2" s="35"/>
      <c r="C2" s="35"/>
      <c r="D2" s="35"/>
      <c r="E2" s="35"/>
      <c r="F2" s="35"/>
      <c r="G2" s="35"/>
      <c r="H2" s="35"/>
      <c r="I2" s="35"/>
      <c r="J2" s="35"/>
      <c r="K2" s="35"/>
      <c r="L2" s="35"/>
      <c r="M2" s="35"/>
      <c r="N2" s="35"/>
      <c r="O2" s="35"/>
      <c r="P2" s="35"/>
      <c r="Q2" s="35"/>
      <c r="R2" s="35"/>
      <c r="S2" s="35"/>
      <c r="T2" s="35"/>
      <c r="U2" s="35"/>
      <c r="V2" s="35"/>
      <c r="W2" s="35"/>
    </row>
    <row r="3" spans="1:794" ht="19.5" customHeight="1">
      <c r="B3" s="35"/>
      <c r="C3" s="35"/>
      <c r="D3" s="35"/>
      <c r="E3" s="35"/>
      <c r="F3" s="35"/>
      <c r="G3" s="35"/>
      <c r="H3" s="35"/>
      <c r="I3" s="35"/>
      <c r="J3" s="35"/>
      <c r="K3" s="35"/>
      <c r="L3" s="35"/>
      <c r="M3" s="35"/>
      <c r="N3" s="35"/>
      <c r="O3" s="35"/>
      <c r="P3" s="35"/>
      <c r="Q3" s="35"/>
      <c r="R3" s="35"/>
      <c r="S3" s="35"/>
      <c r="T3" s="35"/>
      <c r="U3" s="35"/>
      <c r="V3" s="35"/>
      <c r="W3" s="35"/>
    </row>
    <row r="4" spans="1:794" ht="19.5" customHeight="1">
      <c r="B4" s="35"/>
      <c r="C4" s="35"/>
      <c r="D4" s="35"/>
      <c r="E4" s="35"/>
      <c r="F4" s="35"/>
      <c r="G4" s="35"/>
      <c r="H4" s="35"/>
      <c r="I4" s="35"/>
      <c r="J4" s="35"/>
      <c r="K4" s="35"/>
      <c r="L4" s="35"/>
      <c r="M4" s="35"/>
      <c r="N4" s="35"/>
      <c r="O4" s="35"/>
      <c r="P4" s="35"/>
      <c r="Q4" s="35"/>
      <c r="R4" s="35"/>
      <c r="S4" s="35"/>
      <c r="T4" s="35"/>
      <c r="U4" s="35"/>
      <c r="V4" s="35"/>
      <c r="W4" s="35"/>
    </row>
    <row r="5" spans="1:794" ht="15" customHeight="1">
      <c r="A5" s="77" t="s">
        <v>0</v>
      </c>
      <c r="B5" s="77"/>
      <c r="C5" s="77"/>
      <c r="D5" s="77"/>
      <c r="E5" s="77"/>
      <c r="F5" s="77"/>
      <c r="G5" s="77"/>
      <c r="H5" s="77"/>
      <c r="I5" s="77"/>
      <c r="J5" s="77"/>
      <c r="K5" s="77"/>
      <c r="L5" s="77"/>
      <c r="M5" s="77"/>
      <c r="N5" s="77"/>
      <c r="O5" s="77"/>
      <c r="P5" s="77"/>
      <c r="Q5" s="77"/>
      <c r="R5" s="77"/>
      <c r="S5" s="77"/>
      <c r="T5" s="77"/>
      <c r="U5" s="77"/>
      <c r="V5" s="77"/>
    </row>
    <row r="6" spans="1:794" ht="15" customHeight="1">
      <c r="A6" s="78"/>
      <c r="B6" s="78"/>
      <c r="C6" s="78"/>
      <c r="D6" s="78"/>
      <c r="E6" s="78"/>
      <c r="F6" s="78"/>
      <c r="G6" s="78"/>
      <c r="H6" s="78"/>
      <c r="I6" s="78"/>
      <c r="J6" s="78"/>
      <c r="K6" s="78"/>
      <c r="L6" s="78"/>
      <c r="M6" s="78"/>
      <c r="N6" s="78"/>
      <c r="O6" s="78"/>
      <c r="P6" s="78"/>
      <c r="Q6" s="78"/>
      <c r="R6" s="78"/>
      <c r="S6" s="78"/>
      <c r="T6" s="78"/>
      <c r="U6" s="78"/>
      <c r="V6" s="78"/>
    </row>
    <row r="7" spans="1:794" ht="15" customHeight="1">
      <c r="A7" s="3"/>
      <c r="B7" s="4"/>
      <c r="C7" s="5"/>
      <c r="D7" s="6"/>
      <c r="F7" s="36" t="s">
        <v>93</v>
      </c>
      <c r="G7" s="6" t="s">
        <v>92</v>
      </c>
    </row>
    <row r="8" spans="1:794" ht="6.6" customHeight="1">
      <c r="A8" s="3"/>
      <c r="B8" s="4"/>
      <c r="C8" s="5"/>
      <c r="D8" s="6"/>
      <c r="F8" s="36"/>
      <c r="G8" s="6"/>
    </row>
    <row r="9" spans="1:794" ht="15" customHeight="1">
      <c r="A9" s="79" t="s">
        <v>4</v>
      </c>
      <c r="B9" s="79"/>
      <c r="C9" s="79"/>
      <c r="D9" s="79"/>
      <c r="E9" s="79"/>
      <c r="F9" s="79"/>
      <c r="G9" s="79"/>
      <c r="H9" s="79"/>
      <c r="I9" s="79"/>
      <c r="J9" s="79"/>
      <c r="K9" s="79"/>
      <c r="L9" s="79"/>
      <c r="M9" s="79"/>
      <c r="N9" s="79"/>
      <c r="O9" s="79"/>
      <c r="P9" s="79"/>
      <c r="Q9" s="79"/>
      <c r="R9" s="79"/>
      <c r="S9" s="79"/>
      <c r="T9" s="79"/>
      <c r="U9" s="79"/>
      <c r="V9" s="79"/>
      <c r="W9" s="79"/>
      <c r="X9" s="79"/>
      <c r="Y9" s="79"/>
      <c r="Z9" s="79"/>
      <c r="AA9" s="79"/>
      <c r="AB9" s="79"/>
      <c r="AC9" s="79"/>
      <c r="AD9" s="79"/>
      <c r="AE9" s="79"/>
      <c r="AF9" s="79"/>
      <c r="AG9" s="79"/>
      <c r="AH9" s="79"/>
      <c r="AI9" s="79"/>
      <c r="AJ9" s="79"/>
      <c r="AK9" s="79"/>
      <c r="AL9" s="79"/>
      <c r="AM9" s="79"/>
      <c r="AN9" s="79"/>
      <c r="AO9" s="79"/>
      <c r="AP9" s="79"/>
      <c r="AQ9" s="79"/>
      <c r="AR9" s="79"/>
      <c r="AS9" s="79"/>
      <c r="AT9" s="79"/>
      <c r="AU9" s="79"/>
      <c r="AV9" s="79"/>
      <c r="AW9" s="79"/>
      <c r="AX9" s="79"/>
      <c r="AY9" s="79"/>
      <c r="AZ9" s="79"/>
      <c r="BA9" s="79"/>
      <c r="BB9" s="79"/>
      <c r="BC9" s="79"/>
      <c r="BD9" s="79"/>
      <c r="BE9" s="79"/>
      <c r="BF9" s="79"/>
      <c r="BG9" s="79"/>
      <c r="BH9" s="79"/>
      <c r="BI9" s="79"/>
      <c r="BJ9" s="79"/>
      <c r="BK9" s="79"/>
      <c r="BL9" s="79"/>
      <c r="BM9" s="79"/>
      <c r="BN9" s="79"/>
      <c r="BO9" s="79"/>
      <c r="BP9" s="79"/>
      <c r="BQ9" s="79"/>
      <c r="BR9" s="79"/>
      <c r="BS9" s="79"/>
      <c r="BT9" s="79"/>
      <c r="BU9" s="79"/>
      <c r="BV9" s="79"/>
      <c r="BW9" s="79"/>
      <c r="BX9" s="79"/>
      <c r="BY9" s="79"/>
      <c r="BZ9" s="79"/>
      <c r="CA9" s="79"/>
      <c r="CB9" s="79"/>
      <c r="CC9" s="79"/>
      <c r="CD9" s="79"/>
      <c r="CE9" s="79"/>
      <c r="CF9" s="79"/>
      <c r="CG9" s="79"/>
      <c r="CH9" s="79"/>
      <c r="CI9" s="79"/>
      <c r="CJ9" s="79"/>
      <c r="CK9" s="79"/>
      <c r="CL9" s="79"/>
      <c r="CM9" s="79"/>
      <c r="CN9" s="79"/>
      <c r="CO9" s="79"/>
      <c r="CP9" s="79"/>
      <c r="CQ9" s="79"/>
      <c r="CR9" s="79"/>
      <c r="CS9" s="79"/>
      <c r="CT9" s="79"/>
      <c r="CU9" s="79"/>
      <c r="CV9" s="79"/>
      <c r="CW9" s="79"/>
      <c r="CX9" s="79"/>
      <c r="CY9" s="79"/>
      <c r="CZ9" s="79"/>
      <c r="DA9" s="79"/>
      <c r="DB9" s="79"/>
      <c r="DC9" s="79"/>
      <c r="DD9" s="79"/>
      <c r="DE9" s="79"/>
      <c r="DF9" s="79"/>
      <c r="DG9" s="79"/>
      <c r="DH9" s="79"/>
      <c r="DI9" s="79"/>
      <c r="DJ9" s="79"/>
      <c r="DK9" s="79"/>
      <c r="DL9" s="79"/>
      <c r="DM9" s="79"/>
      <c r="DN9" s="79"/>
      <c r="DO9" s="79"/>
      <c r="DP9" s="79"/>
      <c r="DQ9" s="79"/>
      <c r="DR9" s="79"/>
      <c r="DS9" s="79"/>
      <c r="DT9" s="79"/>
      <c r="DU9" s="79"/>
      <c r="DV9" s="79"/>
      <c r="DW9" s="79"/>
      <c r="DX9" s="79"/>
      <c r="DY9" s="79"/>
      <c r="DZ9" s="79"/>
      <c r="EA9" s="79"/>
      <c r="EB9" s="79"/>
      <c r="EC9" s="79"/>
      <c r="ED9" s="79"/>
      <c r="EE9" s="79"/>
      <c r="EF9" s="79"/>
      <c r="EG9" s="79"/>
      <c r="EH9" s="79"/>
      <c r="EI9" s="79"/>
      <c r="EJ9" s="79"/>
      <c r="EK9" s="79"/>
      <c r="EL9" s="79"/>
      <c r="EM9" s="79"/>
      <c r="EN9" s="79"/>
      <c r="EO9" s="79"/>
      <c r="EP9" s="79"/>
      <c r="EQ9" s="79"/>
      <c r="ER9" s="79"/>
      <c r="ES9" s="79"/>
      <c r="ET9" s="79"/>
      <c r="EU9" s="79"/>
      <c r="EV9" s="79"/>
      <c r="EW9" s="79"/>
      <c r="EX9" s="79"/>
      <c r="EY9" s="79"/>
      <c r="EZ9" s="79"/>
      <c r="FA9" s="79"/>
      <c r="FB9" s="79"/>
      <c r="FC9" s="79"/>
      <c r="FD9" s="79"/>
      <c r="FE9" s="79"/>
      <c r="FF9" s="79"/>
      <c r="FG9" s="79"/>
      <c r="FH9" s="79"/>
      <c r="FI9" s="79"/>
      <c r="FJ9" s="79"/>
      <c r="FK9" s="79"/>
      <c r="FL9" s="79"/>
      <c r="FM9" s="79"/>
      <c r="FN9" s="79"/>
      <c r="FO9" s="79"/>
      <c r="FP9" s="79"/>
      <c r="FQ9" s="79"/>
      <c r="FR9" s="79"/>
      <c r="FS9" s="79"/>
      <c r="FT9" s="79"/>
      <c r="FU9" s="79"/>
      <c r="FV9" s="79"/>
      <c r="FW9" s="79"/>
      <c r="FX9" s="79"/>
      <c r="FY9" s="79"/>
      <c r="FZ9" s="79"/>
      <c r="GA9" s="79"/>
      <c r="GB9" s="79"/>
      <c r="GC9" s="79"/>
      <c r="GD9" s="79"/>
      <c r="GE9" s="79"/>
      <c r="GF9" s="79"/>
      <c r="GG9" s="79"/>
      <c r="GH9" s="79"/>
      <c r="GI9" s="79"/>
      <c r="GJ9" s="79"/>
      <c r="GK9" s="79"/>
      <c r="GL9" s="79"/>
      <c r="GM9" s="79"/>
      <c r="GN9" s="79"/>
      <c r="GO9" s="79"/>
      <c r="GP9" s="79"/>
      <c r="GQ9" s="79"/>
      <c r="GR9" s="79"/>
      <c r="GS9" s="79"/>
      <c r="GT9" s="79"/>
      <c r="GU9" s="79"/>
      <c r="GV9" s="79"/>
      <c r="GW9" s="79"/>
      <c r="GX9" s="79"/>
      <c r="GY9" s="79"/>
      <c r="GZ9" s="79"/>
      <c r="HA9" s="79"/>
      <c r="HB9" s="79"/>
      <c r="HC9" s="79"/>
      <c r="HD9" s="79"/>
      <c r="HE9" s="79"/>
      <c r="HF9" s="79"/>
      <c r="HG9" s="79"/>
      <c r="HH9" s="79"/>
      <c r="HI9" s="79"/>
      <c r="HJ9" s="79"/>
      <c r="HK9" s="79"/>
      <c r="HL9" s="79"/>
      <c r="HM9" s="79"/>
      <c r="HN9" s="79"/>
      <c r="HO9" s="79"/>
      <c r="HP9" s="79"/>
      <c r="HQ9" s="79"/>
      <c r="HR9" s="79"/>
      <c r="HS9" s="79"/>
      <c r="HT9" s="79"/>
      <c r="HU9" s="79"/>
      <c r="HV9" s="79"/>
      <c r="HW9" s="79"/>
      <c r="HX9" s="79"/>
      <c r="HY9" s="79"/>
      <c r="HZ9" s="79"/>
      <c r="IA9" s="79"/>
      <c r="IB9" s="79"/>
      <c r="IC9" s="79"/>
      <c r="ID9" s="79"/>
      <c r="IE9" s="79"/>
      <c r="IF9" s="79"/>
      <c r="IG9" s="79"/>
      <c r="IH9" s="79"/>
      <c r="II9" s="79"/>
      <c r="IJ9" s="79"/>
      <c r="IK9" s="79"/>
      <c r="IL9" s="79"/>
      <c r="IM9" s="79"/>
      <c r="IN9" s="79"/>
      <c r="IO9" s="79"/>
      <c r="IP9" s="79"/>
      <c r="IQ9" s="79"/>
      <c r="IR9" s="79"/>
      <c r="IS9" s="79"/>
      <c r="IT9" s="79"/>
      <c r="IU9" s="79"/>
      <c r="IV9" s="79"/>
      <c r="IW9" s="79"/>
      <c r="IX9" s="79"/>
      <c r="IY9" s="79"/>
      <c r="IZ9" s="79"/>
      <c r="JA9" s="79"/>
      <c r="JB9" s="79"/>
      <c r="JC9" s="79"/>
      <c r="JD9" s="79"/>
      <c r="JE9" s="79"/>
      <c r="JF9" s="79"/>
      <c r="JG9" s="79"/>
      <c r="JH9" s="79"/>
      <c r="JI9" s="79"/>
      <c r="JJ9" s="79"/>
      <c r="JK9" s="79"/>
      <c r="JL9" s="79"/>
      <c r="JM9" s="79"/>
      <c r="JN9" s="79"/>
      <c r="JO9" s="79"/>
      <c r="JP9" s="79"/>
      <c r="JQ9" s="79"/>
      <c r="JR9" s="79"/>
      <c r="JS9" s="79"/>
      <c r="JT9" s="79"/>
      <c r="JU9" s="79"/>
      <c r="JV9" s="79"/>
      <c r="JW9" s="79"/>
      <c r="JX9" s="79"/>
      <c r="JY9" s="79"/>
      <c r="JZ9" s="79"/>
      <c r="KA9" s="79"/>
      <c r="KB9" s="79"/>
      <c r="KC9" s="79"/>
      <c r="KD9" s="79"/>
      <c r="KE9" s="79"/>
      <c r="KF9" s="79"/>
      <c r="KG9" s="79"/>
      <c r="KH9" s="79"/>
      <c r="KI9" s="79"/>
      <c r="KJ9" s="79"/>
      <c r="KK9" s="79"/>
      <c r="KL9" s="79"/>
      <c r="KM9" s="79"/>
      <c r="KN9" s="79"/>
      <c r="KO9" s="79"/>
      <c r="KP9" s="79"/>
      <c r="KQ9" s="79"/>
      <c r="KR9" s="79"/>
      <c r="KS9" s="79"/>
      <c r="KT9" s="79"/>
      <c r="KU9" s="79"/>
      <c r="KV9" s="79"/>
      <c r="KW9" s="79"/>
      <c r="KX9" s="79"/>
      <c r="KY9" s="79"/>
      <c r="KZ9" s="79"/>
      <c r="LA9" s="79"/>
      <c r="LB9" s="79"/>
      <c r="LC9" s="79"/>
      <c r="LD9" s="79"/>
      <c r="LE9" s="79"/>
      <c r="LF9" s="79"/>
      <c r="LG9" s="79"/>
      <c r="LH9" s="79"/>
      <c r="LI9" s="79"/>
      <c r="LJ9" s="79"/>
      <c r="LK9" s="79"/>
      <c r="LL9" s="79"/>
      <c r="LM9" s="79"/>
      <c r="LN9" s="79"/>
      <c r="LO9" s="79"/>
      <c r="LP9" s="79"/>
      <c r="LQ9" s="79"/>
      <c r="LR9" s="79"/>
      <c r="LS9" s="79"/>
      <c r="LT9" s="79"/>
      <c r="LU9" s="79"/>
      <c r="LV9" s="79"/>
      <c r="LW9" s="79"/>
      <c r="LX9" s="79"/>
      <c r="LY9" s="79"/>
      <c r="LZ9" s="79"/>
      <c r="MA9" s="79"/>
      <c r="MB9" s="79"/>
      <c r="MC9" s="79"/>
      <c r="MD9" s="79"/>
      <c r="ME9" s="79"/>
      <c r="MF9" s="79"/>
      <c r="MG9" s="79"/>
      <c r="MH9" s="79"/>
      <c r="MI9" s="79"/>
      <c r="MJ9" s="79"/>
      <c r="MK9" s="79"/>
      <c r="ML9" s="79"/>
      <c r="MM9" s="79"/>
      <c r="MN9" s="79"/>
      <c r="MO9" s="79"/>
      <c r="MP9" s="79"/>
      <c r="MQ9" s="79"/>
      <c r="MR9" s="79"/>
      <c r="MS9" s="79"/>
      <c r="MT9" s="79"/>
      <c r="MU9" s="79"/>
      <c r="MV9" s="79"/>
      <c r="MW9" s="79"/>
      <c r="MX9" s="79"/>
      <c r="MY9" s="79"/>
      <c r="MZ9" s="79"/>
      <c r="NA9" s="79"/>
      <c r="NB9" s="79"/>
      <c r="NC9" s="79"/>
      <c r="ND9" s="79"/>
      <c r="NE9" s="79"/>
      <c r="NF9" s="79"/>
      <c r="NG9" s="79"/>
      <c r="NH9" s="79"/>
      <c r="NI9" s="79"/>
      <c r="NJ9" s="79"/>
      <c r="NK9" s="79"/>
      <c r="NL9" s="79"/>
      <c r="NM9" s="79"/>
      <c r="NN9" s="79"/>
      <c r="NO9" s="79"/>
      <c r="NP9" s="79"/>
      <c r="NQ9" s="79"/>
      <c r="NR9" s="79"/>
      <c r="NS9" s="79"/>
      <c r="NT9" s="79"/>
      <c r="NU9" s="79"/>
      <c r="NV9" s="79"/>
      <c r="NW9" s="79"/>
      <c r="NX9" s="79"/>
      <c r="NY9" s="79"/>
      <c r="NZ9" s="79"/>
      <c r="OA9" s="79"/>
      <c r="OB9" s="79"/>
      <c r="OC9" s="79"/>
      <c r="OD9" s="79"/>
      <c r="OE9" s="79"/>
      <c r="OF9" s="79"/>
      <c r="OG9" s="79"/>
      <c r="OH9" s="79"/>
      <c r="OI9" s="79"/>
      <c r="OJ9" s="79"/>
      <c r="OK9" s="79"/>
      <c r="OL9" s="79"/>
      <c r="OM9" s="79"/>
      <c r="ON9" s="79"/>
      <c r="OO9" s="79"/>
      <c r="OP9" s="79"/>
      <c r="OQ9" s="79"/>
      <c r="OR9" s="79"/>
      <c r="OS9" s="79"/>
      <c r="OT9" s="79"/>
      <c r="OU9" s="79"/>
      <c r="OV9" s="79"/>
      <c r="OW9" s="79"/>
      <c r="OX9" s="79"/>
      <c r="OY9" s="79"/>
      <c r="OZ9" s="79"/>
      <c r="PA9" s="79"/>
      <c r="PB9" s="79"/>
      <c r="PC9" s="79"/>
      <c r="PD9" s="79"/>
      <c r="PE9" s="79"/>
      <c r="PF9" s="79"/>
      <c r="PG9" s="79"/>
      <c r="PH9" s="79"/>
      <c r="PI9" s="79"/>
      <c r="PJ9" s="79"/>
      <c r="PK9" s="79"/>
      <c r="PL9" s="79"/>
      <c r="PM9" s="79"/>
      <c r="PN9" s="79"/>
      <c r="PO9" s="79"/>
      <c r="PP9" s="79"/>
      <c r="PQ9" s="79"/>
      <c r="PR9" s="79"/>
      <c r="PS9" s="79"/>
      <c r="PT9" s="79"/>
      <c r="PU9" s="79"/>
      <c r="PV9" s="79"/>
      <c r="PW9" s="79"/>
      <c r="PX9" s="79"/>
      <c r="PY9" s="79"/>
      <c r="PZ9" s="79"/>
      <c r="QA9" s="79"/>
      <c r="QB9" s="79"/>
      <c r="QC9" s="79"/>
      <c r="QD9" s="79"/>
      <c r="QE9" s="79"/>
      <c r="QF9" s="79"/>
      <c r="QG9" s="79"/>
      <c r="QH9" s="79"/>
      <c r="QI9" s="79"/>
      <c r="QJ9" s="79"/>
      <c r="QK9" s="79"/>
      <c r="QL9" s="79"/>
      <c r="QM9" s="79"/>
      <c r="QN9" s="79"/>
      <c r="QO9" s="79"/>
      <c r="QP9" s="79"/>
      <c r="QQ9" s="79"/>
      <c r="QR9" s="79"/>
      <c r="QS9" s="79"/>
      <c r="QT9" s="79"/>
      <c r="QU9" s="79"/>
      <c r="QV9" s="79"/>
      <c r="QW9" s="79"/>
      <c r="QX9" s="79"/>
      <c r="QY9" s="79"/>
      <c r="QZ9" s="79"/>
      <c r="RA9" s="79"/>
      <c r="RB9" s="79"/>
      <c r="RC9" s="79"/>
      <c r="RD9" s="79"/>
      <c r="RE9" s="79"/>
      <c r="RF9" s="79"/>
      <c r="RG9" s="79"/>
      <c r="RH9" s="79"/>
      <c r="RI9" s="79"/>
      <c r="RJ9" s="79"/>
      <c r="RK9" s="79"/>
      <c r="RL9" s="79"/>
      <c r="RM9" s="79"/>
      <c r="RN9" s="79"/>
      <c r="RO9" s="79"/>
      <c r="RP9" s="79"/>
      <c r="RQ9" s="79"/>
      <c r="RR9" s="79"/>
      <c r="RS9" s="79"/>
      <c r="RT9" s="79"/>
      <c r="RU9" s="79"/>
      <c r="RV9" s="79"/>
      <c r="RW9" s="79"/>
      <c r="RX9" s="79"/>
      <c r="RY9" s="79"/>
      <c r="RZ9" s="79"/>
      <c r="SA9" s="79"/>
      <c r="SB9" s="79"/>
      <c r="SC9" s="79"/>
      <c r="SD9" s="79"/>
      <c r="SE9" s="79"/>
      <c r="SF9" s="79"/>
      <c r="SG9" s="79"/>
      <c r="SH9" s="79"/>
      <c r="SI9" s="79"/>
      <c r="SJ9" s="79"/>
      <c r="SK9" s="79"/>
      <c r="SL9" s="79"/>
      <c r="SM9" s="79"/>
      <c r="SN9" s="79"/>
      <c r="SO9" s="79"/>
      <c r="SP9" s="79"/>
      <c r="SQ9" s="79"/>
      <c r="SR9" s="79"/>
      <c r="SS9" s="79"/>
      <c r="ST9" s="79"/>
      <c r="SU9" s="79"/>
      <c r="SV9" s="79"/>
      <c r="SW9" s="79"/>
      <c r="SX9" s="79"/>
      <c r="SY9" s="79"/>
      <c r="SZ9" s="79"/>
      <c r="TA9" s="79"/>
      <c r="TB9" s="79"/>
      <c r="TC9" s="79"/>
      <c r="TD9" s="79"/>
      <c r="TE9" s="79"/>
      <c r="TF9" s="79"/>
      <c r="TG9" s="79"/>
      <c r="TH9" s="79"/>
      <c r="TI9" s="79"/>
      <c r="TJ9" s="79"/>
      <c r="TK9" s="79"/>
      <c r="TL9" s="79"/>
      <c r="TM9" s="79"/>
      <c r="TN9" s="79"/>
      <c r="TO9" s="79"/>
      <c r="TP9" s="79"/>
      <c r="TQ9" s="79"/>
      <c r="TR9" s="79"/>
      <c r="TS9" s="79"/>
      <c r="TT9" s="79"/>
      <c r="TU9" s="79"/>
      <c r="TV9" s="79"/>
      <c r="TW9" s="79"/>
      <c r="TX9" s="79"/>
      <c r="TY9" s="79"/>
      <c r="TZ9" s="79"/>
      <c r="UA9" s="79"/>
      <c r="UB9" s="79"/>
      <c r="UC9" s="79"/>
      <c r="UD9" s="79"/>
      <c r="UE9" s="79"/>
      <c r="UF9" s="79"/>
      <c r="UG9" s="79"/>
      <c r="UH9" s="79"/>
      <c r="UI9" s="79"/>
      <c r="UJ9" s="79"/>
      <c r="UK9" s="79"/>
      <c r="UL9" s="79"/>
      <c r="UM9" s="79"/>
      <c r="UN9" s="79"/>
      <c r="UO9" s="79"/>
      <c r="UP9" s="79"/>
      <c r="UQ9" s="79"/>
      <c r="UR9" s="79"/>
      <c r="US9" s="79"/>
      <c r="UT9" s="79"/>
      <c r="UU9" s="79"/>
      <c r="UV9" s="79"/>
      <c r="UW9" s="79"/>
      <c r="UX9" s="79"/>
      <c r="UY9" s="79"/>
      <c r="UZ9" s="79"/>
      <c r="VA9" s="79"/>
      <c r="VB9" s="79"/>
      <c r="VC9" s="79"/>
      <c r="VD9" s="79"/>
      <c r="VE9" s="79"/>
      <c r="VF9" s="79"/>
      <c r="VG9" s="79"/>
      <c r="VH9" s="79"/>
      <c r="VI9" s="79"/>
      <c r="VJ9" s="79"/>
      <c r="VK9" s="79"/>
      <c r="VL9" s="79"/>
      <c r="VM9" s="79"/>
      <c r="VN9" s="79"/>
      <c r="VO9" s="79"/>
      <c r="VP9" s="79"/>
      <c r="VQ9" s="79"/>
      <c r="VR9" s="79"/>
      <c r="VS9" s="79"/>
      <c r="VT9" s="79"/>
      <c r="VU9" s="79"/>
      <c r="VV9" s="79"/>
      <c r="VW9" s="79"/>
      <c r="VX9" s="79"/>
      <c r="VY9" s="79"/>
      <c r="VZ9" s="79"/>
      <c r="WA9" s="79"/>
      <c r="WB9" s="79"/>
      <c r="WC9" s="79"/>
      <c r="WD9" s="79"/>
      <c r="WE9" s="79"/>
      <c r="WF9" s="79"/>
      <c r="WG9" s="79"/>
      <c r="WH9" s="79"/>
      <c r="WI9" s="79"/>
      <c r="WJ9" s="79"/>
      <c r="WK9" s="79"/>
      <c r="WL9" s="79"/>
      <c r="WM9" s="79"/>
      <c r="WN9" s="79"/>
      <c r="WO9" s="79"/>
      <c r="WP9" s="79"/>
      <c r="WQ9" s="79"/>
      <c r="WR9" s="79"/>
      <c r="WS9" s="79"/>
      <c r="WT9" s="79"/>
      <c r="WU9" s="79"/>
      <c r="WV9" s="79"/>
      <c r="WW9" s="79"/>
      <c r="WX9" s="79"/>
      <c r="WY9" s="79"/>
      <c r="WZ9" s="79"/>
      <c r="XA9" s="79"/>
      <c r="XB9" s="79"/>
      <c r="XC9" s="79"/>
      <c r="XD9" s="79"/>
      <c r="XE9" s="79"/>
      <c r="XF9" s="79"/>
      <c r="XG9" s="79"/>
      <c r="XH9" s="79"/>
      <c r="XI9" s="79"/>
      <c r="XJ9" s="79"/>
      <c r="XK9" s="79"/>
      <c r="XL9" s="79"/>
      <c r="XM9" s="79"/>
      <c r="XN9" s="79"/>
      <c r="XO9" s="79"/>
      <c r="XP9" s="79"/>
      <c r="XQ9" s="79"/>
      <c r="XR9" s="79"/>
      <c r="XS9" s="79"/>
      <c r="XT9" s="79"/>
      <c r="XU9" s="79"/>
      <c r="XV9" s="79"/>
      <c r="XW9" s="79"/>
      <c r="XX9" s="79"/>
      <c r="XY9" s="79"/>
      <c r="XZ9" s="79"/>
      <c r="YA9" s="79"/>
      <c r="YB9" s="79"/>
      <c r="YC9" s="79"/>
      <c r="YD9" s="79"/>
      <c r="YE9" s="79"/>
      <c r="YF9" s="79"/>
      <c r="YG9" s="79"/>
      <c r="YH9" s="79"/>
      <c r="YI9" s="79"/>
      <c r="YJ9" s="79"/>
      <c r="YK9" s="79"/>
      <c r="YL9" s="79"/>
      <c r="YM9" s="79"/>
      <c r="YN9" s="79"/>
      <c r="YO9" s="79"/>
      <c r="YP9" s="79"/>
      <c r="YQ9" s="79"/>
      <c r="YR9" s="79"/>
      <c r="YS9" s="79"/>
      <c r="YT9" s="79"/>
      <c r="YU9" s="79"/>
      <c r="YV9" s="79"/>
      <c r="YW9" s="79"/>
      <c r="YX9" s="79"/>
      <c r="YY9" s="79"/>
      <c r="YZ9" s="79"/>
      <c r="ZA9" s="79"/>
      <c r="ZB9" s="79"/>
      <c r="ZC9" s="79"/>
      <c r="ZD9" s="79"/>
      <c r="ZE9" s="79"/>
      <c r="ZF9" s="79"/>
      <c r="ZG9" s="79"/>
      <c r="ZH9" s="79"/>
      <c r="ZI9" s="79"/>
      <c r="ZJ9" s="79"/>
      <c r="ZK9" s="79"/>
      <c r="ZL9" s="79"/>
      <c r="ZM9" s="79"/>
      <c r="ZN9" s="79"/>
      <c r="ZO9" s="79"/>
      <c r="ZP9" s="79"/>
      <c r="ZQ9" s="79"/>
      <c r="ZR9" s="79"/>
      <c r="ZS9" s="79"/>
      <c r="ZT9" s="79"/>
      <c r="ZU9" s="79"/>
      <c r="ZV9" s="79"/>
      <c r="ZW9" s="79"/>
      <c r="ZX9" s="79"/>
      <c r="ZY9" s="79"/>
      <c r="ZZ9" s="79"/>
      <c r="AAA9" s="79"/>
      <c r="AAB9" s="79"/>
      <c r="AAC9" s="79"/>
      <c r="AAD9" s="79"/>
      <c r="AAE9" s="79"/>
      <c r="AAF9" s="79"/>
      <c r="AAG9" s="79"/>
      <c r="AAH9" s="79"/>
      <c r="AAI9" s="79"/>
      <c r="AAJ9" s="79"/>
      <c r="AAK9" s="79"/>
      <c r="AAL9" s="79"/>
      <c r="AAM9" s="79"/>
      <c r="AAN9" s="79"/>
      <c r="AAO9" s="79"/>
      <c r="AAP9" s="79"/>
      <c r="AAQ9" s="79"/>
      <c r="AAR9" s="79"/>
      <c r="AAS9" s="79"/>
      <c r="AAT9" s="79"/>
      <c r="AAU9" s="79"/>
      <c r="AAV9" s="79"/>
      <c r="AAW9" s="79"/>
      <c r="AAX9" s="79"/>
      <c r="AAY9" s="79"/>
      <c r="AAZ9" s="79"/>
      <c r="ABA9" s="79"/>
      <c r="ABB9" s="79"/>
      <c r="ABC9" s="79"/>
      <c r="ABD9" s="79"/>
      <c r="ABE9" s="79"/>
      <c r="ABF9" s="79"/>
      <c r="ABG9" s="79"/>
      <c r="ABH9" s="79"/>
      <c r="ABI9" s="79"/>
      <c r="ABJ9" s="79"/>
      <c r="ABK9" s="79"/>
      <c r="ABL9" s="79"/>
      <c r="ABM9" s="79"/>
      <c r="ABN9" s="79"/>
      <c r="ABO9" s="79"/>
      <c r="ABP9" s="79"/>
      <c r="ABQ9" s="79"/>
      <c r="ABR9" s="79"/>
      <c r="ABS9" s="79"/>
      <c r="ABT9" s="79"/>
      <c r="ABU9" s="79"/>
      <c r="ABV9" s="79"/>
      <c r="ABW9" s="79"/>
      <c r="ABX9" s="79"/>
      <c r="ABY9" s="79"/>
      <c r="ABZ9" s="79"/>
      <c r="ACA9" s="79"/>
      <c r="ACB9" s="79"/>
      <c r="ACC9" s="79"/>
      <c r="ACD9" s="79"/>
      <c r="ACE9" s="79"/>
      <c r="ACF9" s="79"/>
      <c r="ACG9" s="79"/>
      <c r="ACH9" s="79"/>
      <c r="ACI9" s="79"/>
      <c r="ACJ9" s="79"/>
      <c r="ACK9" s="79"/>
      <c r="ACL9" s="79"/>
      <c r="ACM9" s="79"/>
      <c r="ACN9" s="79"/>
      <c r="ACO9" s="79"/>
      <c r="ACP9" s="79"/>
      <c r="ACQ9" s="79"/>
      <c r="ACR9" s="79"/>
      <c r="ACS9" s="79"/>
      <c r="ACT9" s="79"/>
      <c r="ACU9" s="79"/>
      <c r="ACV9" s="79"/>
      <c r="ACW9" s="79"/>
      <c r="ACX9" s="79"/>
      <c r="ACY9" s="79"/>
      <c r="ACZ9" s="79"/>
      <c r="ADA9" s="79"/>
      <c r="ADB9" s="79"/>
      <c r="ADC9" s="79"/>
      <c r="ADD9" s="79"/>
      <c r="ADE9" s="79"/>
      <c r="ADF9" s="79"/>
      <c r="ADG9" s="79"/>
      <c r="ADH9" s="79"/>
      <c r="ADI9" s="79"/>
      <c r="ADJ9" s="79"/>
      <c r="ADK9" s="79"/>
      <c r="ADL9" s="79"/>
      <c r="ADM9" s="79"/>
      <c r="ADN9" s="79"/>
    </row>
    <row r="10" spans="1:794" ht="15" customHeight="1">
      <c r="S10" s="8"/>
      <c r="T10" s="9"/>
      <c r="U10" s="9"/>
      <c r="V10" s="9"/>
      <c r="W10" s="10"/>
    </row>
    <row r="11" spans="1:794" ht="15" customHeight="1">
      <c r="B11" s="37" t="s">
        <v>8</v>
      </c>
      <c r="C11" s="85" t="s">
        <v>97</v>
      </c>
      <c r="D11" s="85"/>
      <c r="E11" s="85"/>
      <c r="F11" s="85"/>
      <c r="G11" s="85"/>
      <c r="I11" s="2" t="s">
        <v>84</v>
      </c>
      <c r="J11" s="2" t="s">
        <v>1</v>
      </c>
      <c r="S11" s="12"/>
      <c r="T11" s="86" t="s">
        <v>11</v>
      </c>
      <c r="U11" s="86"/>
      <c r="V11" s="86"/>
      <c r="W11" s="14"/>
    </row>
    <row r="12" spans="1:794" ht="15" customHeight="1">
      <c r="B12" s="11"/>
      <c r="C12" s="15"/>
      <c r="D12" s="15"/>
      <c r="E12" s="15"/>
      <c r="F12" s="15"/>
      <c r="G12" s="15"/>
      <c r="I12" s="2" t="s">
        <v>2</v>
      </c>
      <c r="J12" s="2" t="s">
        <v>3</v>
      </c>
      <c r="S12" s="12"/>
      <c r="T12" s="13"/>
      <c r="U12" s="13"/>
      <c r="V12" s="13"/>
      <c r="W12" s="14"/>
    </row>
    <row r="13" spans="1:794" ht="15" customHeight="1">
      <c r="B13" s="37" t="s">
        <v>14</v>
      </c>
      <c r="C13" s="81" t="s">
        <v>41</v>
      </c>
      <c r="D13" s="82"/>
      <c r="E13" s="82"/>
      <c r="F13" s="82"/>
      <c r="G13" s="83"/>
      <c r="I13" s="2" t="s">
        <v>83</v>
      </c>
      <c r="J13" s="2" t="s">
        <v>5</v>
      </c>
      <c r="S13" s="12"/>
      <c r="T13" s="13"/>
      <c r="U13" s="13"/>
      <c r="V13" s="13"/>
      <c r="W13" s="14"/>
    </row>
    <row r="14" spans="1:794" ht="15" customHeight="1">
      <c r="B14" s="11"/>
      <c r="C14" s="16"/>
      <c r="D14" s="16"/>
      <c r="E14" s="16"/>
      <c r="F14" s="16"/>
      <c r="I14" s="2" t="s">
        <v>6</v>
      </c>
      <c r="J14" s="2" t="s">
        <v>7</v>
      </c>
      <c r="S14" s="12"/>
      <c r="T14" s="17"/>
      <c r="U14" s="17"/>
      <c r="V14" s="17"/>
      <c r="W14" s="14"/>
    </row>
    <row r="15" spans="1:794" ht="15" customHeight="1">
      <c r="B15" s="37" t="s">
        <v>20</v>
      </c>
      <c r="C15" s="81" t="s">
        <v>83</v>
      </c>
      <c r="D15" s="82"/>
      <c r="E15" s="82"/>
      <c r="F15" s="82"/>
      <c r="G15" s="83"/>
      <c r="I15" s="2" t="s">
        <v>9</v>
      </c>
      <c r="J15" s="2" t="s">
        <v>10</v>
      </c>
      <c r="S15" s="12"/>
      <c r="T15" s="84" t="s">
        <v>23</v>
      </c>
      <c r="U15" s="84"/>
      <c r="V15" s="84"/>
      <c r="W15" s="14"/>
    </row>
    <row r="16" spans="1:794" ht="15" customHeight="1">
      <c r="B16" s="11"/>
      <c r="C16" s="16"/>
      <c r="D16" s="16"/>
      <c r="E16" s="16"/>
      <c r="F16" s="16"/>
      <c r="I16" s="2" t="s">
        <v>12</v>
      </c>
      <c r="J16" s="2" t="s">
        <v>13</v>
      </c>
      <c r="S16" s="12"/>
      <c r="T16" s="17"/>
      <c r="U16" s="17"/>
      <c r="V16" s="17"/>
      <c r="W16" s="14"/>
    </row>
    <row r="17" spans="1:23" ht="15" customHeight="1">
      <c r="B17" s="37" t="s">
        <v>26</v>
      </c>
      <c r="C17" s="85" t="s">
        <v>98</v>
      </c>
      <c r="D17" s="85"/>
      <c r="E17" s="85"/>
      <c r="F17" s="85"/>
      <c r="G17" s="85"/>
      <c r="I17" s="2" t="s">
        <v>16</v>
      </c>
      <c r="J17" s="2" t="s">
        <v>17</v>
      </c>
      <c r="S17" s="12"/>
      <c r="T17" s="18" t="s">
        <v>27</v>
      </c>
      <c r="U17" s="19" t="s">
        <v>28</v>
      </c>
      <c r="V17" s="18" t="s">
        <v>29</v>
      </c>
      <c r="W17" s="14"/>
    </row>
    <row r="18" spans="1:23" ht="15" customHeight="1">
      <c r="B18" s="11"/>
      <c r="C18" s="16"/>
      <c r="D18" s="16"/>
      <c r="E18" s="16"/>
      <c r="F18" s="16"/>
      <c r="I18" s="2" t="s">
        <v>18</v>
      </c>
      <c r="J18" s="2" t="s">
        <v>19</v>
      </c>
      <c r="S18" s="12"/>
      <c r="T18" s="18" t="s">
        <v>27</v>
      </c>
      <c r="U18" s="19" t="s">
        <v>22</v>
      </c>
      <c r="V18" s="18" t="s">
        <v>30</v>
      </c>
      <c r="W18" s="14"/>
    </row>
    <row r="19" spans="1:23" ht="15" customHeight="1">
      <c r="B19" s="37" t="s">
        <v>31</v>
      </c>
      <c r="C19" s="85" t="s">
        <v>99</v>
      </c>
      <c r="D19" s="85"/>
      <c r="E19" s="85"/>
      <c r="F19" s="85"/>
      <c r="G19" s="85"/>
      <c r="I19" s="2" t="s">
        <v>21</v>
      </c>
      <c r="J19" s="2" t="s">
        <v>22</v>
      </c>
      <c r="S19" s="12"/>
      <c r="T19" s="18" t="s">
        <v>27</v>
      </c>
      <c r="U19" s="19" t="s">
        <v>17</v>
      </c>
      <c r="V19" s="18" t="s">
        <v>32</v>
      </c>
      <c r="W19" s="14"/>
    </row>
    <row r="20" spans="1:23" ht="15" customHeight="1">
      <c r="D20" s="21"/>
      <c r="E20" s="21"/>
      <c r="F20" s="21"/>
      <c r="I20" s="2" t="s">
        <v>24</v>
      </c>
      <c r="J20" s="2" t="s">
        <v>25</v>
      </c>
      <c r="S20" s="12"/>
      <c r="T20" s="18" t="s">
        <v>27</v>
      </c>
      <c r="U20" s="19" t="s">
        <v>19</v>
      </c>
      <c r="V20" s="18" t="s">
        <v>33</v>
      </c>
      <c r="W20" s="14"/>
    </row>
    <row r="21" spans="1:23" ht="15" customHeight="1">
      <c r="B21" s="20"/>
      <c r="C21" s="21"/>
      <c r="D21" s="16"/>
      <c r="E21" s="16"/>
      <c r="F21" s="16"/>
      <c r="I21" s="2" t="s">
        <v>15</v>
      </c>
      <c r="J21" s="2" t="s">
        <v>37</v>
      </c>
      <c r="S21" s="12"/>
      <c r="T21" s="18" t="s">
        <v>27</v>
      </c>
      <c r="U21" s="19" t="s">
        <v>1</v>
      </c>
      <c r="V21" s="18" t="s">
        <v>34</v>
      </c>
      <c r="W21" s="14"/>
    </row>
    <row r="22" spans="1:23" ht="15" customHeight="1">
      <c r="B22" s="80" t="s">
        <v>40</v>
      </c>
      <c r="C22" s="80"/>
      <c r="D22" s="80"/>
      <c r="E22" s="80"/>
      <c r="F22" s="80"/>
      <c r="G22" s="80"/>
      <c r="I22" s="2" t="s">
        <v>41</v>
      </c>
      <c r="J22" s="2" t="s">
        <v>41</v>
      </c>
      <c r="S22" s="12"/>
      <c r="T22" s="18" t="s">
        <v>27</v>
      </c>
      <c r="U22" s="19" t="s">
        <v>3</v>
      </c>
      <c r="V22" s="18" t="s">
        <v>35</v>
      </c>
      <c r="W22" s="14"/>
    </row>
    <row r="23" spans="1:23" ht="15" customHeight="1">
      <c r="I23" s="2" t="s">
        <v>43</v>
      </c>
      <c r="J23" s="2" t="s">
        <v>43</v>
      </c>
      <c r="S23" s="12"/>
      <c r="T23" s="18" t="s">
        <v>27</v>
      </c>
      <c r="U23" s="19" t="s">
        <v>5</v>
      </c>
      <c r="V23" s="18" t="s">
        <v>36</v>
      </c>
      <c r="W23" s="14"/>
    </row>
    <row r="24" spans="1:23" ht="15" customHeight="1">
      <c r="B24" s="57" t="s">
        <v>45</v>
      </c>
      <c r="C24" s="69" t="s">
        <v>46</v>
      </c>
      <c r="I24" s="2" t="s">
        <v>47</v>
      </c>
      <c r="J24" s="2" t="s">
        <v>47</v>
      </c>
      <c r="S24" s="12"/>
      <c r="T24" s="18" t="s">
        <v>27</v>
      </c>
      <c r="U24" s="19" t="s">
        <v>38</v>
      </c>
      <c r="V24" s="18" t="s">
        <v>39</v>
      </c>
      <c r="W24" s="14"/>
    </row>
    <row r="25" spans="1:23" ht="15" customHeight="1">
      <c r="B25" s="57"/>
      <c r="C25" s="76"/>
      <c r="S25" s="12"/>
      <c r="T25" s="18" t="s">
        <v>27</v>
      </c>
      <c r="U25" s="19" t="s">
        <v>38</v>
      </c>
      <c r="V25" s="18" t="s">
        <v>96</v>
      </c>
      <c r="W25" s="14"/>
    </row>
    <row r="26" spans="1:23" ht="15" customHeight="1">
      <c r="A26" s="7"/>
      <c r="I26" s="2" t="s">
        <v>48</v>
      </c>
      <c r="J26" s="2" t="s">
        <v>48</v>
      </c>
      <c r="S26" s="12"/>
      <c r="T26" s="18" t="s">
        <v>27</v>
      </c>
      <c r="U26" s="19" t="s">
        <v>13</v>
      </c>
      <c r="V26" s="18" t="s">
        <v>42</v>
      </c>
      <c r="W26" s="14"/>
    </row>
    <row r="27" spans="1:23" ht="15" customHeight="1">
      <c r="A27" s="7"/>
      <c r="C27" s="23"/>
      <c r="G27" s="24"/>
      <c r="I27" s="2" t="s">
        <v>49</v>
      </c>
      <c r="J27" s="2" t="s">
        <v>49</v>
      </c>
      <c r="S27" s="12"/>
      <c r="T27" s="18" t="s">
        <v>27</v>
      </c>
      <c r="U27" s="19" t="s">
        <v>25</v>
      </c>
      <c r="V27" s="18" t="s">
        <v>44</v>
      </c>
      <c r="W27" s="14"/>
    </row>
    <row r="28" spans="1:23" ht="15" customHeight="1">
      <c r="A28" s="7"/>
      <c r="I28" s="2" t="s">
        <v>86</v>
      </c>
      <c r="J28" s="2" t="s">
        <v>90</v>
      </c>
      <c r="S28" s="12"/>
      <c r="T28" s="18" t="s">
        <v>27</v>
      </c>
      <c r="U28" s="19" t="s">
        <v>88</v>
      </c>
      <c r="V28" s="18" t="s">
        <v>85</v>
      </c>
      <c r="W28" s="14"/>
    </row>
    <row r="29" spans="1:23" ht="15" customHeight="1">
      <c r="A29" s="7"/>
      <c r="B29" s="26" t="s">
        <v>50</v>
      </c>
      <c r="C29" s="26" t="s">
        <v>51</v>
      </c>
      <c r="E29" s="58" t="s">
        <v>50</v>
      </c>
      <c r="F29" s="60" t="s">
        <v>51</v>
      </c>
      <c r="H29" s="27" t="e">
        <f>VLOOKUP(#REF!,$T$48:$Y$55,6,0)</f>
        <v>#REF!</v>
      </c>
      <c r="I29" s="2" t="s">
        <v>87</v>
      </c>
      <c r="J29" s="2" t="s">
        <v>91</v>
      </c>
      <c r="S29" s="12"/>
      <c r="T29" s="18" t="s">
        <v>27</v>
      </c>
      <c r="U29" s="19" t="s">
        <v>89</v>
      </c>
      <c r="V29" s="18" t="s">
        <v>85</v>
      </c>
      <c r="W29" s="14"/>
    </row>
    <row r="30" spans="1:23" ht="15" customHeight="1">
      <c r="B30" s="29" t="s">
        <v>52</v>
      </c>
      <c r="C30" s="25"/>
      <c r="D30" s="23"/>
      <c r="E30" s="61" t="s">
        <v>53</v>
      </c>
      <c r="F30" s="62">
        <v>17172.509999999998</v>
      </c>
      <c r="I30" s="2" t="s">
        <v>95</v>
      </c>
      <c r="J30" s="2" t="s">
        <v>94</v>
      </c>
      <c r="S30" s="12"/>
      <c r="T30" s="18" t="s">
        <v>27</v>
      </c>
      <c r="U30" s="19" t="s">
        <v>94</v>
      </c>
      <c r="V30" s="18" t="s">
        <v>44</v>
      </c>
      <c r="W30" s="14"/>
    </row>
    <row r="31" spans="1:23" ht="15" customHeight="1">
      <c r="B31" s="28" t="s">
        <v>54</v>
      </c>
      <c r="C31" s="25"/>
      <c r="E31" s="61" t="s">
        <v>55</v>
      </c>
      <c r="F31" s="62">
        <v>29988.28</v>
      </c>
      <c r="S31" s="12"/>
      <c r="T31" s="22"/>
      <c r="U31" s="22"/>
      <c r="V31" s="22"/>
      <c r="W31" s="14"/>
    </row>
    <row r="32" spans="1:23" ht="15" customHeight="1">
      <c r="B32" s="30" t="s">
        <v>56</v>
      </c>
      <c r="C32" s="31">
        <f>C31*0.11</f>
        <v>0</v>
      </c>
      <c r="E32" s="63" t="s">
        <v>57</v>
      </c>
      <c r="F32" s="64">
        <f>SUM(F30:F31)</f>
        <v>47160.789999999994</v>
      </c>
      <c r="S32" s="12"/>
      <c r="T32" s="22"/>
      <c r="U32" s="22"/>
      <c r="V32" s="22"/>
      <c r="W32" s="14"/>
    </row>
    <row r="33" spans="1:794" ht="15" customHeight="1">
      <c r="S33" s="32"/>
      <c r="T33" s="33"/>
      <c r="U33" s="33"/>
      <c r="V33" s="33"/>
      <c r="W33" s="34"/>
    </row>
    <row r="34" spans="1:794" ht="9" customHeight="1"/>
    <row r="35" spans="1:794" ht="9" customHeight="1"/>
    <row r="36" spans="1:794" ht="15" customHeight="1">
      <c r="A36" s="77" t="s">
        <v>58</v>
      </c>
      <c r="B36" s="77"/>
      <c r="C36" s="77"/>
      <c r="D36" s="77"/>
      <c r="E36" s="77"/>
      <c r="F36" s="77"/>
      <c r="G36" s="77"/>
      <c r="H36" s="77"/>
      <c r="I36" s="77"/>
      <c r="J36" s="77"/>
      <c r="K36" s="77"/>
      <c r="L36" s="77"/>
      <c r="M36" s="77"/>
      <c r="N36" s="77"/>
      <c r="O36" s="77"/>
      <c r="P36" s="77"/>
      <c r="Q36" s="77"/>
      <c r="R36" s="77"/>
      <c r="S36" s="77"/>
      <c r="T36" s="77"/>
      <c r="U36" s="77"/>
      <c r="V36" s="77"/>
    </row>
    <row r="37" spans="1:794" ht="15" customHeight="1">
      <c r="A37" s="78" t="s">
        <v>79</v>
      </c>
      <c r="B37" s="78"/>
      <c r="C37" s="78"/>
      <c r="D37" s="78"/>
      <c r="E37" s="78"/>
      <c r="F37" s="78"/>
      <c r="G37" s="78"/>
      <c r="H37" s="78"/>
      <c r="I37" s="78"/>
      <c r="J37" s="78"/>
      <c r="K37" s="78"/>
      <c r="L37" s="78"/>
      <c r="M37" s="78"/>
      <c r="N37" s="78"/>
      <c r="O37" s="78"/>
      <c r="P37" s="78"/>
      <c r="Q37" s="78"/>
      <c r="R37" s="78"/>
      <c r="S37" s="78"/>
      <c r="T37" s="78"/>
      <c r="U37" s="78"/>
      <c r="V37" s="78"/>
    </row>
    <row r="38" spans="1:794" ht="15" customHeight="1"/>
    <row r="39" spans="1:794" ht="15" customHeight="1">
      <c r="A39" s="79" t="s">
        <v>59</v>
      </c>
      <c r="B39" s="79"/>
      <c r="C39" s="79"/>
      <c r="D39" s="79"/>
      <c r="E39" s="79"/>
      <c r="F39" s="79"/>
      <c r="G39" s="79"/>
      <c r="H39" s="79"/>
      <c r="I39" s="79"/>
      <c r="J39" s="79"/>
      <c r="K39" s="79"/>
      <c r="L39" s="79"/>
      <c r="M39" s="79"/>
      <c r="N39" s="79"/>
      <c r="O39" s="79"/>
      <c r="P39" s="79"/>
      <c r="Q39" s="79"/>
      <c r="R39" s="79"/>
      <c r="S39" s="79"/>
      <c r="T39" s="79"/>
      <c r="U39" s="79"/>
      <c r="V39" s="79"/>
      <c r="W39" s="79"/>
      <c r="X39" s="79"/>
      <c r="Y39" s="79"/>
      <c r="Z39" s="79"/>
      <c r="AA39" s="79"/>
      <c r="AB39" s="79"/>
      <c r="AC39" s="79"/>
      <c r="AD39" s="79"/>
      <c r="AE39" s="79"/>
      <c r="AF39" s="79"/>
      <c r="AG39" s="79"/>
      <c r="AH39" s="79"/>
      <c r="AI39" s="79"/>
      <c r="AJ39" s="79"/>
      <c r="AK39" s="79"/>
      <c r="AL39" s="79"/>
      <c r="AM39" s="79"/>
      <c r="AN39" s="79"/>
      <c r="AO39" s="79"/>
      <c r="AP39" s="79"/>
      <c r="AQ39" s="79"/>
      <c r="AR39" s="79"/>
      <c r="AS39" s="79"/>
      <c r="AT39" s="79"/>
      <c r="AU39" s="79"/>
      <c r="AV39" s="79"/>
      <c r="AW39" s="79"/>
      <c r="AX39" s="79"/>
      <c r="AY39" s="79"/>
      <c r="AZ39" s="79"/>
      <c r="BA39" s="79"/>
      <c r="BB39" s="79"/>
      <c r="BC39" s="79"/>
      <c r="BD39" s="79"/>
      <c r="BE39" s="79"/>
      <c r="BF39" s="79"/>
      <c r="BG39" s="79"/>
      <c r="BH39" s="79"/>
      <c r="BI39" s="79"/>
      <c r="BJ39" s="79"/>
      <c r="BK39" s="79"/>
      <c r="BL39" s="79"/>
      <c r="BM39" s="79"/>
      <c r="BN39" s="79"/>
      <c r="BO39" s="79"/>
      <c r="BP39" s="79"/>
      <c r="BQ39" s="79"/>
      <c r="BR39" s="79"/>
      <c r="BS39" s="79"/>
      <c r="BT39" s="79"/>
      <c r="BU39" s="79"/>
      <c r="BV39" s="79"/>
      <c r="BW39" s="79"/>
      <c r="BX39" s="79"/>
      <c r="BY39" s="79"/>
      <c r="BZ39" s="79"/>
      <c r="CA39" s="79"/>
      <c r="CB39" s="79"/>
      <c r="CC39" s="79"/>
      <c r="CD39" s="79"/>
      <c r="CE39" s="79"/>
      <c r="CF39" s="79"/>
      <c r="CG39" s="79"/>
      <c r="CH39" s="79"/>
      <c r="CI39" s="79"/>
      <c r="CJ39" s="79"/>
      <c r="CK39" s="79"/>
      <c r="CL39" s="79"/>
      <c r="CM39" s="79"/>
      <c r="CN39" s="79"/>
      <c r="CO39" s="79"/>
      <c r="CP39" s="79"/>
      <c r="CQ39" s="79"/>
      <c r="CR39" s="79"/>
      <c r="CS39" s="79"/>
      <c r="CT39" s="79"/>
      <c r="CU39" s="79"/>
      <c r="CV39" s="79"/>
      <c r="CW39" s="79"/>
      <c r="CX39" s="79"/>
      <c r="CY39" s="79"/>
      <c r="CZ39" s="79"/>
      <c r="DA39" s="79"/>
      <c r="DB39" s="79"/>
      <c r="DC39" s="79"/>
      <c r="DD39" s="79"/>
      <c r="DE39" s="79"/>
      <c r="DF39" s="79"/>
      <c r="DG39" s="79"/>
      <c r="DH39" s="79"/>
      <c r="DI39" s="79"/>
      <c r="DJ39" s="79"/>
      <c r="DK39" s="79"/>
      <c r="DL39" s="79"/>
      <c r="DM39" s="79"/>
      <c r="DN39" s="79"/>
      <c r="DO39" s="79"/>
      <c r="DP39" s="79"/>
      <c r="DQ39" s="79"/>
      <c r="DR39" s="79"/>
      <c r="DS39" s="79"/>
      <c r="DT39" s="79"/>
      <c r="DU39" s="79"/>
      <c r="DV39" s="79"/>
      <c r="DW39" s="79"/>
      <c r="DX39" s="79"/>
      <c r="DY39" s="79"/>
      <c r="DZ39" s="79"/>
      <c r="EA39" s="79"/>
      <c r="EB39" s="79"/>
      <c r="EC39" s="79"/>
      <c r="ED39" s="79"/>
      <c r="EE39" s="79"/>
      <c r="EF39" s="79"/>
      <c r="EG39" s="79"/>
      <c r="EH39" s="79"/>
      <c r="EI39" s="79"/>
      <c r="EJ39" s="79"/>
      <c r="EK39" s="79"/>
      <c r="EL39" s="79"/>
      <c r="EM39" s="79"/>
      <c r="EN39" s="79"/>
      <c r="EO39" s="79"/>
      <c r="EP39" s="79"/>
      <c r="EQ39" s="79"/>
      <c r="ER39" s="79"/>
      <c r="ES39" s="79"/>
      <c r="ET39" s="79"/>
      <c r="EU39" s="79"/>
      <c r="EV39" s="79"/>
      <c r="EW39" s="79"/>
      <c r="EX39" s="79"/>
      <c r="EY39" s="79"/>
      <c r="EZ39" s="79"/>
      <c r="FA39" s="79"/>
      <c r="FB39" s="79"/>
      <c r="FC39" s="79"/>
      <c r="FD39" s="79"/>
      <c r="FE39" s="79"/>
      <c r="FF39" s="79"/>
      <c r="FG39" s="79"/>
      <c r="FH39" s="79"/>
      <c r="FI39" s="79"/>
      <c r="FJ39" s="79"/>
      <c r="FK39" s="79"/>
      <c r="FL39" s="79"/>
      <c r="FM39" s="79"/>
      <c r="FN39" s="79"/>
      <c r="FO39" s="79"/>
      <c r="FP39" s="79"/>
      <c r="FQ39" s="79"/>
      <c r="FR39" s="79"/>
      <c r="FS39" s="79"/>
      <c r="FT39" s="79"/>
      <c r="FU39" s="79"/>
      <c r="FV39" s="79"/>
      <c r="FW39" s="79"/>
      <c r="FX39" s="79"/>
      <c r="FY39" s="79"/>
      <c r="FZ39" s="79"/>
      <c r="GA39" s="79"/>
      <c r="GB39" s="79"/>
      <c r="GC39" s="79"/>
      <c r="GD39" s="79"/>
      <c r="GE39" s="79"/>
      <c r="GF39" s="79"/>
      <c r="GG39" s="79"/>
      <c r="GH39" s="79"/>
      <c r="GI39" s="79"/>
      <c r="GJ39" s="79"/>
      <c r="GK39" s="79"/>
      <c r="GL39" s="79"/>
      <c r="GM39" s="79"/>
      <c r="GN39" s="79"/>
      <c r="GO39" s="79"/>
      <c r="GP39" s="79"/>
      <c r="GQ39" s="79"/>
      <c r="GR39" s="79"/>
      <c r="GS39" s="79"/>
      <c r="GT39" s="79"/>
      <c r="GU39" s="79"/>
      <c r="GV39" s="79"/>
      <c r="GW39" s="79"/>
      <c r="GX39" s="79"/>
      <c r="GY39" s="79"/>
      <c r="GZ39" s="79"/>
      <c r="HA39" s="79"/>
      <c r="HB39" s="79"/>
      <c r="HC39" s="79"/>
      <c r="HD39" s="79"/>
      <c r="HE39" s="79"/>
      <c r="HF39" s="79"/>
      <c r="HG39" s="79"/>
      <c r="HH39" s="79"/>
      <c r="HI39" s="79"/>
      <c r="HJ39" s="79"/>
      <c r="HK39" s="79"/>
      <c r="HL39" s="79"/>
      <c r="HM39" s="79"/>
      <c r="HN39" s="79"/>
      <c r="HO39" s="79"/>
      <c r="HP39" s="79"/>
      <c r="HQ39" s="79"/>
      <c r="HR39" s="79"/>
      <c r="HS39" s="79"/>
      <c r="HT39" s="79"/>
      <c r="HU39" s="79"/>
      <c r="HV39" s="79"/>
      <c r="HW39" s="79"/>
      <c r="HX39" s="79"/>
      <c r="HY39" s="79"/>
      <c r="HZ39" s="79"/>
      <c r="IA39" s="79"/>
      <c r="IB39" s="79"/>
      <c r="IC39" s="79"/>
      <c r="ID39" s="79"/>
      <c r="IE39" s="79"/>
      <c r="IF39" s="79"/>
      <c r="IG39" s="79"/>
      <c r="IH39" s="79"/>
      <c r="II39" s="79"/>
      <c r="IJ39" s="79"/>
      <c r="IK39" s="79"/>
      <c r="IL39" s="79"/>
      <c r="IM39" s="79"/>
      <c r="IN39" s="79"/>
      <c r="IO39" s="79"/>
      <c r="IP39" s="79"/>
      <c r="IQ39" s="79"/>
      <c r="IR39" s="79"/>
      <c r="IS39" s="79"/>
      <c r="IT39" s="79"/>
      <c r="IU39" s="79"/>
      <c r="IV39" s="79"/>
      <c r="IW39" s="79"/>
      <c r="IX39" s="79"/>
      <c r="IY39" s="79"/>
      <c r="IZ39" s="79"/>
      <c r="JA39" s="79"/>
      <c r="JB39" s="79"/>
      <c r="JC39" s="79"/>
      <c r="JD39" s="79"/>
      <c r="JE39" s="79"/>
      <c r="JF39" s="79"/>
      <c r="JG39" s="79"/>
      <c r="JH39" s="79"/>
      <c r="JI39" s="79"/>
      <c r="JJ39" s="79"/>
      <c r="JK39" s="79"/>
      <c r="JL39" s="79"/>
      <c r="JM39" s="79"/>
      <c r="JN39" s="79"/>
      <c r="JO39" s="79"/>
      <c r="JP39" s="79"/>
      <c r="JQ39" s="79"/>
      <c r="JR39" s="79"/>
      <c r="JS39" s="79"/>
      <c r="JT39" s="79"/>
      <c r="JU39" s="79"/>
      <c r="JV39" s="79"/>
      <c r="JW39" s="79"/>
      <c r="JX39" s="79"/>
      <c r="JY39" s="79"/>
      <c r="JZ39" s="79"/>
      <c r="KA39" s="79"/>
      <c r="KB39" s="79"/>
      <c r="KC39" s="79"/>
      <c r="KD39" s="79"/>
      <c r="KE39" s="79"/>
      <c r="KF39" s="79"/>
      <c r="KG39" s="79"/>
      <c r="KH39" s="79"/>
      <c r="KI39" s="79"/>
      <c r="KJ39" s="79"/>
      <c r="KK39" s="79"/>
      <c r="KL39" s="79"/>
      <c r="KM39" s="79"/>
      <c r="KN39" s="79"/>
      <c r="KO39" s="79"/>
      <c r="KP39" s="79"/>
      <c r="KQ39" s="79"/>
      <c r="KR39" s="79"/>
      <c r="KS39" s="79"/>
      <c r="KT39" s="79"/>
      <c r="KU39" s="79"/>
      <c r="KV39" s="79"/>
      <c r="KW39" s="79"/>
      <c r="KX39" s="79"/>
      <c r="KY39" s="79"/>
      <c r="KZ39" s="79"/>
      <c r="LA39" s="79"/>
      <c r="LB39" s="79"/>
      <c r="LC39" s="79"/>
      <c r="LD39" s="79"/>
      <c r="LE39" s="79"/>
      <c r="LF39" s="79"/>
      <c r="LG39" s="79"/>
      <c r="LH39" s="79"/>
      <c r="LI39" s="79"/>
      <c r="LJ39" s="79"/>
      <c r="LK39" s="79"/>
      <c r="LL39" s="79"/>
      <c r="LM39" s="79"/>
      <c r="LN39" s="79"/>
      <c r="LO39" s="79"/>
      <c r="LP39" s="79"/>
      <c r="LQ39" s="79"/>
      <c r="LR39" s="79"/>
      <c r="LS39" s="79"/>
      <c r="LT39" s="79"/>
      <c r="LU39" s="79"/>
      <c r="LV39" s="79"/>
      <c r="LW39" s="79"/>
      <c r="LX39" s="79"/>
      <c r="LY39" s="79"/>
      <c r="LZ39" s="79"/>
      <c r="MA39" s="79"/>
      <c r="MB39" s="79"/>
      <c r="MC39" s="79"/>
      <c r="MD39" s="79"/>
      <c r="ME39" s="79"/>
      <c r="MF39" s="79"/>
      <c r="MG39" s="79"/>
      <c r="MH39" s="79"/>
      <c r="MI39" s="79"/>
      <c r="MJ39" s="79"/>
      <c r="MK39" s="79"/>
      <c r="ML39" s="79"/>
      <c r="MM39" s="79"/>
      <c r="MN39" s="79"/>
      <c r="MO39" s="79"/>
      <c r="MP39" s="79"/>
      <c r="MQ39" s="79"/>
      <c r="MR39" s="79"/>
      <c r="MS39" s="79"/>
      <c r="MT39" s="79"/>
      <c r="MU39" s="79"/>
      <c r="MV39" s="79"/>
      <c r="MW39" s="79"/>
      <c r="MX39" s="79"/>
      <c r="MY39" s="79"/>
      <c r="MZ39" s="79"/>
      <c r="NA39" s="79"/>
      <c r="NB39" s="79"/>
      <c r="NC39" s="79"/>
      <c r="ND39" s="79"/>
      <c r="NE39" s="79"/>
      <c r="NF39" s="79"/>
      <c r="NG39" s="79"/>
      <c r="NH39" s="79"/>
      <c r="NI39" s="79"/>
      <c r="NJ39" s="79"/>
      <c r="NK39" s="79"/>
      <c r="NL39" s="79"/>
      <c r="NM39" s="79"/>
      <c r="NN39" s="79"/>
      <c r="NO39" s="79"/>
      <c r="NP39" s="79"/>
      <c r="NQ39" s="79"/>
      <c r="NR39" s="79"/>
      <c r="NS39" s="79"/>
      <c r="NT39" s="79"/>
      <c r="NU39" s="79"/>
      <c r="NV39" s="79"/>
      <c r="NW39" s="79"/>
      <c r="NX39" s="79"/>
      <c r="NY39" s="79"/>
      <c r="NZ39" s="79"/>
      <c r="OA39" s="79"/>
      <c r="OB39" s="79"/>
      <c r="OC39" s="79"/>
      <c r="OD39" s="79"/>
      <c r="OE39" s="79"/>
      <c r="OF39" s="79"/>
      <c r="OG39" s="79"/>
      <c r="OH39" s="79"/>
      <c r="OI39" s="79"/>
      <c r="OJ39" s="79"/>
      <c r="OK39" s="79"/>
      <c r="OL39" s="79"/>
      <c r="OM39" s="79"/>
      <c r="ON39" s="79"/>
      <c r="OO39" s="79"/>
      <c r="OP39" s="79"/>
      <c r="OQ39" s="79"/>
      <c r="OR39" s="79"/>
      <c r="OS39" s="79"/>
      <c r="OT39" s="79"/>
      <c r="OU39" s="79"/>
      <c r="OV39" s="79"/>
      <c r="OW39" s="79"/>
      <c r="OX39" s="79"/>
      <c r="OY39" s="79"/>
      <c r="OZ39" s="79"/>
      <c r="PA39" s="79"/>
      <c r="PB39" s="79"/>
      <c r="PC39" s="79"/>
      <c r="PD39" s="79"/>
      <c r="PE39" s="79"/>
      <c r="PF39" s="79"/>
      <c r="PG39" s="79"/>
      <c r="PH39" s="79"/>
      <c r="PI39" s="79"/>
      <c r="PJ39" s="79"/>
      <c r="PK39" s="79"/>
      <c r="PL39" s="79"/>
      <c r="PM39" s="79"/>
      <c r="PN39" s="79"/>
      <c r="PO39" s="79"/>
      <c r="PP39" s="79"/>
      <c r="PQ39" s="79"/>
      <c r="PR39" s="79"/>
      <c r="PS39" s="79"/>
      <c r="PT39" s="79"/>
      <c r="PU39" s="79"/>
      <c r="PV39" s="79"/>
      <c r="PW39" s="79"/>
      <c r="PX39" s="79"/>
      <c r="PY39" s="79"/>
      <c r="PZ39" s="79"/>
      <c r="QA39" s="79"/>
      <c r="QB39" s="79"/>
      <c r="QC39" s="79"/>
      <c r="QD39" s="79"/>
      <c r="QE39" s="79"/>
      <c r="QF39" s="79"/>
      <c r="QG39" s="79"/>
      <c r="QH39" s="79"/>
      <c r="QI39" s="79"/>
      <c r="QJ39" s="79"/>
      <c r="QK39" s="79"/>
      <c r="QL39" s="79"/>
      <c r="QM39" s="79"/>
      <c r="QN39" s="79"/>
      <c r="QO39" s="79"/>
      <c r="QP39" s="79"/>
      <c r="QQ39" s="79"/>
      <c r="QR39" s="79"/>
      <c r="QS39" s="79"/>
      <c r="QT39" s="79"/>
      <c r="QU39" s="79"/>
      <c r="QV39" s="79"/>
      <c r="QW39" s="79"/>
      <c r="QX39" s="79"/>
      <c r="QY39" s="79"/>
      <c r="QZ39" s="79"/>
      <c r="RA39" s="79"/>
      <c r="RB39" s="79"/>
      <c r="RC39" s="79"/>
      <c r="RD39" s="79"/>
      <c r="RE39" s="79"/>
      <c r="RF39" s="79"/>
      <c r="RG39" s="79"/>
      <c r="RH39" s="79"/>
      <c r="RI39" s="79"/>
      <c r="RJ39" s="79"/>
      <c r="RK39" s="79"/>
      <c r="RL39" s="79"/>
      <c r="RM39" s="79"/>
      <c r="RN39" s="79"/>
      <c r="RO39" s="79"/>
      <c r="RP39" s="79"/>
      <c r="RQ39" s="79"/>
      <c r="RR39" s="79"/>
      <c r="RS39" s="79"/>
      <c r="RT39" s="79"/>
      <c r="RU39" s="79"/>
      <c r="RV39" s="79"/>
      <c r="RW39" s="79"/>
      <c r="RX39" s="79"/>
      <c r="RY39" s="79"/>
      <c r="RZ39" s="79"/>
      <c r="SA39" s="79"/>
      <c r="SB39" s="79"/>
      <c r="SC39" s="79"/>
      <c r="SD39" s="79"/>
      <c r="SE39" s="79"/>
      <c r="SF39" s="79"/>
      <c r="SG39" s="79"/>
      <c r="SH39" s="79"/>
      <c r="SI39" s="79"/>
      <c r="SJ39" s="79"/>
      <c r="SK39" s="79"/>
      <c r="SL39" s="79"/>
      <c r="SM39" s="79"/>
      <c r="SN39" s="79"/>
      <c r="SO39" s="79"/>
      <c r="SP39" s="79"/>
      <c r="SQ39" s="79"/>
      <c r="SR39" s="79"/>
      <c r="SS39" s="79"/>
      <c r="ST39" s="79"/>
      <c r="SU39" s="79"/>
      <c r="SV39" s="79"/>
      <c r="SW39" s="79"/>
      <c r="SX39" s="79"/>
      <c r="SY39" s="79"/>
      <c r="SZ39" s="79"/>
      <c r="TA39" s="79"/>
      <c r="TB39" s="79"/>
      <c r="TC39" s="79"/>
      <c r="TD39" s="79"/>
      <c r="TE39" s="79"/>
      <c r="TF39" s="79"/>
      <c r="TG39" s="79"/>
      <c r="TH39" s="79"/>
      <c r="TI39" s="79"/>
      <c r="TJ39" s="79"/>
      <c r="TK39" s="79"/>
      <c r="TL39" s="79"/>
      <c r="TM39" s="79"/>
      <c r="TN39" s="79"/>
      <c r="TO39" s="79"/>
      <c r="TP39" s="79"/>
      <c r="TQ39" s="79"/>
      <c r="TR39" s="79"/>
      <c r="TS39" s="79"/>
      <c r="TT39" s="79"/>
      <c r="TU39" s="79"/>
      <c r="TV39" s="79"/>
      <c r="TW39" s="79"/>
      <c r="TX39" s="79"/>
      <c r="TY39" s="79"/>
      <c r="TZ39" s="79"/>
      <c r="UA39" s="79"/>
      <c r="UB39" s="79"/>
      <c r="UC39" s="79"/>
      <c r="UD39" s="79"/>
      <c r="UE39" s="79"/>
      <c r="UF39" s="79"/>
      <c r="UG39" s="79"/>
      <c r="UH39" s="79"/>
      <c r="UI39" s="79"/>
      <c r="UJ39" s="79"/>
      <c r="UK39" s="79"/>
      <c r="UL39" s="79"/>
      <c r="UM39" s="79"/>
      <c r="UN39" s="79"/>
      <c r="UO39" s="79"/>
      <c r="UP39" s="79"/>
      <c r="UQ39" s="79"/>
      <c r="UR39" s="79"/>
      <c r="US39" s="79"/>
      <c r="UT39" s="79"/>
      <c r="UU39" s="79"/>
      <c r="UV39" s="79"/>
      <c r="UW39" s="79"/>
      <c r="UX39" s="79"/>
      <c r="UY39" s="79"/>
      <c r="UZ39" s="79"/>
      <c r="VA39" s="79"/>
      <c r="VB39" s="79"/>
      <c r="VC39" s="79"/>
      <c r="VD39" s="79"/>
      <c r="VE39" s="79"/>
      <c r="VF39" s="79"/>
      <c r="VG39" s="79"/>
      <c r="VH39" s="79"/>
      <c r="VI39" s="79"/>
      <c r="VJ39" s="79"/>
      <c r="VK39" s="79"/>
      <c r="VL39" s="79"/>
      <c r="VM39" s="79"/>
      <c r="VN39" s="79"/>
      <c r="VO39" s="79"/>
      <c r="VP39" s="79"/>
      <c r="VQ39" s="79"/>
      <c r="VR39" s="79"/>
      <c r="VS39" s="79"/>
      <c r="VT39" s="79"/>
      <c r="VU39" s="79"/>
      <c r="VV39" s="79"/>
      <c r="VW39" s="79"/>
      <c r="VX39" s="79"/>
      <c r="VY39" s="79"/>
      <c r="VZ39" s="79"/>
      <c r="WA39" s="79"/>
      <c r="WB39" s="79"/>
      <c r="WC39" s="79"/>
      <c r="WD39" s="79"/>
      <c r="WE39" s="79"/>
      <c r="WF39" s="79"/>
      <c r="WG39" s="79"/>
      <c r="WH39" s="79"/>
      <c r="WI39" s="79"/>
      <c r="WJ39" s="79"/>
      <c r="WK39" s="79"/>
      <c r="WL39" s="79"/>
      <c r="WM39" s="79"/>
      <c r="WN39" s="79"/>
      <c r="WO39" s="79"/>
      <c r="WP39" s="79"/>
      <c r="WQ39" s="79"/>
      <c r="WR39" s="79"/>
      <c r="WS39" s="79"/>
      <c r="WT39" s="79"/>
      <c r="WU39" s="79"/>
      <c r="WV39" s="79"/>
      <c r="WW39" s="79"/>
      <c r="WX39" s="79"/>
      <c r="WY39" s="79"/>
      <c r="WZ39" s="79"/>
      <c r="XA39" s="79"/>
      <c r="XB39" s="79"/>
      <c r="XC39" s="79"/>
      <c r="XD39" s="79"/>
      <c r="XE39" s="79"/>
      <c r="XF39" s="79"/>
      <c r="XG39" s="79"/>
      <c r="XH39" s="79"/>
      <c r="XI39" s="79"/>
      <c r="XJ39" s="79"/>
      <c r="XK39" s="79"/>
      <c r="XL39" s="79"/>
      <c r="XM39" s="79"/>
      <c r="XN39" s="79"/>
      <c r="XO39" s="79"/>
      <c r="XP39" s="79"/>
      <c r="XQ39" s="79"/>
      <c r="XR39" s="79"/>
      <c r="XS39" s="79"/>
      <c r="XT39" s="79"/>
      <c r="XU39" s="79"/>
      <c r="XV39" s="79"/>
      <c r="XW39" s="79"/>
      <c r="XX39" s="79"/>
      <c r="XY39" s="79"/>
      <c r="XZ39" s="79"/>
      <c r="YA39" s="79"/>
      <c r="YB39" s="79"/>
      <c r="YC39" s="79"/>
      <c r="YD39" s="79"/>
      <c r="YE39" s="79"/>
      <c r="YF39" s="79"/>
      <c r="YG39" s="79"/>
      <c r="YH39" s="79"/>
      <c r="YI39" s="79"/>
      <c r="YJ39" s="79"/>
      <c r="YK39" s="79"/>
      <c r="YL39" s="79"/>
      <c r="YM39" s="79"/>
      <c r="YN39" s="79"/>
      <c r="YO39" s="79"/>
      <c r="YP39" s="79"/>
      <c r="YQ39" s="79"/>
      <c r="YR39" s="79"/>
      <c r="YS39" s="79"/>
      <c r="YT39" s="79"/>
      <c r="YU39" s="79"/>
      <c r="YV39" s="79"/>
      <c r="YW39" s="79"/>
      <c r="YX39" s="79"/>
      <c r="YY39" s="79"/>
      <c r="YZ39" s="79"/>
      <c r="ZA39" s="79"/>
      <c r="ZB39" s="79"/>
      <c r="ZC39" s="79"/>
      <c r="ZD39" s="79"/>
      <c r="ZE39" s="79"/>
      <c r="ZF39" s="79"/>
      <c r="ZG39" s="79"/>
      <c r="ZH39" s="79"/>
      <c r="ZI39" s="79"/>
      <c r="ZJ39" s="79"/>
      <c r="ZK39" s="79"/>
      <c r="ZL39" s="79"/>
      <c r="ZM39" s="79"/>
      <c r="ZN39" s="79"/>
      <c r="ZO39" s="79"/>
      <c r="ZP39" s="79"/>
      <c r="ZQ39" s="79"/>
      <c r="ZR39" s="79"/>
      <c r="ZS39" s="79"/>
      <c r="ZT39" s="79"/>
      <c r="ZU39" s="79"/>
      <c r="ZV39" s="79"/>
      <c r="ZW39" s="79"/>
      <c r="ZX39" s="79"/>
      <c r="ZY39" s="79"/>
      <c r="ZZ39" s="79"/>
      <c r="AAA39" s="79"/>
      <c r="AAB39" s="79"/>
      <c r="AAC39" s="79"/>
      <c r="AAD39" s="79"/>
      <c r="AAE39" s="79"/>
      <c r="AAF39" s="79"/>
      <c r="AAG39" s="79"/>
      <c r="AAH39" s="79"/>
      <c r="AAI39" s="79"/>
      <c r="AAJ39" s="79"/>
      <c r="AAK39" s="79"/>
      <c r="AAL39" s="79"/>
      <c r="AAM39" s="79"/>
      <c r="AAN39" s="79"/>
      <c r="AAO39" s="79"/>
      <c r="AAP39" s="79"/>
      <c r="AAQ39" s="79"/>
      <c r="AAR39" s="79"/>
      <c r="AAS39" s="79"/>
      <c r="AAT39" s="79"/>
      <c r="AAU39" s="79"/>
      <c r="AAV39" s="79"/>
      <c r="AAW39" s="79"/>
      <c r="AAX39" s="79"/>
      <c r="AAY39" s="79"/>
      <c r="AAZ39" s="79"/>
      <c r="ABA39" s="79"/>
      <c r="ABB39" s="79"/>
      <c r="ABC39" s="79"/>
      <c r="ABD39" s="79"/>
      <c r="ABE39" s="79"/>
      <c r="ABF39" s="79"/>
      <c r="ABG39" s="79"/>
      <c r="ABH39" s="79"/>
      <c r="ABI39" s="79"/>
      <c r="ABJ39" s="79"/>
      <c r="ABK39" s="79"/>
      <c r="ABL39" s="79"/>
      <c r="ABM39" s="79"/>
      <c r="ABN39" s="79"/>
      <c r="ABO39" s="79"/>
      <c r="ABP39" s="79"/>
      <c r="ABQ39" s="79"/>
      <c r="ABR39" s="79"/>
      <c r="ABS39" s="79"/>
      <c r="ABT39" s="79"/>
      <c r="ABU39" s="79"/>
      <c r="ABV39" s="79"/>
      <c r="ABW39" s="79"/>
      <c r="ABX39" s="79"/>
      <c r="ABY39" s="79"/>
      <c r="ABZ39" s="79"/>
      <c r="ACA39" s="79"/>
      <c r="ACB39" s="79"/>
      <c r="ACC39" s="79"/>
      <c r="ACD39" s="79"/>
      <c r="ACE39" s="79"/>
      <c r="ACF39" s="79"/>
      <c r="ACG39" s="79"/>
      <c r="ACH39" s="79"/>
      <c r="ACI39" s="79"/>
      <c r="ACJ39" s="79"/>
      <c r="ACK39" s="79"/>
      <c r="ACL39" s="79"/>
      <c r="ACM39" s="79"/>
      <c r="ACN39" s="79"/>
      <c r="ACO39" s="79"/>
      <c r="ACP39" s="79"/>
      <c r="ACQ39" s="79"/>
      <c r="ACR39" s="79"/>
      <c r="ACS39" s="79"/>
      <c r="ACT39" s="79"/>
      <c r="ACU39" s="79"/>
      <c r="ACV39" s="79"/>
      <c r="ACW39" s="79"/>
      <c r="ACX39" s="79"/>
      <c r="ACY39" s="79"/>
      <c r="ACZ39" s="79"/>
      <c r="ADA39" s="79"/>
      <c r="ADB39" s="79"/>
      <c r="ADC39" s="79"/>
      <c r="ADD39" s="79"/>
      <c r="ADE39" s="79"/>
      <c r="ADF39" s="79"/>
      <c r="ADG39" s="79"/>
      <c r="ADH39" s="79"/>
      <c r="ADI39" s="79"/>
      <c r="ADJ39" s="79"/>
      <c r="ADK39" s="79"/>
      <c r="ADL39" s="79"/>
      <c r="ADM39" s="79"/>
      <c r="ADN39" s="79"/>
    </row>
    <row r="40" spans="1:794" s="42" customFormat="1" ht="15" customHeight="1"/>
    <row r="41" spans="1:794" s="42" customFormat="1" ht="15" customHeight="1">
      <c r="B41" s="37" t="s">
        <v>66</v>
      </c>
      <c r="C41" s="70">
        <v>40</v>
      </c>
      <c r="D41" s="71"/>
      <c r="E41" s="71"/>
      <c r="F41" s="71"/>
      <c r="G41" s="72"/>
    </row>
    <row r="42" spans="1:794" s="42" customFormat="1" ht="6.6" customHeight="1">
      <c r="B42" s="11"/>
      <c r="C42" s="15"/>
      <c r="D42" s="15"/>
      <c r="E42" s="15"/>
      <c r="F42" s="15"/>
      <c r="G42" s="15"/>
    </row>
    <row r="43" spans="1:794" s="42" customFormat="1" ht="15" customHeight="1">
      <c r="B43" s="37" t="s">
        <v>65</v>
      </c>
      <c r="C43" s="87"/>
      <c r="D43" s="88"/>
      <c r="E43" s="88"/>
      <c r="F43" s="88"/>
      <c r="G43" s="89"/>
    </row>
    <row r="44" spans="1:794" s="42" customFormat="1" ht="9.6" customHeight="1">
      <c r="B44" s="11"/>
      <c r="C44" s="16"/>
      <c r="D44" s="16"/>
      <c r="E44" s="16"/>
      <c r="F44" s="16"/>
      <c r="G44" s="2"/>
    </row>
    <row r="45" spans="1:794" s="42" customFormat="1" ht="28.5" customHeight="1">
      <c r="B45" s="55" t="s">
        <v>67</v>
      </c>
      <c r="C45" s="90" t="str">
        <f>C15</f>
        <v>Subgrupo B1</v>
      </c>
      <c r="D45" s="91"/>
      <c r="E45" s="91"/>
      <c r="F45" s="91"/>
      <c r="G45" s="92"/>
    </row>
    <row r="46" spans="1:794" s="42" customFormat="1" ht="9.6" customHeight="1">
      <c r="B46" s="11"/>
      <c r="C46" s="16"/>
      <c r="D46" s="16"/>
      <c r="E46" s="16"/>
      <c r="F46" s="16"/>
      <c r="G46" s="2"/>
    </row>
    <row r="47" spans="1:794" s="42" customFormat="1" ht="9.6" customHeight="1">
      <c r="B47" s="11"/>
      <c r="C47" s="16"/>
      <c r="D47" s="16"/>
      <c r="E47" s="16"/>
      <c r="F47" s="16"/>
      <c r="G47" s="2"/>
    </row>
    <row r="48" spans="1:794" ht="16.2">
      <c r="A48" s="79" t="s">
        <v>71</v>
      </c>
      <c r="B48" s="79"/>
      <c r="C48" s="79"/>
      <c r="D48" s="79"/>
      <c r="E48" s="79"/>
      <c r="F48" s="79"/>
      <c r="G48" s="79"/>
      <c r="H48" s="79"/>
      <c r="I48" s="79"/>
      <c r="J48" s="79"/>
      <c r="K48" s="79"/>
      <c r="L48" s="79"/>
      <c r="M48" s="79"/>
      <c r="N48" s="79"/>
      <c r="O48" s="79"/>
      <c r="P48" s="79"/>
      <c r="Q48" s="79"/>
      <c r="R48" s="79"/>
      <c r="S48" s="79"/>
      <c r="T48" s="79"/>
      <c r="U48" s="79"/>
      <c r="V48" s="79"/>
      <c r="W48" s="79"/>
      <c r="X48" s="79"/>
      <c r="Y48" s="79"/>
      <c r="Z48" s="79"/>
      <c r="AA48" s="79"/>
      <c r="AB48" s="79"/>
      <c r="AC48" s="79"/>
      <c r="AD48" s="79"/>
      <c r="AE48" s="79"/>
      <c r="AF48" s="79"/>
      <c r="AG48" s="79"/>
      <c r="AH48" s="79"/>
      <c r="AI48" s="79"/>
      <c r="AJ48" s="79"/>
      <c r="AK48" s="79"/>
      <c r="AL48" s="79"/>
      <c r="AM48" s="79"/>
      <c r="AN48" s="79"/>
      <c r="AO48" s="79"/>
      <c r="AP48" s="79"/>
      <c r="AQ48" s="79"/>
      <c r="AR48" s="79"/>
      <c r="AS48" s="79"/>
      <c r="AT48" s="79"/>
      <c r="AU48" s="79"/>
      <c r="AV48" s="79"/>
      <c r="AW48" s="79"/>
      <c r="AX48" s="79"/>
      <c r="AY48" s="79"/>
      <c r="AZ48" s="79"/>
      <c r="BA48" s="79"/>
      <c r="BB48" s="79"/>
      <c r="BC48" s="79"/>
      <c r="BD48" s="79"/>
      <c r="BE48" s="79"/>
      <c r="BF48" s="79"/>
      <c r="BG48" s="79"/>
      <c r="BH48" s="79"/>
      <c r="BI48" s="79"/>
      <c r="BJ48" s="79"/>
      <c r="BK48" s="79"/>
      <c r="BL48" s="79"/>
      <c r="BM48" s="79"/>
      <c r="BN48" s="79"/>
      <c r="BO48" s="79"/>
      <c r="BP48" s="79"/>
      <c r="BQ48" s="79"/>
      <c r="BR48" s="79"/>
      <c r="BS48" s="79"/>
      <c r="BT48" s="79"/>
      <c r="BU48" s="79"/>
      <c r="BV48" s="79"/>
      <c r="BW48" s="79"/>
      <c r="BX48" s="79"/>
      <c r="BY48" s="79"/>
      <c r="BZ48" s="79"/>
      <c r="CA48" s="79"/>
      <c r="CB48" s="79"/>
      <c r="CC48" s="79"/>
      <c r="CD48" s="79"/>
      <c r="CE48" s="79"/>
      <c r="CF48" s="79"/>
      <c r="CG48" s="79"/>
      <c r="CH48" s="79"/>
      <c r="CI48" s="79"/>
      <c r="CJ48" s="79"/>
      <c r="CK48" s="79"/>
      <c r="CL48" s="79"/>
      <c r="CM48" s="79"/>
      <c r="CN48" s="79"/>
      <c r="CO48" s="79"/>
      <c r="CP48" s="79"/>
      <c r="CQ48" s="79"/>
      <c r="CR48" s="79"/>
      <c r="CS48" s="79"/>
      <c r="CT48" s="79"/>
      <c r="CU48" s="79"/>
      <c r="CV48" s="79"/>
      <c r="CW48" s="79"/>
      <c r="CX48" s="79"/>
      <c r="CY48" s="79"/>
      <c r="CZ48" s="79"/>
      <c r="DA48" s="79"/>
      <c r="DB48" s="79"/>
      <c r="DC48" s="79"/>
      <c r="DD48" s="79"/>
      <c r="DE48" s="79"/>
      <c r="DF48" s="79"/>
      <c r="DG48" s="79"/>
      <c r="DH48" s="79"/>
      <c r="DI48" s="79"/>
      <c r="DJ48" s="79"/>
      <c r="DK48" s="79"/>
      <c r="DL48" s="79"/>
      <c r="DM48" s="79"/>
      <c r="DN48" s="79"/>
      <c r="DO48" s="79"/>
      <c r="DP48" s="79"/>
      <c r="DQ48" s="79"/>
      <c r="DR48" s="79"/>
      <c r="DS48" s="79"/>
      <c r="DT48" s="79"/>
      <c r="DU48" s="79"/>
      <c r="DV48" s="79"/>
      <c r="DW48" s="79"/>
      <c r="DX48" s="79"/>
      <c r="DY48" s="79"/>
      <c r="DZ48" s="79"/>
      <c r="EA48" s="79"/>
      <c r="EB48" s="79"/>
      <c r="EC48" s="79"/>
      <c r="ED48" s="79"/>
      <c r="EE48" s="79"/>
      <c r="EF48" s="79"/>
      <c r="EG48" s="79"/>
      <c r="EH48" s="79"/>
      <c r="EI48" s="79"/>
      <c r="EJ48" s="79"/>
      <c r="EK48" s="79"/>
      <c r="EL48" s="79"/>
      <c r="EM48" s="79"/>
      <c r="EN48" s="79"/>
      <c r="EO48" s="79"/>
      <c r="EP48" s="79"/>
      <c r="EQ48" s="79"/>
      <c r="ER48" s="79"/>
      <c r="ES48" s="79"/>
      <c r="ET48" s="79"/>
      <c r="EU48" s="79"/>
      <c r="EV48" s="79"/>
      <c r="EW48" s="79"/>
      <c r="EX48" s="79"/>
      <c r="EY48" s="79"/>
      <c r="EZ48" s="79"/>
      <c r="FA48" s="79"/>
      <c r="FB48" s="79"/>
      <c r="FC48" s="79"/>
      <c r="FD48" s="79"/>
      <c r="FE48" s="79"/>
      <c r="FF48" s="79"/>
      <c r="FG48" s="79"/>
      <c r="FH48" s="79"/>
      <c r="FI48" s="79"/>
      <c r="FJ48" s="79"/>
      <c r="FK48" s="79"/>
      <c r="FL48" s="79"/>
      <c r="FM48" s="79"/>
      <c r="FN48" s="79"/>
      <c r="FO48" s="79"/>
      <c r="FP48" s="79"/>
      <c r="FQ48" s="79"/>
      <c r="FR48" s="79"/>
      <c r="FS48" s="79"/>
      <c r="FT48" s="79"/>
      <c r="FU48" s="79"/>
      <c r="FV48" s="79"/>
      <c r="FW48" s="79"/>
      <c r="FX48" s="79"/>
      <c r="FY48" s="79"/>
      <c r="FZ48" s="79"/>
      <c r="GA48" s="79"/>
      <c r="GB48" s="79"/>
      <c r="GC48" s="79"/>
      <c r="GD48" s="79"/>
      <c r="GE48" s="79"/>
      <c r="GF48" s="79"/>
      <c r="GG48" s="79"/>
      <c r="GH48" s="79"/>
      <c r="GI48" s="79"/>
      <c r="GJ48" s="79"/>
      <c r="GK48" s="79"/>
      <c r="GL48" s="79"/>
      <c r="GM48" s="79"/>
      <c r="GN48" s="79"/>
      <c r="GO48" s="79"/>
      <c r="GP48" s="79"/>
      <c r="GQ48" s="79"/>
      <c r="GR48" s="79"/>
      <c r="GS48" s="79"/>
      <c r="GT48" s="79"/>
      <c r="GU48" s="79"/>
      <c r="GV48" s="79"/>
      <c r="GW48" s="79"/>
      <c r="GX48" s="79"/>
      <c r="GY48" s="79"/>
      <c r="GZ48" s="79"/>
      <c r="HA48" s="79"/>
      <c r="HB48" s="79"/>
      <c r="HC48" s="79"/>
      <c r="HD48" s="79"/>
      <c r="HE48" s="79"/>
      <c r="HF48" s="79"/>
      <c r="HG48" s="79"/>
      <c r="HH48" s="79"/>
      <c r="HI48" s="79"/>
      <c r="HJ48" s="79"/>
      <c r="HK48" s="79"/>
      <c r="HL48" s="79"/>
      <c r="HM48" s="79"/>
      <c r="HN48" s="79"/>
      <c r="HO48" s="79"/>
      <c r="HP48" s="79"/>
      <c r="HQ48" s="79"/>
      <c r="HR48" s="79"/>
      <c r="HS48" s="79"/>
      <c r="HT48" s="79"/>
      <c r="HU48" s="79"/>
      <c r="HV48" s="79"/>
      <c r="HW48" s="79"/>
      <c r="HX48" s="79"/>
      <c r="HY48" s="79"/>
      <c r="HZ48" s="79"/>
      <c r="IA48" s="79"/>
      <c r="IB48" s="79"/>
      <c r="IC48" s="79"/>
      <c r="ID48" s="79"/>
      <c r="IE48" s="79"/>
      <c r="IF48" s="79"/>
      <c r="IG48" s="79"/>
      <c r="IH48" s="79"/>
      <c r="II48" s="79"/>
      <c r="IJ48" s="79"/>
      <c r="IK48" s="79"/>
      <c r="IL48" s="79"/>
      <c r="IM48" s="79"/>
      <c r="IN48" s="79"/>
      <c r="IO48" s="79"/>
      <c r="IP48" s="79"/>
      <c r="IQ48" s="79"/>
      <c r="IR48" s="79"/>
      <c r="IS48" s="79"/>
      <c r="IT48" s="79"/>
      <c r="IU48" s="79"/>
      <c r="IV48" s="79"/>
      <c r="IW48" s="79"/>
      <c r="IX48" s="79"/>
      <c r="IY48" s="79"/>
      <c r="IZ48" s="79"/>
      <c r="JA48" s="79"/>
      <c r="JB48" s="79"/>
      <c r="JC48" s="79"/>
      <c r="JD48" s="79"/>
      <c r="JE48" s="79"/>
      <c r="JF48" s="79"/>
      <c r="JG48" s="79"/>
      <c r="JH48" s="79"/>
      <c r="JI48" s="79"/>
      <c r="JJ48" s="79"/>
      <c r="JK48" s="79"/>
      <c r="JL48" s="79"/>
      <c r="JM48" s="79"/>
      <c r="JN48" s="79"/>
      <c r="JO48" s="79"/>
      <c r="JP48" s="79"/>
      <c r="JQ48" s="79"/>
      <c r="JR48" s="79"/>
      <c r="JS48" s="79"/>
      <c r="JT48" s="79"/>
      <c r="JU48" s="79"/>
      <c r="JV48" s="79"/>
      <c r="JW48" s="79"/>
      <c r="JX48" s="79"/>
      <c r="JY48" s="79"/>
      <c r="JZ48" s="79"/>
      <c r="KA48" s="79"/>
      <c r="KB48" s="79"/>
      <c r="KC48" s="79"/>
      <c r="KD48" s="79"/>
      <c r="KE48" s="79"/>
      <c r="KF48" s="79"/>
      <c r="KG48" s="79"/>
      <c r="KH48" s="79"/>
      <c r="KI48" s="79"/>
      <c r="KJ48" s="79"/>
      <c r="KK48" s="79"/>
      <c r="KL48" s="79"/>
      <c r="KM48" s="79"/>
      <c r="KN48" s="79"/>
      <c r="KO48" s="79"/>
      <c r="KP48" s="79"/>
      <c r="KQ48" s="79"/>
      <c r="KR48" s="79"/>
      <c r="KS48" s="79"/>
      <c r="KT48" s="79"/>
      <c r="KU48" s="79"/>
      <c r="KV48" s="79"/>
      <c r="KW48" s="79"/>
      <c r="KX48" s="79"/>
      <c r="KY48" s="79"/>
      <c r="KZ48" s="79"/>
      <c r="LA48" s="79"/>
      <c r="LB48" s="79"/>
      <c r="LC48" s="79"/>
      <c r="LD48" s="79"/>
      <c r="LE48" s="79"/>
      <c r="LF48" s="79"/>
      <c r="LG48" s="79"/>
      <c r="LH48" s="79"/>
      <c r="LI48" s="79"/>
      <c r="LJ48" s="79"/>
      <c r="LK48" s="79"/>
      <c r="LL48" s="79"/>
      <c r="LM48" s="79"/>
      <c r="LN48" s="79"/>
      <c r="LO48" s="79"/>
      <c r="LP48" s="79"/>
      <c r="LQ48" s="79"/>
      <c r="LR48" s="79"/>
      <c r="LS48" s="79"/>
      <c r="LT48" s="79"/>
      <c r="LU48" s="79"/>
      <c r="LV48" s="79"/>
      <c r="LW48" s="79"/>
      <c r="LX48" s="79"/>
      <c r="LY48" s="79"/>
      <c r="LZ48" s="79"/>
      <c r="MA48" s="79"/>
      <c r="MB48" s="79"/>
      <c r="MC48" s="79"/>
      <c r="MD48" s="79"/>
      <c r="ME48" s="79"/>
      <c r="MF48" s="79"/>
      <c r="MG48" s="79"/>
      <c r="MH48" s="79"/>
      <c r="MI48" s="79"/>
      <c r="MJ48" s="79"/>
      <c r="MK48" s="79"/>
      <c r="ML48" s="79"/>
      <c r="MM48" s="79"/>
      <c r="MN48" s="79"/>
      <c r="MO48" s="79"/>
      <c r="MP48" s="79"/>
      <c r="MQ48" s="79"/>
      <c r="MR48" s="79"/>
      <c r="MS48" s="79"/>
      <c r="MT48" s="79"/>
      <c r="MU48" s="79"/>
      <c r="MV48" s="79"/>
      <c r="MW48" s="79"/>
      <c r="MX48" s="79"/>
      <c r="MY48" s="79"/>
      <c r="MZ48" s="79"/>
      <c r="NA48" s="79"/>
      <c r="NB48" s="79"/>
      <c r="NC48" s="79"/>
      <c r="ND48" s="79"/>
      <c r="NE48" s="79"/>
      <c r="NF48" s="79"/>
      <c r="NG48" s="79"/>
      <c r="NH48" s="79"/>
      <c r="NI48" s="79"/>
      <c r="NJ48" s="79"/>
      <c r="NK48" s="79"/>
      <c r="NL48" s="79"/>
      <c r="NM48" s="79"/>
      <c r="NN48" s="79"/>
      <c r="NO48" s="79"/>
      <c r="NP48" s="79"/>
      <c r="NQ48" s="79"/>
      <c r="NR48" s="79"/>
      <c r="NS48" s="79"/>
      <c r="NT48" s="79"/>
      <c r="NU48" s="79"/>
      <c r="NV48" s="79"/>
      <c r="NW48" s="79"/>
      <c r="NX48" s="79"/>
      <c r="NY48" s="79"/>
      <c r="NZ48" s="79"/>
      <c r="OA48" s="79"/>
      <c r="OB48" s="79"/>
      <c r="OC48" s="79"/>
      <c r="OD48" s="79"/>
      <c r="OE48" s="79"/>
      <c r="OF48" s="79"/>
      <c r="OG48" s="79"/>
      <c r="OH48" s="79"/>
      <c r="OI48" s="79"/>
      <c r="OJ48" s="79"/>
      <c r="OK48" s="79"/>
      <c r="OL48" s="79"/>
      <c r="OM48" s="79"/>
      <c r="ON48" s="79"/>
      <c r="OO48" s="79"/>
      <c r="OP48" s="79"/>
      <c r="OQ48" s="79"/>
      <c r="OR48" s="79"/>
      <c r="OS48" s="79"/>
      <c r="OT48" s="79"/>
      <c r="OU48" s="79"/>
      <c r="OV48" s="79"/>
      <c r="OW48" s="79"/>
      <c r="OX48" s="79"/>
      <c r="OY48" s="79"/>
      <c r="OZ48" s="79"/>
      <c r="PA48" s="79"/>
      <c r="PB48" s="79"/>
      <c r="PC48" s="79"/>
      <c r="PD48" s="79"/>
      <c r="PE48" s="79"/>
      <c r="PF48" s="79"/>
      <c r="PG48" s="79"/>
      <c r="PH48" s="79"/>
      <c r="PI48" s="79"/>
      <c r="PJ48" s="79"/>
      <c r="PK48" s="79"/>
      <c r="PL48" s="79"/>
      <c r="PM48" s="79"/>
      <c r="PN48" s="79"/>
      <c r="PO48" s="79"/>
      <c r="PP48" s="79"/>
      <c r="PQ48" s="79"/>
      <c r="PR48" s="79"/>
      <c r="PS48" s="79"/>
      <c r="PT48" s="79"/>
      <c r="PU48" s="79"/>
      <c r="PV48" s="79"/>
      <c r="PW48" s="79"/>
      <c r="PX48" s="79"/>
      <c r="PY48" s="79"/>
      <c r="PZ48" s="79"/>
      <c r="QA48" s="79"/>
      <c r="QB48" s="79"/>
      <c r="QC48" s="79"/>
      <c r="QD48" s="79"/>
      <c r="QE48" s="79"/>
      <c r="QF48" s="79"/>
      <c r="QG48" s="79"/>
      <c r="QH48" s="79"/>
      <c r="QI48" s="79"/>
      <c r="QJ48" s="79"/>
      <c r="QK48" s="79"/>
      <c r="QL48" s="79"/>
      <c r="QM48" s="79"/>
      <c r="QN48" s="79"/>
      <c r="QO48" s="79"/>
      <c r="QP48" s="79"/>
      <c r="QQ48" s="79"/>
      <c r="QR48" s="79"/>
      <c r="QS48" s="79"/>
      <c r="QT48" s="79"/>
      <c r="QU48" s="79"/>
      <c r="QV48" s="79"/>
      <c r="QW48" s="79"/>
      <c r="QX48" s="79"/>
      <c r="QY48" s="79"/>
      <c r="QZ48" s="79"/>
      <c r="RA48" s="79"/>
      <c r="RB48" s="79"/>
      <c r="RC48" s="79"/>
      <c r="RD48" s="79"/>
      <c r="RE48" s="79"/>
      <c r="RF48" s="79"/>
      <c r="RG48" s="79"/>
      <c r="RH48" s="79"/>
      <c r="RI48" s="79"/>
      <c r="RJ48" s="79"/>
      <c r="RK48" s="79"/>
      <c r="RL48" s="79"/>
      <c r="RM48" s="79"/>
      <c r="RN48" s="79"/>
      <c r="RO48" s="79"/>
      <c r="RP48" s="79"/>
      <c r="RQ48" s="79"/>
      <c r="RR48" s="79"/>
      <c r="RS48" s="79"/>
      <c r="RT48" s="79"/>
      <c r="RU48" s="79"/>
      <c r="RV48" s="79"/>
      <c r="RW48" s="79"/>
      <c r="RX48" s="79"/>
      <c r="RY48" s="79"/>
      <c r="RZ48" s="79"/>
      <c r="SA48" s="79"/>
      <c r="SB48" s="79"/>
      <c r="SC48" s="79"/>
      <c r="SD48" s="79"/>
      <c r="SE48" s="79"/>
      <c r="SF48" s="79"/>
      <c r="SG48" s="79"/>
      <c r="SH48" s="79"/>
      <c r="SI48" s="79"/>
      <c r="SJ48" s="79"/>
      <c r="SK48" s="79"/>
      <c r="SL48" s="79"/>
      <c r="SM48" s="79"/>
      <c r="SN48" s="79"/>
      <c r="SO48" s="79"/>
      <c r="SP48" s="79"/>
      <c r="SQ48" s="79"/>
      <c r="SR48" s="79"/>
      <c r="SS48" s="79"/>
      <c r="ST48" s="79"/>
      <c r="SU48" s="79"/>
      <c r="SV48" s="79"/>
      <c r="SW48" s="79"/>
      <c r="SX48" s="79"/>
      <c r="SY48" s="79"/>
      <c r="SZ48" s="79"/>
      <c r="TA48" s="79"/>
      <c r="TB48" s="79"/>
      <c r="TC48" s="79"/>
      <c r="TD48" s="79"/>
      <c r="TE48" s="79"/>
      <c r="TF48" s="79"/>
      <c r="TG48" s="79"/>
      <c r="TH48" s="79"/>
      <c r="TI48" s="79"/>
      <c r="TJ48" s="79"/>
      <c r="TK48" s="79"/>
      <c r="TL48" s="79"/>
      <c r="TM48" s="79"/>
      <c r="TN48" s="79"/>
      <c r="TO48" s="79"/>
      <c r="TP48" s="79"/>
      <c r="TQ48" s="79"/>
      <c r="TR48" s="79"/>
      <c r="TS48" s="79"/>
      <c r="TT48" s="79"/>
      <c r="TU48" s="79"/>
      <c r="TV48" s="79"/>
      <c r="TW48" s="79"/>
      <c r="TX48" s="79"/>
      <c r="TY48" s="79"/>
      <c r="TZ48" s="79"/>
      <c r="UA48" s="79"/>
      <c r="UB48" s="79"/>
      <c r="UC48" s="79"/>
      <c r="UD48" s="79"/>
      <c r="UE48" s="79"/>
      <c r="UF48" s="79"/>
      <c r="UG48" s="79"/>
      <c r="UH48" s="79"/>
      <c r="UI48" s="79"/>
      <c r="UJ48" s="79"/>
      <c r="UK48" s="79"/>
      <c r="UL48" s="79"/>
      <c r="UM48" s="79"/>
      <c r="UN48" s="79"/>
      <c r="UO48" s="79"/>
      <c r="UP48" s="79"/>
      <c r="UQ48" s="79"/>
      <c r="UR48" s="79"/>
      <c r="US48" s="79"/>
      <c r="UT48" s="79"/>
      <c r="UU48" s="79"/>
      <c r="UV48" s="79"/>
      <c r="UW48" s="79"/>
      <c r="UX48" s="79"/>
      <c r="UY48" s="79"/>
      <c r="UZ48" s="79"/>
      <c r="VA48" s="79"/>
      <c r="VB48" s="79"/>
      <c r="VC48" s="79"/>
      <c r="VD48" s="79"/>
      <c r="VE48" s="79"/>
      <c r="VF48" s="79"/>
      <c r="VG48" s="79"/>
      <c r="VH48" s="79"/>
      <c r="VI48" s="79"/>
      <c r="VJ48" s="79"/>
      <c r="VK48" s="79"/>
      <c r="VL48" s="79"/>
      <c r="VM48" s="79"/>
      <c r="VN48" s="79"/>
      <c r="VO48" s="79"/>
      <c r="VP48" s="79"/>
      <c r="VQ48" s="79"/>
      <c r="VR48" s="79"/>
      <c r="VS48" s="79"/>
      <c r="VT48" s="79"/>
      <c r="VU48" s="79"/>
      <c r="VV48" s="79"/>
      <c r="VW48" s="79"/>
      <c r="VX48" s="79"/>
      <c r="VY48" s="79"/>
      <c r="VZ48" s="79"/>
      <c r="WA48" s="79"/>
      <c r="WB48" s="79"/>
      <c r="WC48" s="79"/>
      <c r="WD48" s="79"/>
      <c r="WE48" s="79"/>
      <c r="WF48" s="79"/>
      <c r="WG48" s="79"/>
      <c r="WH48" s="79"/>
      <c r="WI48" s="79"/>
      <c r="WJ48" s="79"/>
      <c r="WK48" s="79"/>
      <c r="WL48" s="79"/>
      <c r="WM48" s="79"/>
      <c r="WN48" s="79"/>
      <c r="WO48" s="79"/>
      <c r="WP48" s="79"/>
      <c r="WQ48" s="79"/>
      <c r="WR48" s="79"/>
      <c r="WS48" s="79"/>
      <c r="WT48" s="79"/>
      <c r="WU48" s="79"/>
      <c r="WV48" s="79"/>
      <c r="WW48" s="79"/>
      <c r="WX48" s="79"/>
      <c r="WY48" s="79"/>
      <c r="WZ48" s="79"/>
      <c r="XA48" s="79"/>
      <c r="XB48" s="79"/>
      <c r="XC48" s="79"/>
      <c r="XD48" s="79"/>
      <c r="XE48" s="79"/>
      <c r="XF48" s="79"/>
      <c r="XG48" s="79"/>
      <c r="XH48" s="79"/>
      <c r="XI48" s="79"/>
      <c r="XJ48" s="79"/>
      <c r="XK48" s="79"/>
      <c r="XL48" s="79"/>
      <c r="XM48" s="79"/>
      <c r="XN48" s="79"/>
      <c r="XO48" s="79"/>
      <c r="XP48" s="79"/>
      <c r="XQ48" s="79"/>
      <c r="XR48" s="79"/>
      <c r="XS48" s="79"/>
      <c r="XT48" s="79"/>
      <c r="XU48" s="79"/>
      <c r="XV48" s="79"/>
      <c r="XW48" s="79"/>
      <c r="XX48" s="79"/>
      <c r="XY48" s="79"/>
      <c r="XZ48" s="79"/>
      <c r="YA48" s="79"/>
      <c r="YB48" s="79"/>
      <c r="YC48" s="79"/>
      <c r="YD48" s="79"/>
      <c r="YE48" s="79"/>
      <c r="YF48" s="79"/>
      <c r="YG48" s="79"/>
      <c r="YH48" s="79"/>
      <c r="YI48" s="79"/>
      <c r="YJ48" s="79"/>
      <c r="YK48" s="79"/>
      <c r="YL48" s="79"/>
      <c r="YM48" s="79"/>
      <c r="YN48" s="79"/>
      <c r="YO48" s="79"/>
      <c r="YP48" s="79"/>
      <c r="YQ48" s="79"/>
      <c r="YR48" s="79"/>
      <c r="YS48" s="79"/>
      <c r="YT48" s="79"/>
      <c r="YU48" s="79"/>
      <c r="YV48" s="79"/>
      <c r="YW48" s="79"/>
      <c r="YX48" s="79"/>
      <c r="YY48" s="79"/>
      <c r="YZ48" s="79"/>
      <c r="ZA48" s="79"/>
      <c r="ZB48" s="79"/>
      <c r="ZC48" s="79"/>
      <c r="ZD48" s="79"/>
      <c r="ZE48" s="79"/>
      <c r="ZF48" s="79"/>
      <c r="ZG48" s="79"/>
      <c r="ZH48" s="79"/>
      <c r="ZI48" s="79"/>
      <c r="ZJ48" s="79"/>
      <c r="ZK48" s="79"/>
      <c r="ZL48" s="79"/>
      <c r="ZM48" s="79"/>
      <c r="ZN48" s="79"/>
      <c r="ZO48" s="79"/>
      <c r="ZP48" s="79"/>
      <c r="ZQ48" s="79"/>
      <c r="ZR48" s="79"/>
      <c r="ZS48" s="79"/>
      <c r="ZT48" s="79"/>
      <c r="ZU48" s="79"/>
      <c r="ZV48" s="79"/>
      <c r="ZW48" s="79"/>
      <c r="ZX48" s="79"/>
      <c r="ZY48" s="79"/>
      <c r="ZZ48" s="79"/>
      <c r="AAA48" s="79"/>
      <c r="AAB48" s="79"/>
      <c r="AAC48" s="79"/>
      <c r="AAD48" s="79"/>
      <c r="AAE48" s="79"/>
      <c r="AAF48" s="79"/>
      <c r="AAG48" s="79"/>
      <c r="AAH48" s="79"/>
      <c r="AAI48" s="79"/>
      <c r="AAJ48" s="79"/>
      <c r="AAK48" s="79"/>
      <c r="AAL48" s="79"/>
      <c r="AAM48" s="79"/>
      <c r="AAN48" s="79"/>
      <c r="AAO48" s="79"/>
      <c r="AAP48" s="79"/>
      <c r="AAQ48" s="79"/>
      <c r="AAR48" s="79"/>
      <c r="AAS48" s="79"/>
      <c r="AAT48" s="79"/>
      <c r="AAU48" s="79"/>
      <c r="AAV48" s="79"/>
      <c r="AAW48" s="79"/>
      <c r="AAX48" s="79"/>
      <c r="AAY48" s="79"/>
      <c r="AAZ48" s="79"/>
      <c r="ABA48" s="79"/>
      <c r="ABB48" s="79"/>
      <c r="ABC48" s="79"/>
      <c r="ABD48" s="79"/>
      <c r="ABE48" s="79"/>
      <c r="ABF48" s="79"/>
      <c r="ABG48" s="79"/>
      <c r="ABH48" s="79"/>
      <c r="ABI48" s="79"/>
      <c r="ABJ48" s="79"/>
      <c r="ABK48" s="79"/>
      <c r="ABL48" s="79"/>
      <c r="ABM48" s="79"/>
      <c r="ABN48" s="79"/>
      <c r="ABO48" s="79"/>
      <c r="ABP48" s="79"/>
      <c r="ABQ48" s="79"/>
      <c r="ABR48" s="79"/>
      <c r="ABS48" s="79"/>
      <c r="ABT48" s="79"/>
      <c r="ABU48" s="79"/>
      <c r="ABV48" s="79"/>
      <c r="ABW48" s="79"/>
      <c r="ABX48" s="79"/>
      <c r="ABY48" s="79"/>
      <c r="ABZ48" s="79"/>
      <c r="ACA48" s="79"/>
      <c r="ACB48" s="79"/>
      <c r="ACC48" s="79"/>
      <c r="ACD48" s="79"/>
      <c r="ACE48" s="79"/>
      <c r="ACF48" s="79"/>
      <c r="ACG48" s="79"/>
      <c r="ACH48" s="79"/>
      <c r="ACI48" s="79"/>
      <c r="ACJ48" s="79"/>
      <c r="ACK48" s="79"/>
      <c r="ACL48" s="79"/>
      <c r="ACM48" s="79"/>
      <c r="ACN48" s="79"/>
      <c r="ACO48" s="79"/>
      <c r="ACP48" s="79"/>
      <c r="ACQ48" s="79"/>
      <c r="ACR48" s="79"/>
      <c r="ACS48" s="79"/>
      <c r="ACT48" s="79"/>
      <c r="ACU48" s="79"/>
      <c r="ACV48" s="79"/>
      <c r="ACW48" s="79"/>
      <c r="ACX48" s="79"/>
      <c r="ACY48" s="79"/>
      <c r="ACZ48" s="79"/>
      <c r="ADA48" s="79"/>
      <c r="ADB48" s="79"/>
      <c r="ADC48" s="79"/>
      <c r="ADD48" s="79"/>
      <c r="ADE48" s="79"/>
      <c r="ADF48" s="79"/>
      <c r="ADG48" s="79"/>
      <c r="ADH48" s="79"/>
      <c r="ADI48" s="79"/>
      <c r="ADJ48" s="79"/>
      <c r="ADK48" s="79"/>
      <c r="ADL48" s="79"/>
      <c r="ADM48" s="79"/>
      <c r="ADN48" s="79"/>
    </row>
    <row r="49" spans="1:10" ht="15" customHeight="1">
      <c r="H49" s="40"/>
      <c r="I49" s="41"/>
      <c r="J49" s="40"/>
    </row>
    <row r="50" spans="1:10" ht="14.4">
      <c r="E50" s="44" t="s">
        <v>68</v>
      </c>
      <c r="F50" s="45" t="s">
        <v>69</v>
      </c>
      <c r="G50" s="45" t="s">
        <v>70</v>
      </c>
      <c r="H50" s="38"/>
      <c r="I50" s="39"/>
      <c r="J50" s="38"/>
    </row>
    <row r="51" spans="1:10" ht="15" customHeight="1">
      <c r="E51" s="43" t="s">
        <v>5</v>
      </c>
      <c r="F51" s="46">
        <v>1711.94</v>
      </c>
      <c r="G51" s="47">
        <v>0</v>
      </c>
      <c r="H51" s="38"/>
      <c r="I51" s="51"/>
      <c r="J51" s="52"/>
    </row>
    <row r="52" spans="1:10" ht="15" customHeight="1">
      <c r="E52" s="43" t="s">
        <v>7</v>
      </c>
      <c r="F52" s="46">
        <v>1711.94</v>
      </c>
      <c r="G52" s="47">
        <v>0</v>
      </c>
      <c r="H52" s="38"/>
      <c r="I52" s="39"/>
      <c r="J52" s="38"/>
    </row>
    <row r="53" spans="1:10" ht="15" customHeight="1">
      <c r="E53" s="43" t="s">
        <v>10</v>
      </c>
      <c r="F53" s="46">
        <v>1711.94</v>
      </c>
      <c r="G53" s="47">
        <v>0</v>
      </c>
      <c r="H53" s="38"/>
      <c r="I53" s="39"/>
      <c r="J53" s="38"/>
    </row>
    <row r="54" spans="1:10" ht="15" customHeight="1">
      <c r="E54" s="43" t="s">
        <v>13</v>
      </c>
      <c r="F54" s="46">
        <v>1711.94</v>
      </c>
      <c r="G54" s="48">
        <v>0</v>
      </c>
      <c r="H54" s="38"/>
      <c r="I54" s="39"/>
      <c r="J54" s="53"/>
    </row>
    <row r="55" spans="1:10" ht="13.8">
      <c r="E55" s="43" t="s">
        <v>25</v>
      </c>
      <c r="F55" s="46">
        <v>941.39</v>
      </c>
      <c r="G55" s="47">
        <v>0</v>
      </c>
      <c r="H55" s="38"/>
      <c r="I55" s="39"/>
      <c r="J55" s="38"/>
    </row>
    <row r="56" spans="1:10" ht="13.8">
      <c r="E56" s="43" t="s">
        <v>1</v>
      </c>
      <c r="F56" s="46">
        <v>1668.09</v>
      </c>
      <c r="G56" s="46">
        <v>1176.18</v>
      </c>
      <c r="H56" s="38"/>
      <c r="I56" s="39"/>
      <c r="J56" s="38"/>
    </row>
    <row r="57" spans="1:10" ht="13.8">
      <c r="E57" s="43" t="s">
        <v>19</v>
      </c>
      <c r="F57" s="46">
        <v>1668.09</v>
      </c>
      <c r="G57" s="46">
        <v>1176.18</v>
      </c>
      <c r="H57" s="38"/>
      <c r="I57" s="51"/>
      <c r="J57" s="52"/>
    </row>
    <row r="58" spans="1:10" ht="13.8">
      <c r="E58" s="43" t="s">
        <v>17</v>
      </c>
      <c r="F58" s="46">
        <v>360.09</v>
      </c>
      <c r="G58" s="46">
        <v>525.48</v>
      </c>
      <c r="H58" s="38"/>
      <c r="I58" s="39"/>
      <c r="J58" s="38"/>
    </row>
    <row r="59" spans="1:10" ht="13.8">
      <c r="E59" s="43" t="s">
        <v>22</v>
      </c>
      <c r="F59" s="46">
        <v>54.99</v>
      </c>
      <c r="G59" s="46">
        <v>153.72</v>
      </c>
    </row>
    <row r="60" spans="1:10" ht="13.8">
      <c r="E60" s="43" t="s">
        <v>90</v>
      </c>
      <c r="F60" s="46"/>
      <c r="G60" s="46">
        <v>882.47</v>
      </c>
    </row>
    <row r="61" spans="1:10" ht="13.8">
      <c r="E61" s="43" t="s">
        <v>91</v>
      </c>
      <c r="F61" s="46"/>
      <c r="G61" s="46">
        <v>2315.87</v>
      </c>
    </row>
    <row r="62" spans="1:10" ht="17.399999999999999" customHeight="1">
      <c r="E62" s="43" t="s">
        <v>94</v>
      </c>
      <c r="F62" s="46">
        <v>1027.1600000000001</v>
      </c>
      <c r="G62" s="75"/>
    </row>
    <row r="63" spans="1:10" ht="17.399999999999999" customHeight="1"/>
    <row r="64" spans="1:10" s="79" customFormat="1" ht="16.2">
      <c r="A64" s="79" t="s">
        <v>72</v>
      </c>
    </row>
    <row r="65" spans="1:794" ht="31.5" customHeight="1"/>
    <row r="66" spans="1:794" ht="15.9" customHeight="1">
      <c r="F66" s="50" t="s">
        <v>76</v>
      </c>
      <c r="G66" s="65">
        <v>39.520000000000003</v>
      </c>
      <c r="H66" s="56"/>
      <c r="I66" s="56"/>
      <c r="J66" s="56"/>
      <c r="K66" s="56"/>
    </row>
    <row r="67" spans="1:794" ht="10.8">
      <c r="F67" s="16"/>
      <c r="G67" s="11"/>
    </row>
    <row r="68" spans="1:794" ht="19.5" customHeight="1">
      <c r="F68" s="50" t="s">
        <v>77</v>
      </c>
      <c r="G68" s="65">
        <f>C43</f>
        <v>0</v>
      </c>
      <c r="H68" s="56"/>
      <c r="I68" s="56"/>
      <c r="J68" s="56"/>
      <c r="K68" s="56"/>
    </row>
    <row r="69" spans="1:794" ht="10.8">
      <c r="G69" s="11"/>
    </row>
    <row r="70" spans="1:794" ht="15.6">
      <c r="F70" s="50" t="s">
        <v>73</v>
      </c>
      <c r="G70" s="65" t="str">
        <f>IF(C15="","",VLOOKUP(C15,I10:J30,2,0))</f>
        <v>B1</v>
      </c>
      <c r="H70" s="56"/>
      <c r="I70" s="56"/>
      <c r="J70" s="56"/>
      <c r="K70" s="56"/>
    </row>
    <row r="71" spans="1:794" ht="10.8">
      <c r="F71" s="16"/>
      <c r="G71" s="11"/>
    </row>
    <row r="72" spans="1:794" ht="15.6">
      <c r="F72" s="50" t="s">
        <v>75</v>
      </c>
      <c r="G72" s="66">
        <f>IF(G66&lt;0,"",IF(G70="","",VLOOKUP(G70,E50:F61,2,0)))</f>
        <v>1711.94</v>
      </c>
      <c r="H72" s="56"/>
      <c r="I72" s="56"/>
      <c r="J72" s="56"/>
      <c r="K72" s="56"/>
    </row>
    <row r="73" spans="1:794" ht="10.8">
      <c r="G73" s="11"/>
    </row>
    <row r="74" spans="1:794" ht="15.6">
      <c r="F74" s="50" t="s">
        <v>74</v>
      </c>
      <c r="G74" s="66" t="str">
        <f>IF(C43&lt;1,"",VLOOKUP(G70,E50:G61,3,0))</f>
        <v/>
      </c>
      <c r="H74" s="56"/>
      <c r="I74" s="56"/>
      <c r="J74" s="56"/>
      <c r="K74" s="56"/>
    </row>
    <row r="75" spans="1:794" ht="10.8"/>
    <row r="76" spans="1:794" ht="31.5" customHeight="1">
      <c r="F76" s="50" t="s">
        <v>78</v>
      </c>
      <c r="G76" s="67">
        <f>IFERROR(IF(OR(G68&lt;G66,G68=G66),G66*G72,IF(G68&gt;G66,G66*G72+(G68-G66)*G74,IF(G68&lt;G66,G66*G72,))),"SEM VARIAVEIS PARA O CALCULO")</f>
        <v>67655.868800000011</v>
      </c>
      <c r="H76" s="59"/>
      <c r="I76" s="59"/>
      <c r="J76" s="59"/>
      <c r="K76" s="59"/>
    </row>
    <row r="77" spans="1:794" ht="31.5" customHeight="1"/>
    <row r="78" spans="1:794" s="49" customFormat="1" ht="16.2">
      <c r="A78" s="79" t="s">
        <v>80</v>
      </c>
      <c r="B78" s="79"/>
      <c r="C78" s="79"/>
      <c r="D78" s="79"/>
      <c r="E78" s="79"/>
      <c r="F78" s="79"/>
      <c r="G78" s="79"/>
      <c r="H78" s="79"/>
      <c r="I78" s="79"/>
      <c r="J78" s="79"/>
      <c r="K78" s="79"/>
      <c r="L78" s="79"/>
      <c r="M78" s="79"/>
      <c r="N78" s="79"/>
      <c r="O78" s="79"/>
      <c r="P78" s="79"/>
      <c r="Q78" s="79"/>
      <c r="R78" s="79"/>
      <c r="S78" s="79"/>
      <c r="T78" s="79"/>
      <c r="U78" s="79"/>
      <c r="V78" s="79"/>
      <c r="W78" s="79"/>
      <c r="X78" s="79"/>
      <c r="Y78" s="79"/>
      <c r="Z78" s="79"/>
      <c r="AA78" s="79"/>
      <c r="AB78" s="79"/>
      <c r="AC78" s="79"/>
      <c r="AD78" s="79"/>
      <c r="AE78" s="79"/>
      <c r="AF78" s="79"/>
      <c r="AG78" s="79"/>
      <c r="AH78" s="79"/>
      <c r="AI78" s="79"/>
      <c r="AJ78" s="79"/>
      <c r="AK78" s="79"/>
      <c r="AL78" s="79"/>
      <c r="AM78" s="79"/>
      <c r="AN78" s="79"/>
      <c r="AO78" s="79"/>
      <c r="AP78" s="79"/>
      <c r="AQ78" s="79"/>
      <c r="AR78" s="79"/>
      <c r="AS78" s="79"/>
      <c r="AT78" s="79"/>
      <c r="AU78" s="79"/>
      <c r="AV78" s="79"/>
      <c r="AW78" s="79"/>
      <c r="AX78" s="79"/>
      <c r="AY78" s="79"/>
      <c r="AZ78" s="79"/>
      <c r="BA78" s="79"/>
      <c r="BB78" s="79"/>
      <c r="BC78" s="79"/>
      <c r="BD78" s="79"/>
      <c r="BE78" s="79"/>
      <c r="BF78" s="79"/>
      <c r="BG78" s="79"/>
      <c r="BH78" s="79"/>
      <c r="BI78" s="79"/>
      <c r="BJ78" s="79"/>
      <c r="BK78" s="79"/>
      <c r="BL78" s="79"/>
      <c r="BM78" s="79"/>
      <c r="BN78" s="79"/>
      <c r="BO78" s="79"/>
      <c r="BP78" s="79"/>
      <c r="BQ78" s="79"/>
      <c r="BR78" s="79"/>
      <c r="BS78" s="79"/>
      <c r="BT78" s="79"/>
      <c r="BU78" s="79"/>
      <c r="BV78" s="79"/>
      <c r="BW78" s="79"/>
      <c r="BX78" s="79"/>
      <c r="BY78" s="79"/>
      <c r="BZ78" s="79"/>
      <c r="CA78" s="79"/>
      <c r="CB78" s="79"/>
      <c r="CC78" s="79"/>
      <c r="CD78" s="79"/>
      <c r="CE78" s="79"/>
      <c r="CF78" s="79"/>
      <c r="CG78" s="79"/>
      <c r="CH78" s="79"/>
      <c r="CI78" s="79"/>
      <c r="CJ78" s="79"/>
      <c r="CK78" s="79"/>
      <c r="CL78" s="79"/>
      <c r="CM78" s="79"/>
      <c r="CN78" s="79"/>
      <c r="CO78" s="79"/>
      <c r="CP78" s="79"/>
      <c r="CQ78" s="79"/>
      <c r="CR78" s="79"/>
      <c r="CS78" s="79"/>
      <c r="CT78" s="79"/>
      <c r="CU78" s="79"/>
      <c r="CV78" s="79"/>
      <c r="CW78" s="79"/>
      <c r="CX78" s="79"/>
      <c r="CY78" s="79"/>
      <c r="CZ78" s="79"/>
      <c r="DA78" s="79"/>
      <c r="DB78" s="79"/>
      <c r="DC78" s="79"/>
      <c r="DD78" s="79"/>
      <c r="DE78" s="79"/>
      <c r="DF78" s="79"/>
      <c r="DG78" s="79"/>
      <c r="DH78" s="79"/>
      <c r="DI78" s="79"/>
      <c r="DJ78" s="79"/>
      <c r="DK78" s="79"/>
      <c r="DL78" s="79"/>
      <c r="DM78" s="79"/>
      <c r="DN78" s="79"/>
      <c r="DO78" s="79"/>
      <c r="DP78" s="79"/>
      <c r="DQ78" s="79"/>
      <c r="DR78" s="79"/>
      <c r="DS78" s="79"/>
      <c r="DT78" s="79"/>
      <c r="DU78" s="79"/>
      <c r="DV78" s="79"/>
      <c r="DW78" s="79"/>
      <c r="DX78" s="79"/>
      <c r="DY78" s="79"/>
      <c r="DZ78" s="79"/>
      <c r="EA78" s="79"/>
      <c r="EB78" s="79"/>
      <c r="EC78" s="79"/>
      <c r="ED78" s="79"/>
      <c r="EE78" s="79"/>
      <c r="EF78" s="79"/>
      <c r="EG78" s="79"/>
      <c r="EH78" s="79"/>
      <c r="EI78" s="79"/>
      <c r="EJ78" s="79"/>
      <c r="EK78" s="79"/>
      <c r="EL78" s="79"/>
      <c r="EM78" s="79"/>
      <c r="EN78" s="79"/>
      <c r="EO78" s="79"/>
      <c r="EP78" s="79"/>
      <c r="EQ78" s="79"/>
      <c r="ER78" s="79"/>
      <c r="ES78" s="79"/>
      <c r="ET78" s="79"/>
      <c r="EU78" s="79"/>
      <c r="EV78" s="79"/>
      <c r="EW78" s="79"/>
      <c r="EX78" s="79"/>
      <c r="EY78" s="79"/>
      <c r="EZ78" s="79"/>
      <c r="FA78" s="79"/>
      <c r="FB78" s="79"/>
      <c r="FC78" s="79"/>
      <c r="FD78" s="79"/>
      <c r="FE78" s="79"/>
      <c r="FF78" s="79"/>
      <c r="FG78" s="79"/>
      <c r="FH78" s="79"/>
      <c r="FI78" s="79"/>
      <c r="FJ78" s="79"/>
      <c r="FK78" s="79"/>
      <c r="FL78" s="79"/>
      <c r="FM78" s="79"/>
      <c r="FN78" s="79"/>
      <c r="FO78" s="79"/>
      <c r="FP78" s="79"/>
      <c r="FQ78" s="79"/>
      <c r="FR78" s="79"/>
      <c r="FS78" s="79"/>
      <c r="FT78" s="79"/>
      <c r="FU78" s="79"/>
      <c r="FV78" s="79"/>
      <c r="FW78" s="79"/>
      <c r="FX78" s="79"/>
      <c r="FY78" s="79"/>
      <c r="FZ78" s="79"/>
      <c r="GA78" s="79"/>
      <c r="GB78" s="79"/>
      <c r="GC78" s="79"/>
      <c r="GD78" s="79"/>
      <c r="GE78" s="79"/>
      <c r="GF78" s="79"/>
      <c r="GG78" s="79"/>
      <c r="GH78" s="79"/>
      <c r="GI78" s="79"/>
      <c r="GJ78" s="79"/>
      <c r="GK78" s="79"/>
      <c r="GL78" s="79"/>
      <c r="GM78" s="79"/>
      <c r="GN78" s="79"/>
      <c r="GO78" s="79"/>
      <c r="GP78" s="79"/>
      <c r="GQ78" s="79"/>
      <c r="GR78" s="79"/>
      <c r="GS78" s="79"/>
      <c r="GT78" s="79"/>
      <c r="GU78" s="79"/>
      <c r="GV78" s="79"/>
      <c r="GW78" s="79"/>
      <c r="GX78" s="79"/>
      <c r="GY78" s="79"/>
      <c r="GZ78" s="79"/>
      <c r="HA78" s="79"/>
      <c r="HB78" s="79"/>
      <c r="HC78" s="79"/>
      <c r="HD78" s="79"/>
      <c r="HE78" s="79"/>
      <c r="HF78" s="79"/>
      <c r="HG78" s="79"/>
      <c r="HH78" s="79"/>
      <c r="HI78" s="79"/>
      <c r="HJ78" s="79"/>
      <c r="HK78" s="79"/>
      <c r="HL78" s="79"/>
      <c r="HM78" s="79"/>
      <c r="HN78" s="79"/>
      <c r="HO78" s="79"/>
      <c r="HP78" s="79"/>
      <c r="HQ78" s="79"/>
      <c r="HR78" s="79"/>
      <c r="HS78" s="79"/>
      <c r="HT78" s="79"/>
      <c r="HU78" s="79"/>
      <c r="HV78" s="79"/>
      <c r="HW78" s="79"/>
      <c r="HX78" s="79"/>
      <c r="HY78" s="79"/>
      <c r="HZ78" s="79"/>
      <c r="IA78" s="79"/>
      <c r="IB78" s="79"/>
      <c r="IC78" s="79"/>
      <c r="ID78" s="79"/>
      <c r="IE78" s="79"/>
      <c r="IF78" s="79"/>
      <c r="IG78" s="79"/>
      <c r="IH78" s="79"/>
      <c r="II78" s="79"/>
      <c r="IJ78" s="79"/>
      <c r="IK78" s="79"/>
      <c r="IL78" s="79"/>
      <c r="IM78" s="79"/>
      <c r="IN78" s="79"/>
      <c r="IO78" s="79"/>
      <c r="IP78" s="79"/>
      <c r="IQ78" s="79"/>
      <c r="IR78" s="79"/>
      <c r="IS78" s="79"/>
      <c r="IT78" s="79"/>
      <c r="IU78" s="79"/>
      <c r="IV78" s="79"/>
      <c r="IW78" s="79"/>
      <c r="IX78" s="79"/>
      <c r="IY78" s="79"/>
      <c r="IZ78" s="79"/>
      <c r="JA78" s="79"/>
      <c r="JB78" s="79"/>
      <c r="JC78" s="79"/>
      <c r="JD78" s="79"/>
      <c r="JE78" s="79"/>
      <c r="JF78" s="79"/>
      <c r="JG78" s="79"/>
      <c r="JH78" s="79"/>
      <c r="JI78" s="79"/>
      <c r="JJ78" s="79"/>
      <c r="JK78" s="79"/>
      <c r="JL78" s="79"/>
      <c r="JM78" s="79"/>
      <c r="JN78" s="79"/>
      <c r="JO78" s="79"/>
      <c r="JP78" s="79"/>
      <c r="JQ78" s="79"/>
      <c r="JR78" s="79"/>
      <c r="JS78" s="79"/>
      <c r="JT78" s="79"/>
      <c r="JU78" s="79"/>
      <c r="JV78" s="79"/>
      <c r="JW78" s="79"/>
      <c r="JX78" s="79"/>
      <c r="JY78" s="79"/>
      <c r="JZ78" s="79"/>
      <c r="KA78" s="79"/>
      <c r="KB78" s="79"/>
      <c r="KC78" s="79"/>
      <c r="KD78" s="79"/>
      <c r="KE78" s="79"/>
      <c r="KF78" s="79"/>
      <c r="KG78" s="79"/>
      <c r="KH78" s="79"/>
      <c r="KI78" s="79"/>
      <c r="KJ78" s="79"/>
      <c r="KK78" s="79"/>
      <c r="KL78" s="79"/>
      <c r="KM78" s="79"/>
      <c r="KN78" s="79"/>
      <c r="KO78" s="79"/>
      <c r="KP78" s="79"/>
      <c r="KQ78" s="79"/>
      <c r="KR78" s="79"/>
      <c r="KS78" s="79"/>
      <c r="KT78" s="79"/>
      <c r="KU78" s="79"/>
      <c r="KV78" s="79"/>
      <c r="KW78" s="79"/>
      <c r="KX78" s="79"/>
      <c r="KY78" s="79"/>
      <c r="KZ78" s="79"/>
      <c r="LA78" s="79"/>
      <c r="LB78" s="79"/>
      <c r="LC78" s="79"/>
      <c r="LD78" s="79"/>
      <c r="LE78" s="79"/>
      <c r="LF78" s="79"/>
      <c r="LG78" s="79"/>
      <c r="LH78" s="79"/>
      <c r="LI78" s="79"/>
      <c r="LJ78" s="79"/>
      <c r="LK78" s="79"/>
      <c r="LL78" s="79"/>
      <c r="LM78" s="79"/>
      <c r="LN78" s="79"/>
      <c r="LO78" s="79"/>
      <c r="LP78" s="79"/>
      <c r="LQ78" s="79"/>
      <c r="LR78" s="79"/>
      <c r="LS78" s="79"/>
      <c r="LT78" s="79"/>
      <c r="LU78" s="79"/>
      <c r="LV78" s="79"/>
      <c r="LW78" s="79"/>
      <c r="LX78" s="79"/>
      <c r="LY78" s="79"/>
      <c r="LZ78" s="79"/>
      <c r="MA78" s="79"/>
      <c r="MB78" s="79"/>
      <c r="MC78" s="79"/>
      <c r="MD78" s="79"/>
      <c r="ME78" s="79"/>
      <c r="MF78" s="79"/>
      <c r="MG78" s="79"/>
      <c r="MH78" s="79"/>
      <c r="MI78" s="79"/>
      <c r="MJ78" s="79"/>
      <c r="MK78" s="79"/>
      <c r="ML78" s="79"/>
      <c r="MM78" s="79"/>
      <c r="MN78" s="79"/>
      <c r="MO78" s="79"/>
      <c r="MP78" s="79"/>
      <c r="MQ78" s="79"/>
      <c r="MR78" s="79"/>
      <c r="MS78" s="79"/>
      <c r="MT78" s="79"/>
      <c r="MU78" s="79"/>
      <c r="MV78" s="79"/>
      <c r="MW78" s="79"/>
      <c r="MX78" s="79"/>
      <c r="MY78" s="79"/>
      <c r="MZ78" s="79"/>
      <c r="NA78" s="79"/>
      <c r="NB78" s="79"/>
      <c r="NC78" s="79"/>
      <c r="ND78" s="79"/>
      <c r="NE78" s="79"/>
      <c r="NF78" s="79"/>
      <c r="NG78" s="79"/>
      <c r="NH78" s="79"/>
      <c r="NI78" s="79"/>
      <c r="NJ78" s="79"/>
      <c r="NK78" s="79"/>
      <c r="NL78" s="79"/>
      <c r="NM78" s="79"/>
      <c r="NN78" s="79"/>
      <c r="NO78" s="79"/>
      <c r="NP78" s="79"/>
      <c r="NQ78" s="79"/>
      <c r="NR78" s="79"/>
      <c r="NS78" s="79"/>
      <c r="NT78" s="79"/>
      <c r="NU78" s="79"/>
      <c r="NV78" s="79"/>
      <c r="NW78" s="79"/>
      <c r="NX78" s="79"/>
      <c r="NY78" s="79"/>
      <c r="NZ78" s="79"/>
      <c r="OA78" s="79"/>
      <c r="OB78" s="79"/>
      <c r="OC78" s="79"/>
      <c r="OD78" s="79"/>
      <c r="OE78" s="79"/>
      <c r="OF78" s="79"/>
      <c r="OG78" s="79"/>
      <c r="OH78" s="79"/>
      <c r="OI78" s="79"/>
      <c r="OJ78" s="79"/>
      <c r="OK78" s="79"/>
      <c r="OL78" s="79"/>
      <c r="OM78" s="79"/>
      <c r="ON78" s="79"/>
      <c r="OO78" s="79"/>
      <c r="OP78" s="79"/>
      <c r="OQ78" s="79"/>
      <c r="OR78" s="79"/>
      <c r="OS78" s="79"/>
      <c r="OT78" s="79"/>
      <c r="OU78" s="79"/>
      <c r="OV78" s="79"/>
      <c r="OW78" s="79"/>
      <c r="OX78" s="79"/>
      <c r="OY78" s="79"/>
      <c r="OZ78" s="79"/>
      <c r="PA78" s="79"/>
      <c r="PB78" s="79"/>
      <c r="PC78" s="79"/>
      <c r="PD78" s="79"/>
      <c r="PE78" s="79"/>
      <c r="PF78" s="79"/>
      <c r="PG78" s="79"/>
      <c r="PH78" s="79"/>
      <c r="PI78" s="79"/>
      <c r="PJ78" s="79"/>
      <c r="PK78" s="79"/>
      <c r="PL78" s="79"/>
      <c r="PM78" s="79"/>
      <c r="PN78" s="79"/>
      <c r="PO78" s="79"/>
      <c r="PP78" s="79"/>
      <c r="PQ78" s="79"/>
      <c r="PR78" s="79"/>
      <c r="PS78" s="79"/>
      <c r="PT78" s="79"/>
      <c r="PU78" s="79"/>
      <c r="PV78" s="79"/>
      <c r="PW78" s="79"/>
      <c r="PX78" s="79"/>
      <c r="PY78" s="79"/>
      <c r="PZ78" s="79"/>
      <c r="QA78" s="79"/>
      <c r="QB78" s="79"/>
      <c r="QC78" s="79"/>
      <c r="QD78" s="79"/>
      <c r="QE78" s="79"/>
      <c r="QF78" s="79"/>
      <c r="QG78" s="79"/>
      <c r="QH78" s="79"/>
      <c r="QI78" s="79"/>
      <c r="QJ78" s="79"/>
      <c r="QK78" s="79"/>
      <c r="QL78" s="79"/>
      <c r="QM78" s="79"/>
      <c r="QN78" s="79"/>
      <c r="QO78" s="79"/>
      <c r="QP78" s="79"/>
      <c r="QQ78" s="79"/>
      <c r="QR78" s="79"/>
      <c r="QS78" s="79"/>
      <c r="QT78" s="79"/>
      <c r="QU78" s="79"/>
      <c r="QV78" s="79"/>
      <c r="QW78" s="79"/>
      <c r="QX78" s="79"/>
      <c r="QY78" s="79"/>
      <c r="QZ78" s="79"/>
      <c r="RA78" s="79"/>
      <c r="RB78" s="79"/>
      <c r="RC78" s="79"/>
      <c r="RD78" s="79"/>
      <c r="RE78" s="79"/>
      <c r="RF78" s="79"/>
      <c r="RG78" s="79"/>
      <c r="RH78" s="79"/>
      <c r="RI78" s="79"/>
      <c r="RJ78" s="79"/>
      <c r="RK78" s="79"/>
      <c r="RL78" s="79"/>
      <c r="RM78" s="79"/>
      <c r="RN78" s="79"/>
      <c r="RO78" s="79"/>
      <c r="RP78" s="79"/>
      <c r="RQ78" s="79"/>
      <c r="RR78" s="79"/>
      <c r="RS78" s="79"/>
      <c r="RT78" s="79"/>
      <c r="RU78" s="79"/>
      <c r="RV78" s="79"/>
      <c r="RW78" s="79"/>
      <c r="RX78" s="79"/>
      <c r="RY78" s="79"/>
      <c r="RZ78" s="79"/>
      <c r="SA78" s="79"/>
      <c r="SB78" s="79"/>
      <c r="SC78" s="79"/>
      <c r="SD78" s="79"/>
      <c r="SE78" s="79"/>
      <c r="SF78" s="79"/>
      <c r="SG78" s="79"/>
      <c r="SH78" s="79"/>
      <c r="SI78" s="79"/>
      <c r="SJ78" s="79"/>
      <c r="SK78" s="79"/>
      <c r="SL78" s="79"/>
      <c r="SM78" s="79"/>
      <c r="SN78" s="79"/>
      <c r="SO78" s="79"/>
      <c r="SP78" s="79"/>
      <c r="SQ78" s="79"/>
      <c r="SR78" s="79"/>
      <c r="SS78" s="79"/>
      <c r="ST78" s="79"/>
      <c r="SU78" s="79"/>
      <c r="SV78" s="79"/>
      <c r="SW78" s="79"/>
      <c r="SX78" s="79"/>
      <c r="SY78" s="79"/>
      <c r="SZ78" s="79"/>
      <c r="TA78" s="79"/>
      <c r="TB78" s="79"/>
      <c r="TC78" s="79"/>
      <c r="TD78" s="79"/>
      <c r="TE78" s="79"/>
      <c r="TF78" s="79"/>
      <c r="TG78" s="79"/>
      <c r="TH78" s="79"/>
      <c r="TI78" s="79"/>
      <c r="TJ78" s="79"/>
      <c r="TK78" s="79"/>
      <c r="TL78" s="79"/>
      <c r="TM78" s="79"/>
      <c r="TN78" s="79"/>
      <c r="TO78" s="79"/>
      <c r="TP78" s="79"/>
      <c r="TQ78" s="79"/>
      <c r="TR78" s="79"/>
      <c r="TS78" s="79"/>
      <c r="TT78" s="79"/>
      <c r="TU78" s="79"/>
      <c r="TV78" s="79"/>
      <c r="TW78" s="79"/>
      <c r="TX78" s="79"/>
      <c r="TY78" s="79"/>
      <c r="TZ78" s="79"/>
      <c r="UA78" s="79"/>
      <c r="UB78" s="79"/>
      <c r="UC78" s="79"/>
      <c r="UD78" s="79"/>
      <c r="UE78" s="79"/>
      <c r="UF78" s="79"/>
      <c r="UG78" s="79"/>
      <c r="UH78" s="79"/>
      <c r="UI78" s="79"/>
      <c r="UJ78" s="79"/>
      <c r="UK78" s="79"/>
      <c r="UL78" s="79"/>
      <c r="UM78" s="79"/>
      <c r="UN78" s="79"/>
      <c r="UO78" s="79"/>
      <c r="UP78" s="79"/>
      <c r="UQ78" s="79"/>
      <c r="UR78" s="79"/>
      <c r="US78" s="79"/>
      <c r="UT78" s="79"/>
      <c r="UU78" s="79"/>
      <c r="UV78" s="79"/>
      <c r="UW78" s="79"/>
      <c r="UX78" s="79"/>
      <c r="UY78" s="79"/>
      <c r="UZ78" s="79"/>
      <c r="VA78" s="79"/>
      <c r="VB78" s="79"/>
      <c r="VC78" s="79"/>
      <c r="VD78" s="79"/>
      <c r="VE78" s="79"/>
      <c r="VF78" s="79"/>
      <c r="VG78" s="79"/>
      <c r="VH78" s="79"/>
      <c r="VI78" s="79"/>
      <c r="VJ78" s="79"/>
      <c r="VK78" s="79"/>
      <c r="VL78" s="79"/>
      <c r="VM78" s="79"/>
      <c r="VN78" s="79"/>
      <c r="VO78" s="79"/>
      <c r="VP78" s="79"/>
      <c r="VQ78" s="79"/>
      <c r="VR78" s="79"/>
      <c r="VS78" s="79"/>
      <c r="VT78" s="79"/>
      <c r="VU78" s="79"/>
      <c r="VV78" s="79"/>
      <c r="VW78" s="79"/>
      <c r="VX78" s="79"/>
      <c r="VY78" s="79"/>
      <c r="VZ78" s="79"/>
      <c r="WA78" s="79"/>
      <c r="WB78" s="79"/>
      <c r="WC78" s="79"/>
      <c r="WD78" s="79"/>
      <c r="WE78" s="79"/>
      <c r="WF78" s="79"/>
      <c r="WG78" s="79"/>
      <c r="WH78" s="79"/>
      <c r="WI78" s="79"/>
      <c r="WJ78" s="79"/>
      <c r="WK78" s="79"/>
      <c r="WL78" s="79"/>
      <c r="WM78" s="79"/>
      <c r="WN78" s="79"/>
      <c r="WO78" s="79"/>
      <c r="WP78" s="79"/>
      <c r="WQ78" s="79"/>
      <c r="WR78" s="79"/>
      <c r="WS78" s="79"/>
      <c r="WT78" s="79"/>
      <c r="WU78" s="79"/>
      <c r="WV78" s="79"/>
      <c r="WW78" s="79"/>
      <c r="WX78" s="79"/>
      <c r="WY78" s="79"/>
      <c r="WZ78" s="79"/>
      <c r="XA78" s="79"/>
      <c r="XB78" s="79"/>
      <c r="XC78" s="79"/>
      <c r="XD78" s="79"/>
      <c r="XE78" s="79"/>
      <c r="XF78" s="79"/>
      <c r="XG78" s="79"/>
      <c r="XH78" s="79"/>
      <c r="XI78" s="79"/>
      <c r="XJ78" s="79"/>
      <c r="XK78" s="79"/>
      <c r="XL78" s="79"/>
      <c r="XM78" s="79"/>
      <c r="XN78" s="79"/>
      <c r="XO78" s="79"/>
      <c r="XP78" s="79"/>
      <c r="XQ78" s="79"/>
      <c r="XR78" s="79"/>
      <c r="XS78" s="79"/>
      <c r="XT78" s="79"/>
      <c r="XU78" s="79"/>
      <c r="XV78" s="79"/>
      <c r="XW78" s="79"/>
      <c r="XX78" s="79"/>
      <c r="XY78" s="79"/>
      <c r="XZ78" s="79"/>
      <c r="YA78" s="79"/>
      <c r="YB78" s="79"/>
      <c r="YC78" s="79"/>
      <c r="YD78" s="79"/>
      <c r="YE78" s="79"/>
      <c r="YF78" s="79"/>
      <c r="YG78" s="79"/>
      <c r="YH78" s="79"/>
      <c r="YI78" s="79"/>
      <c r="YJ78" s="79"/>
      <c r="YK78" s="79"/>
      <c r="YL78" s="79"/>
      <c r="YM78" s="79"/>
      <c r="YN78" s="79"/>
      <c r="YO78" s="79"/>
      <c r="YP78" s="79"/>
      <c r="YQ78" s="79"/>
      <c r="YR78" s="79"/>
      <c r="YS78" s="79"/>
      <c r="YT78" s="79"/>
      <c r="YU78" s="79"/>
      <c r="YV78" s="79"/>
      <c r="YW78" s="79"/>
      <c r="YX78" s="79"/>
      <c r="YY78" s="79"/>
      <c r="YZ78" s="79"/>
      <c r="ZA78" s="79"/>
      <c r="ZB78" s="79"/>
      <c r="ZC78" s="79"/>
      <c r="ZD78" s="79"/>
      <c r="ZE78" s="79"/>
      <c r="ZF78" s="79"/>
      <c r="ZG78" s="79"/>
      <c r="ZH78" s="79"/>
      <c r="ZI78" s="79"/>
      <c r="ZJ78" s="79"/>
      <c r="ZK78" s="79"/>
      <c r="ZL78" s="79"/>
      <c r="ZM78" s="79"/>
      <c r="ZN78" s="79"/>
      <c r="ZO78" s="79"/>
      <c r="ZP78" s="79"/>
      <c r="ZQ78" s="79"/>
      <c r="ZR78" s="79"/>
      <c r="ZS78" s="79"/>
      <c r="ZT78" s="79"/>
      <c r="ZU78" s="79"/>
      <c r="ZV78" s="79"/>
      <c r="ZW78" s="79"/>
      <c r="ZX78" s="79"/>
      <c r="ZY78" s="79"/>
      <c r="ZZ78" s="79"/>
      <c r="AAA78" s="79"/>
      <c r="AAB78" s="79"/>
      <c r="AAC78" s="79"/>
      <c r="AAD78" s="79"/>
      <c r="AAE78" s="79"/>
      <c r="AAF78" s="79"/>
      <c r="AAG78" s="79"/>
      <c r="AAH78" s="79"/>
      <c r="AAI78" s="79"/>
      <c r="AAJ78" s="79"/>
      <c r="AAK78" s="79"/>
      <c r="AAL78" s="79"/>
      <c r="AAM78" s="79"/>
      <c r="AAN78" s="79"/>
      <c r="AAO78" s="79"/>
      <c r="AAP78" s="79"/>
      <c r="AAQ78" s="79"/>
      <c r="AAR78" s="79"/>
      <c r="AAS78" s="79"/>
      <c r="AAT78" s="79"/>
      <c r="AAU78" s="79"/>
      <c r="AAV78" s="79"/>
      <c r="AAW78" s="79"/>
      <c r="AAX78" s="79"/>
      <c r="AAY78" s="79"/>
      <c r="AAZ78" s="79"/>
      <c r="ABA78" s="79"/>
      <c r="ABB78" s="79"/>
      <c r="ABC78" s="79"/>
      <c r="ABD78" s="79"/>
      <c r="ABE78" s="79"/>
      <c r="ABF78" s="79"/>
      <c r="ABG78" s="79"/>
      <c r="ABH78" s="79"/>
      <c r="ABI78" s="79"/>
      <c r="ABJ78" s="79"/>
      <c r="ABK78" s="79"/>
      <c r="ABL78" s="79"/>
      <c r="ABM78" s="79"/>
      <c r="ABN78" s="79"/>
      <c r="ABO78" s="79"/>
      <c r="ABP78" s="79"/>
      <c r="ABQ78" s="79"/>
      <c r="ABR78" s="79"/>
      <c r="ABS78" s="79"/>
      <c r="ABT78" s="79"/>
      <c r="ABU78" s="79"/>
      <c r="ABV78" s="79"/>
      <c r="ABW78" s="79"/>
      <c r="ABX78" s="79"/>
      <c r="ABY78" s="79"/>
      <c r="ABZ78" s="79"/>
      <c r="ACA78" s="79"/>
      <c r="ACB78" s="79"/>
      <c r="ACC78" s="79"/>
      <c r="ACD78" s="79"/>
      <c r="ACE78" s="79"/>
      <c r="ACF78" s="79"/>
      <c r="ACG78" s="79"/>
      <c r="ACH78" s="79"/>
      <c r="ACI78" s="79"/>
      <c r="ACJ78" s="79"/>
      <c r="ACK78" s="79"/>
      <c r="ACL78" s="79"/>
      <c r="ACM78" s="79"/>
      <c r="ACN78" s="79"/>
      <c r="ACO78" s="79"/>
      <c r="ACP78" s="79"/>
      <c r="ACQ78" s="79"/>
      <c r="ACR78" s="79"/>
      <c r="ACS78" s="79"/>
      <c r="ACT78" s="79"/>
      <c r="ACU78" s="79"/>
      <c r="ACV78" s="79"/>
      <c r="ACW78" s="79"/>
      <c r="ACX78" s="79"/>
      <c r="ACY78" s="79"/>
      <c r="ACZ78" s="79"/>
      <c r="ADA78" s="79"/>
      <c r="ADB78" s="79"/>
      <c r="ADC78" s="79"/>
      <c r="ADD78" s="79"/>
      <c r="ADE78" s="79"/>
      <c r="ADF78" s="79"/>
      <c r="ADG78" s="79"/>
      <c r="ADH78" s="79"/>
      <c r="ADI78" s="79"/>
      <c r="ADJ78" s="79"/>
      <c r="ADK78" s="79"/>
      <c r="ADL78" s="79"/>
      <c r="ADM78" s="79"/>
      <c r="ADN78" s="79"/>
    </row>
    <row r="79" spans="1:794" ht="31.5" customHeight="1" thickBot="1"/>
    <row r="80" spans="1:794" ht="31.5" customHeight="1" thickBot="1">
      <c r="F80" s="55" t="s">
        <v>60</v>
      </c>
      <c r="G80" s="74">
        <v>69</v>
      </c>
      <c r="H80" s="56"/>
      <c r="I80" s="56"/>
      <c r="J80" s="56"/>
      <c r="K80" s="56"/>
    </row>
    <row r="81" spans="1:11" ht="10.8"/>
    <row r="82" spans="1:11" ht="31.5" customHeight="1">
      <c r="F82" s="54" t="s">
        <v>81</v>
      </c>
      <c r="G82" s="65">
        <f>IF(C43&gt;C41,C43,C41)</f>
        <v>40</v>
      </c>
      <c r="H82" s="56"/>
      <c r="I82" s="56"/>
      <c r="J82" s="56"/>
      <c r="K82" s="56"/>
    </row>
    <row r="83" spans="1:11" ht="10.8"/>
    <row r="84" spans="1:11" ht="31.5" customHeight="1">
      <c r="F84" s="55" t="s">
        <v>61</v>
      </c>
      <c r="G84" s="73">
        <f>IFERROR(IF(C43&gt;C41,C43/G80,C41/G80),"")</f>
        <v>0.57971014492753625</v>
      </c>
      <c r="H84" s="56"/>
      <c r="I84" s="56"/>
      <c r="J84" s="56"/>
      <c r="K84" s="56"/>
    </row>
    <row r="85" spans="1:11" ht="10.8"/>
    <row r="86" spans="1:11" ht="31.5" customHeight="1">
      <c r="F86" s="55" t="s">
        <v>62</v>
      </c>
      <c r="G86" s="65">
        <f>F32</f>
        <v>47160.789999999994</v>
      </c>
      <c r="H86" s="56"/>
      <c r="I86" s="56"/>
      <c r="J86" s="56"/>
      <c r="K86" s="56"/>
    </row>
    <row r="87" spans="1:11" ht="10.8"/>
    <row r="88" spans="1:11" ht="31.5" customHeight="1">
      <c r="F88" s="55" t="s">
        <v>63</v>
      </c>
      <c r="G88" s="68">
        <f>IF(G80&lt;G82,"DEMANDA DISPONIBILIZADA MENOR QUE DEMANDA DO CLIENTE",IFERROR(G86*G84,"SEM VARIAVEIS PARA O CALCULO"))</f>
        <v>27339.588405797098</v>
      </c>
      <c r="H88" s="56"/>
      <c r="I88" s="56"/>
      <c r="J88" s="56"/>
      <c r="K88" s="56"/>
    </row>
    <row r="89" spans="1:11" ht="31.5" customHeight="1"/>
    <row r="90" spans="1:11" s="79" customFormat="1" ht="16.2">
      <c r="A90" s="79" t="s">
        <v>64</v>
      </c>
    </row>
    <row r="91" spans="1:11" ht="31.5" customHeight="1"/>
    <row r="92" spans="1:11" ht="31.5" customHeight="1"/>
    <row r="93" spans="1:11" ht="31.5" customHeight="1">
      <c r="F93" s="55" t="s">
        <v>82</v>
      </c>
      <c r="G93" s="66" t="str">
        <f>IFERROR(IF(OR(G88-G76&lt;0,G88-G76=0),"SEM PARTICIPAÇÃO FINANCEIRA",G88-G76),"SEM VARIAVEIS PARA O CALCULO")</f>
        <v>SEM PARTICIPAÇÃO FINANCEIRA</v>
      </c>
    </row>
    <row r="94" spans="1:11" ht="31.5" customHeight="1"/>
    <row r="95" spans="1:11" ht="31.5" customHeight="1"/>
    <row r="96" spans="1:11" ht="31.5" customHeight="1"/>
    <row r="97" ht="31.5" customHeight="1"/>
    <row r="98" ht="31.5" customHeight="1"/>
    <row r="99" ht="31.5" customHeight="1"/>
  </sheetData>
  <sheetProtection formatCells="0" formatColumns="0" formatRows="0" insertColumns="0" insertRows="0" insertHyperlinks="0" deleteColumns="0" deleteRows="0" sort="0" autoFilter="0" pivotTables="0"/>
  <mergeCells count="20">
    <mergeCell ref="A90:XFD90"/>
    <mergeCell ref="A39:ADN39"/>
    <mergeCell ref="A48:ADN48"/>
    <mergeCell ref="A78:ADN78"/>
    <mergeCell ref="A64:XFD64"/>
    <mergeCell ref="C43:G43"/>
    <mergeCell ref="C45:G45"/>
    <mergeCell ref="A36:V36"/>
    <mergeCell ref="A37:V37"/>
    <mergeCell ref="C11:G11"/>
    <mergeCell ref="T11:V11"/>
    <mergeCell ref="C13:G13"/>
    <mergeCell ref="A5:V5"/>
    <mergeCell ref="A6:V6"/>
    <mergeCell ref="A9:ADN9"/>
    <mergeCell ref="B22:G22"/>
    <mergeCell ref="C15:G15"/>
    <mergeCell ref="T15:V15"/>
    <mergeCell ref="C17:G17"/>
    <mergeCell ref="C19:G19"/>
  </mergeCells>
  <conditionalFormatting sqref="A33:A35">
    <cfRule type="expression" dxfId="6" priority="5" stopIfTrue="1">
      <formula>$C$24=""</formula>
    </cfRule>
  </conditionalFormatting>
  <conditionalFormatting sqref="B29:C31">
    <cfRule type="expression" dxfId="5" priority="6" stopIfTrue="1">
      <formula>$C$24=""</formula>
    </cfRule>
    <cfRule type="expression" dxfId="4" priority="7" stopIfTrue="1">
      <formula>$C$24&lt;&gt;"OPD"</formula>
    </cfRule>
  </conditionalFormatting>
  <conditionalFormatting sqref="C24:C25">
    <cfRule type="expression" dxfId="3" priority="1" stopIfTrue="1">
      <formula>$C$24=""</formula>
    </cfRule>
    <cfRule type="expression" dxfId="2" priority="2" stopIfTrue="1">
      <formula>$C$24="OPD"</formula>
    </cfRule>
  </conditionalFormatting>
  <conditionalFormatting sqref="E29:F32">
    <cfRule type="expression" dxfId="1" priority="3" stopIfTrue="1">
      <formula>$C$24=""</formula>
    </cfRule>
    <cfRule type="expression" dxfId="0" priority="4" stopIfTrue="1">
      <formula>$C$24="OPD"</formula>
    </cfRule>
  </conditionalFormatting>
  <dataValidations count="8">
    <dataValidation type="list" allowBlank="1" showErrorMessage="1" sqref="C13:G13 IY13:JC13 SU13:SY13 ACQ13:ACU13 AMM13:AMQ13 AWI13:AWM13 BGE13:BGI13 BQA13:BQE13 BZW13:CAA13 CJS13:CJW13 CTO13:CTS13 DDK13:DDO13 DNG13:DNK13 DXC13:DXG13 EGY13:EHC13 EQU13:EQY13 FAQ13:FAU13 FKM13:FKQ13 FUI13:FUM13 GEE13:GEI13 GOA13:GOE13 GXW13:GYA13 HHS13:HHW13 HRO13:HRS13 IBK13:IBO13 ILG13:ILK13 IVC13:IVG13 JEY13:JFC13 JOU13:JOY13 JYQ13:JYU13 KIM13:KIQ13 KSI13:KSM13 LCE13:LCI13 LMA13:LME13 LVW13:LWA13 MFS13:MFW13 MPO13:MPS13 MZK13:MZO13 NJG13:NJK13 NTC13:NTG13 OCY13:ODC13 OMU13:OMY13 OWQ13:OWU13 PGM13:PGQ13 PQI13:PQM13 QAE13:QAI13 QKA13:QKE13 QTW13:QUA13 RDS13:RDW13 RNO13:RNS13 RXK13:RXO13 SHG13:SHK13 SRC13:SRG13 TAY13:TBC13 TKU13:TKY13 TUQ13:TUU13 UEM13:UEQ13 UOI13:UOM13 UYE13:UYI13 VIA13:VIE13 VRW13:VSA13 WBS13:WBW13 WLO13:WLS13 WVK13:WVO13 C65519:G65519 IY65522:JC65522 SU65522:SY65522 ACQ65522:ACU65522 AMM65522:AMQ65522 AWI65522:AWM65522 BGE65522:BGI65522 BQA65522:BQE65522 BZW65522:CAA65522 CJS65522:CJW65522 CTO65522:CTS65522 DDK65522:DDO65522 DNG65522:DNK65522 DXC65522:DXG65522 EGY65522:EHC65522 EQU65522:EQY65522 FAQ65522:FAU65522 FKM65522:FKQ65522 FUI65522:FUM65522 GEE65522:GEI65522 GOA65522:GOE65522 GXW65522:GYA65522 HHS65522:HHW65522 HRO65522:HRS65522 IBK65522:IBO65522 ILG65522:ILK65522 IVC65522:IVG65522 JEY65522:JFC65522 JOU65522:JOY65522 JYQ65522:JYU65522 KIM65522:KIQ65522 KSI65522:KSM65522 LCE65522:LCI65522 LMA65522:LME65522 LVW65522:LWA65522 MFS65522:MFW65522 MPO65522:MPS65522 MZK65522:MZO65522 NJG65522:NJK65522 NTC65522:NTG65522 OCY65522:ODC65522 OMU65522:OMY65522 OWQ65522:OWU65522 PGM65522:PGQ65522 PQI65522:PQM65522 QAE65522:QAI65522 QKA65522:QKE65522 QTW65522:QUA65522 RDS65522:RDW65522 RNO65522:RNS65522 RXK65522:RXO65522 SHG65522:SHK65522 SRC65522:SRG65522 TAY65522:TBC65522 TKU65522:TKY65522 TUQ65522:TUU65522 UEM65522:UEQ65522 UOI65522:UOM65522 UYE65522:UYI65522 VIA65522:VIE65522 VRW65522:VSA65522 WBS65522:WBW65522 WLO65522:WLS65522 WVK65522:WVO65522 C131055:G131055 IY131058:JC131058 SU131058:SY131058 ACQ131058:ACU131058 AMM131058:AMQ131058 AWI131058:AWM131058 BGE131058:BGI131058 BQA131058:BQE131058 BZW131058:CAA131058 CJS131058:CJW131058 CTO131058:CTS131058 DDK131058:DDO131058 DNG131058:DNK131058 DXC131058:DXG131058 EGY131058:EHC131058 EQU131058:EQY131058 FAQ131058:FAU131058 FKM131058:FKQ131058 FUI131058:FUM131058 GEE131058:GEI131058 GOA131058:GOE131058 GXW131058:GYA131058 HHS131058:HHW131058 HRO131058:HRS131058 IBK131058:IBO131058 ILG131058:ILK131058 IVC131058:IVG131058 JEY131058:JFC131058 JOU131058:JOY131058 JYQ131058:JYU131058 KIM131058:KIQ131058 KSI131058:KSM131058 LCE131058:LCI131058 LMA131058:LME131058 LVW131058:LWA131058 MFS131058:MFW131058 MPO131058:MPS131058 MZK131058:MZO131058 NJG131058:NJK131058 NTC131058:NTG131058 OCY131058:ODC131058 OMU131058:OMY131058 OWQ131058:OWU131058 PGM131058:PGQ131058 PQI131058:PQM131058 QAE131058:QAI131058 QKA131058:QKE131058 QTW131058:QUA131058 RDS131058:RDW131058 RNO131058:RNS131058 RXK131058:RXO131058 SHG131058:SHK131058 SRC131058:SRG131058 TAY131058:TBC131058 TKU131058:TKY131058 TUQ131058:TUU131058 UEM131058:UEQ131058 UOI131058:UOM131058 UYE131058:UYI131058 VIA131058:VIE131058 VRW131058:VSA131058 WBS131058:WBW131058 WLO131058:WLS131058 WVK131058:WVO131058 C196591:G196591 IY196594:JC196594 SU196594:SY196594 ACQ196594:ACU196594 AMM196594:AMQ196594 AWI196594:AWM196594 BGE196594:BGI196594 BQA196594:BQE196594 BZW196594:CAA196594 CJS196594:CJW196594 CTO196594:CTS196594 DDK196594:DDO196594 DNG196594:DNK196594 DXC196594:DXG196594 EGY196594:EHC196594 EQU196594:EQY196594 FAQ196594:FAU196594 FKM196594:FKQ196594 FUI196594:FUM196594 GEE196594:GEI196594 GOA196594:GOE196594 GXW196594:GYA196594 HHS196594:HHW196594 HRO196594:HRS196594 IBK196594:IBO196594 ILG196594:ILK196594 IVC196594:IVG196594 JEY196594:JFC196594 JOU196594:JOY196594 JYQ196594:JYU196594 KIM196594:KIQ196594 KSI196594:KSM196594 LCE196594:LCI196594 LMA196594:LME196594 LVW196594:LWA196594 MFS196594:MFW196594 MPO196594:MPS196594 MZK196594:MZO196594 NJG196594:NJK196594 NTC196594:NTG196594 OCY196594:ODC196594 OMU196594:OMY196594 OWQ196594:OWU196594 PGM196594:PGQ196594 PQI196594:PQM196594 QAE196594:QAI196594 QKA196594:QKE196594 QTW196594:QUA196594 RDS196594:RDW196594 RNO196594:RNS196594 RXK196594:RXO196594 SHG196594:SHK196594 SRC196594:SRG196594 TAY196594:TBC196594 TKU196594:TKY196594 TUQ196594:TUU196594 UEM196594:UEQ196594 UOI196594:UOM196594 UYE196594:UYI196594 VIA196594:VIE196594 VRW196594:VSA196594 WBS196594:WBW196594 WLO196594:WLS196594 WVK196594:WVO196594 C262127:G262127 IY262130:JC262130 SU262130:SY262130 ACQ262130:ACU262130 AMM262130:AMQ262130 AWI262130:AWM262130 BGE262130:BGI262130 BQA262130:BQE262130 BZW262130:CAA262130 CJS262130:CJW262130 CTO262130:CTS262130 DDK262130:DDO262130 DNG262130:DNK262130 DXC262130:DXG262130 EGY262130:EHC262130 EQU262130:EQY262130 FAQ262130:FAU262130 FKM262130:FKQ262130 FUI262130:FUM262130 GEE262130:GEI262130 GOA262130:GOE262130 GXW262130:GYA262130 HHS262130:HHW262130 HRO262130:HRS262130 IBK262130:IBO262130 ILG262130:ILK262130 IVC262130:IVG262130 JEY262130:JFC262130 JOU262130:JOY262130 JYQ262130:JYU262130 KIM262130:KIQ262130 KSI262130:KSM262130 LCE262130:LCI262130 LMA262130:LME262130 LVW262130:LWA262130 MFS262130:MFW262130 MPO262130:MPS262130 MZK262130:MZO262130 NJG262130:NJK262130 NTC262130:NTG262130 OCY262130:ODC262130 OMU262130:OMY262130 OWQ262130:OWU262130 PGM262130:PGQ262130 PQI262130:PQM262130 QAE262130:QAI262130 QKA262130:QKE262130 QTW262130:QUA262130 RDS262130:RDW262130 RNO262130:RNS262130 RXK262130:RXO262130 SHG262130:SHK262130 SRC262130:SRG262130 TAY262130:TBC262130 TKU262130:TKY262130 TUQ262130:TUU262130 UEM262130:UEQ262130 UOI262130:UOM262130 UYE262130:UYI262130 VIA262130:VIE262130 VRW262130:VSA262130 WBS262130:WBW262130 WLO262130:WLS262130 WVK262130:WVO262130 C327663:G327663 IY327666:JC327666 SU327666:SY327666 ACQ327666:ACU327666 AMM327666:AMQ327666 AWI327666:AWM327666 BGE327666:BGI327666 BQA327666:BQE327666 BZW327666:CAA327666 CJS327666:CJW327666 CTO327666:CTS327666 DDK327666:DDO327666 DNG327666:DNK327666 DXC327666:DXG327666 EGY327666:EHC327666 EQU327666:EQY327666 FAQ327666:FAU327666 FKM327666:FKQ327666 FUI327666:FUM327666 GEE327666:GEI327666 GOA327666:GOE327666 GXW327666:GYA327666 HHS327666:HHW327666 HRO327666:HRS327666 IBK327666:IBO327666 ILG327666:ILK327666 IVC327666:IVG327666 JEY327666:JFC327666 JOU327666:JOY327666 JYQ327666:JYU327666 KIM327666:KIQ327666 KSI327666:KSM327666 LCE327666:LCI327666 LMA327666:LME327666 LVW327666:LWA327666 MFS327666:MFW327666 MPO327666:MPS327666 MZK327666:MZO327666 NJG327666:NJK327666 NTC327666:NTG327666 OCY327666:ODC327666 OMU327666:OMY327666 OWQ327666:OWU327666 PGM327666:PGQ327666 PQI327666:PQM327666 QAE327666:QAI327666 QKA327666:QKE327666 QTW327666:QUA327666 RDS327666:RDW327666 RNO327666:RNS327666 RXK327666:RXO327666 SHG327666:SHK327666 SRC327666:SRG327666 TAY327666:TBC327666 TKU327666:TKY327666 TUQ327666:TUU327666 UEM327666:UEQ327666 UOI327666:UOM327666 UYE327666:UYI327666 VIA327666:VIE327666 VRW327666:VSA327666 WBS327666:WBW327666 WLO327666:WLS327666 WVK327666:WVO327666 C393199:G393199 IY393202:JC393202 SU393202:SY393202 ACQ393202:ACU393202 AMM393202:AMQ393202 AWI393202:AWM393202 BGE393202:BGI393202 BQA393202:BQE393202 BZW393202:CAA393202 CJS393202:CJW393202 CTO393202:CTS393202 DDK393202:DDO393202 DNG393202:DNK393202 DXC393202:DXG393202 EGY393202:EHC393202 EQU393202:EQY393202 FAQ393202:FAU393202 FKM393202:FKQ393202 FUI393202:FUM393202 GEE393202:GEI393202 GOA393202:GOE393202 GXW393202:GYA393202 HHS393202:HHW393202 HRO393202:HRS393202 IBK393202:IBO393202 ILG393202:ILK393202 IVC393202:IVG393202 JEY393202:JFC393202 JOU393202:JOY393202 JYQ393202:JYU393202 KIM393202:KIQ393202 KSI393202:KSM393202 LCE393202:LCI393202 LMA393202:LME393202 LVW393202:LWA393202 MFS393202:MFW393202 MPO393202:MPS393202 MZK393202:MZO393202 NJG393202:NJK393202 NTC393202:NTG393202 OCY393202:ODC393202 OMU393202:OMY393202 OWQ393202:OWU393202 PGM393202:PGQ393202 PQI393202:PQM393202 QAE393202:QAI393202 QKA393202:QKE393202 QTW393202:QUA393202 RDS393202:RDW393202 RNO393202:RNS393202 RXK393202:RXO393202 SHG393202:SHK393202 SRC393202:SRG393202 TAY393202:TBC393202 TKU393202:TKY393202 TUQ393202:TUU393202 UEM393202:UEQ393202 UOI393202:UOM393202 UYE393202:UYI393202 VIA393202:VIE393202 VRW393202:VSA393202 WBS393202:WBW393202 WLO393202:WLS393202 WVK393202:WVO393202 C458735:G458735 IY458738:JC458738 SU458738:SY458738 ACQ458738:ACU458738 AMM458738:AMQ458738 AWI458738:AWM458738 BGE458738:BGI458738 BQA458738:BQE458738 BZW458738:CAA458738 CJS458738:CJW458738 CTO458738:CTS458738 DDK458738:DDO458738 DNG458738:DNK458738 DXC458738:DXG458738 EGY458738:EHC458738 EQU458738:EQY458738 FAQ458738:FAU458738 FKM458738:FKQ458738 FUI458738:FUM458738 GEE458738:GEI458738 GOA458738:GOE458738 GXW458738:GYA458738 HHS458738:HHW458738 HRO458738:HRS458738 IBK458738:IBO458738 ILG458738:ILK458738 IVC458738:IVG458738 JEY458738:JFC458738 JOU458738:JOY458738 JYQ458738:JYU458738 KIM458738:KIQ458738 KSI458738:KSM458738 LCE458738:LCI458738 LMA458738:LME458738 LVW458738:LWA458738 MFS458738:MFW458738 MPO458738:MPS458738 MZK458738:MZO458738 NJG458738:NJK458738 NTC458738:NTG458738 OCY458738:ODC458738 OMU458738:OMY458738 OWQ458738:OWU458738 PGM458738:PGQ458738 PQI458738:PQM458738 QAE458738:QAI458738 QKA458738:QKE458738 QTW458738:QUA458738 RDS458738:RDW458738 RNO458738:RNS458738 RXK458738:RXO458738 SHG458738:SHK458738 SRC458738:SRG458738 TAY458738:TBC458738 TKU458738:TKY458738 TUQ458738:TUU458738 UEM458738:UEQ458738 UOI458738:UOM458738 UYE458738:UYI458738 VIA458738:VIE458738 VRW458738:VSA458738 WBS458738:WBW458738 WLO458738:WLS458738 WVK458738:WVO458738 C524271:G524271 IY524274:JC524274 SU524274:SY524274 ACQ524274:ACU524274 AMM524274:AMQ524274 AWI524274:AWM524274 BGE524274:BGI524274 BQA524274:BQE524274 BZW524274:CAA524274 CJS524274:CJW524274 CTO524274:CTS524274 DDK524274:DDO524274 DNG524274:DNK524274 DXC524274:DXG524274 EGY524274:EHC524274 EQU524274:EQY524274 FAQ524274:FAU524274 FKM524274:FKQ524274 FUI524274:FUM524274 GEE524274:GEI524274 GOA524274:GOE524274 GXW524274:GYA524274 HHS524274:HHW524274 HRO524274:HRS524274 IBK524274:IBO524274 ILG524274:ILK524274 IVC524274:IVG524274 JEY524274:JFC524274 JOU524274:JOY524274 JYQ524274:JYU524274 KIM524274:KIQ524274 KSI524274:KSM524274 LCE524274:LCI524274 LMA524274:LME524274 LVW524274:LWA524274 MFS524274:MFW524274 MPO524274:MPS524274 MZK524274:MZO524274 NJG524274:NJK524274 NTC524274:NTG524274 OCY524274:ODC524274 OMU524274:OMY524274 OWQ524274:OWU524274 PGM524274:PGQ524274 PQI524274:PQM524274 QAE524274:QAI524274 QKA524274:QKE524274 QTW524274:QUA524274 RDS524274:RDW524274 RNO524274:RNS524274 RXK524274:RXO524274 SHG524274:SHK524274 SRC524274:SRG524274 TAY524274:TBC524274 TKU524274:TKY524274 TUQ524274:TUU524274 UEM524274:UEQ524274 UOI524274:UOM524274 UYE524274:UYI524274 VIA524274:VIE524274 VRW524274:VSA524274 WBS524274:WBW524274 WLO524274:WLS524274 WVK524274:WVO524274 C589807:G589807 IY589810:JC589810 SU589810:SY589810 ACQ589810:ACU589810 AMM589810:AMQ589810 AWI589810:AWM589810 BGE589810:BGI589810 BQA589810:BQE589810 BZW589810:CAA589810 CJS589810:CJW589810 CTO589810:CTS589810 DDK589810:DDO589810 DNG589810:DNK589810 DXC589810:DXG589810 EGY589810:EHC589810 EQU589810:EQY589810 FAQ589810:FAU589810 FKM589810:FKQ589810 FUI589810:FUM589810 GEE589810:GEI589810 GOA589810:GOE589810 GXW589810:GYA589810 HHS589810:HHW589810 HRO589810:HRS589810 IBK589810:IBO589810 ILG589810:ILK589810 IVC589810:IVG589810 JEY589810:JFC589810 JOU589810:JOY589810 JYQ589810:JYU589810 KIM589810:KIQ589810 KSI589810:KSM589810 LCE589810:LCI589810 LMA589810:LME589810 LVW589810:LWA589810 MFS589810:MFW589810 MPO589810:MPS589810 MZK589810:MZO589810 NJG589810:NJK589810 NTC589810:NTG589810 OCY589810:ODC589810 OMU589810:OMY589810 OWQ589810:OWU589810 PGM589810:PGQ589810 PQI589810:PQM589810 QAE589810:QAI589810 QKA589810:QKE589810 QTW589810:QUA589810 RDS589810:RDW589810 RNO589810:RNS589810 RXK589810:RXO589810 SHG589810:SHK589810 SRC589810:SRG589810 TAY589810:TBC589810 TKU589810:TKY589810 TUQ589810:TUU589810 UEM589810:UEQ589810 UOI589810:UOM589810 UYE589810:UYI589810 VIA589810:VIE589810 VRW589810:VSA589810 WBS589810:WBW589810 WLO589810:WLS589810 WVK589810:WVO589810 C655343:G655343 IY655346:JC655346 SU655346:SY655346 ACQ655346:ACU655346 AMM655346:AMQ655346 AWI655346:AWM655346 BGE655346:BGI655346 BQA655346:BQE655346 BZW655346:CAA655346 CJS655346:CJW655346 CTO655346:CTS655346 DDK655346:DDO655346 DNG655346:DNK655346 DXC655346:DXG655346 EGY655346:EHC655346 EQU655346:EQY655346 FAQ655346:FAU655346 FKM655346:FKQ655346 FUI655346:FUM655346 GEE655346:GEI655346 GOA655346:GOE655346 GXW655346:GYA655346 HHS655346:HHW655346 HRO655346:HRS655346 IBK655346:IBO655346 ILG655346:ILK655346 IVC655346:IVG655346 JEY655346:JFC655346 JOU655346:JOY655346 JYQ655346:JYU655346 KIM655346:KIQ655346 KSI655346:KSM655346 LCE655346:LCI655346 LMA655346:LME655346 LVW655346:LWA655346 MFS655346:MFW655346 MPO655346:MPS655346 MZK655346:MZO655346 NJG655346:NJK655346 NTC655346:NTG655346 OCY655346:ODC655346 OMU655346:OMY655346 OWQ655346:OWU655346 PGM655346:PGQ655346 PQI655346:PQM655346 QAE655346:QAI655346 QKA655346:QKE655346 QTW655346:QUA655346 RDS655346:RDW655346 RNO655346:RNS655346 RXK655346:RXO655346 SHG655346:SHK655346 SRC655346:SRG655346 TAY655346:TBC655346 TKU655346:TKY655346 TUQ655346:TUU655346 UEM655346:UEQ655346 UOI655346:UOM655346 UYE655346:UYI655346 VIA655346:VIE655346 VRW655346:VSA655346 WBS655346:WBW655346 WLO655346:WLS655346 WVK655346:WVO655346 C720879:G720879 IY720882:JC720882 SU720882:SY720882 ACQ720882:ACU720882 AMM720882:AMQ720882 AWI720882:AWM720882 BGE720882:BGI720882 BQA720882:BQE720882 BZW720882:CAA720882 CJS720882:CJW720882 CTO720882:CTS720882 DDK720882:DDO720882 DNG720882:DNK720882 DXC720882:DXG720882 EGY720882:EHC720882 EQU720882:EQY720882 FAQ720882:FAU720882 FKM720882:FKQ720882 FUI720882:FUM720882 GEE720882:GEI720882 GOA720882:GOE720882 GXW720882:GYA720882 HHS720882:HHW720882 HRO720882:HRS720882 IBK720882:IBO720882 ILG720882:ILK720882 IVC720882:IVG720882 JEY720882:JFC720882 JOU720882:JOY720882 JYQ720882:JYU720882 KIM720882:KIQ720882 KSI720882:KSM720882 LCE720882:LCI720882 LMA720882:LME720882 LVW720882:LWA720882 MFS720882:MFW720882 MPO720882:MPS720882 MZK720882:MZO720882 NJG720882:NJK720882 NTC720882:NTG720882 OCY720882:ODC720882 OMU720882:OMY720882 OWQ720882:OWU720882 PGM720882:PGQ720882 PQI720882:PQM720882 QAE720882:QAI720882 QKA720882:QKE720882 QTW720882:QUA720882 RDS720882:RDW720882 RNO720882:RNS720882 RXK720882:RXO720882 SHG720882:SHK720882 SRC720882:SRG720882 TAY720882:TBC720882 TKU720882:TKY720882 TUQ720882:TUU720882 UEM720882:UEQ720882 UOI720882:UOM720882 UYE720882:UYI720882 VIA720882:VIE720882 VRW720882:VSA720882 WBS720882:WBW720882 WLO720882:WLS720882 WVK720882:WVO720882 C786415:G786415 IY786418:JC786418 SU786418:SY786418 ACQ786418:ACU786418 AMM786418:AMQ786418 AWI786418:AWM786418 BGE786418:BGI786418 BQA786418:BQE786418 BZW786418:CAA786418 CJS786418:CJW786418 CTO786418:CTS786418 DDK786418:DDO786418 DNG786418:DNK786418 DXC786418:DXG786418 EGY786418:EHC786418 EQU786418:EQY786418 FAQ786418:FAU786418 FKM786418:FKQ786418 FUI786418:FUM786418 GEE786418:GEI786418 GOA786418:GOE786418 GXW786418:GYA786418 HHS786418:HHW786418 HRO786418:HRS786418 IBK786418:IBO786418 ILG786418:ILK786418 IVC786418:IVG786418 JEY786418:JFC786418 JOU786418:JOY786418 JYQ786418:JYU786418 KIM786418:KIQ786418 KSI786418:KSM786418 LCE786418:LCI786418 LMA786418:LME786418 LVW786418:LWA786418 MFS786418:MFW786418 MPO786418:MPS786418 MZK786418:MZO786418 NJG786418:NJK786418 NTC786418:NTG786418 OCY786418:ODC786418 OMU786418:OMY786418 OWQ786418:OWU786418 PGM786418:PGQ786418 PQI786418:PQM786418 QAE786418:QAI786418 QKA786418:QKE786418 QTW786418:QUA786418 RDS786418:RDW786418 RNO786418:RNS786418 RXK786418:RXO786418 SHG786418:SHK786418 SRC786418:SRG786418 TAY786418:TBC786418 TKU786418:TKY786418 TUQ786418:TUU786418 UEM786418:UEQ786418 UOI786418:UOM786418 UYE786418:UYI786418 VIA786418:VIE786418 VRW786418:VSA786418 WBS786418:WBW786418 WLO786418:WLS786418 WVK786418:WVO786418 C851951:G851951 IY851954:JC851954 SU851954:SY851954 ACQ851954:ACU851954 AMM851954:AMQ851954 AWI851954:AWM851954 BGE851954:BGI851954 BQA851954:BQE851954 BZW851954:CAA851954 CJS851954:CJW851954 CTO851954:CTS851954 DDK851954:DDO851954 DNG851954:DNK851954 DXC851954:DXG851954 EGY851954:EHC851954 EQU851954:EQY851954 FAQ851954:FAU851954 FKM851954:FKQ851954 FUI851954:FUM851954 GEE851954:GEI851954 GOA851954:GOE851954 GXW851954:GYA851954 HHS851954:HHW851954 HRO851954:HRS851954 IBK851954:IBO851954 ILG851954:ILK851954 IVC851954:IVG851954 JEY851954:JFC851954 JOU851954:JOY851954 JYQ851954:JYU851954 KIM851954:KIQ851954 KSI851954:KSM851954 LCE851954:LCI851954 LMA851954:LME851954 LVW851954:LWA851954 MFS851954:MFW851954 MPO851954:MPS851954 MZK851954:MZO851954 NJG851954:NJK851954 NTC851954:NTG851954 OCY851954:ODC851954 OMU851954:OMY851954 OWQ851954:OWU851954 PGM851954:PGQ851954 PQI851954:PQM851954 QAE851954:QAI851954 QKA851954:QKE851954 QTW851954:QUA851954 RDS851954:RDW851954 RNO851954:RNS851954 RXK851954:RXO851954 SHG851954:SHK851954 SRC851954:SRG851954 TAY851954:TBC851954 TKU851954:TKY851954 TUQ851954:TUU851954 UEM851954:UEQ851954 UOI851954:UOM851954 UYE851954:UYI851954 VIA851954:VIE851954 VRW851954:VSA851954 WBS851954:WBW851954 WLO851954:WLS851954 WVK851954:WVO851954 C917487:G917487 IY917490:JC917490 SU917490:SY917490 ACQ917490:ACU917490 AMM917490:AMQ917490 AWI917490:AWM917490 BGE917490:BGI917490 BQA917490:BQE917490 BZW917490:CAA917490 CJS917490:CJW917490 CTO917490:CTS917490 DDK917490:DDO917490 DNG917490:DNK917490 DXC917490:DXG917490 EGY917490:EHC917490 EQU917490:EQY917490 FAQ917490:FAU917490 FKM917490:FKQ917490 FUI917490:FUM917490 GEE917490:GEI917490 GOA917490:GOE917490 GXW917490:GYA917490 HHS917490:HHW917490 HRO917490:HRS917490 IBK917490:IBO917490 ILG917490:ILK917490 IVC917490:IVG917490 JEY917490:JFC917490 JOU917490:JOY917490 JYQ917490:JYU917490 KIM917490:KIQ917490 KSI917490:KSM917490 LCE917490:LCI917490 LMA917490:LME917490 LVW917490:LWA917490 MFS917490:MFW917490 MPO917490:MPS917490 MZK917490:MZO917490 NJG917490:NJK917490 NTC917490:NTG917490 OCY917490:ODC917490 OMU917490:OMY917490 OWQ917490:OWU917490 PGM917490:PGQ917490 PQI917490:PQM917490 QAE917490:QAI917490 QKA917490:QKE917490 QTW917490:QUA917490 RDS917490:RDW917490 RNO917490:RNS917490 RXK917490:RXO917490 SHG917490:SHK917490 SRC917490:SRG917490 TAY917490:TBC917490 TKU917490:TKY917490 TUQ917490:TUU917490 UEM917490:UEQ917490 UOI917490:UOM917490 UYE917490:UYI917490 VIA917490:VIE917490 VRW917490:VSA917490 WBS917490:WBW917490 WLO917490:WLS917490 WVK917490:WVO917490 C983023:G983023 IY983026:JC983026 SU983026:SY983026 ACQ983026:ACU983026 AMM983026:AMQ983026 AWI983026:AWM983026 BGE983026:BGI983026 BQA983026:BQE983026 BZW983026:CAA983026 CJS983026:CJW983026 CTO983026:CTS983026 DDK983026:DDO983026 DNG983026:DNK983026 DXC983026:DXG983026 EGY983026:EHC983026 EQU983026:EQY983026 FAQ983026:FAU983026 FKM983026:FKQ983026 FUI983026:FUM983026 GEE983026:GEI983026 GOA983026:GOE983026 GXW983026:GYA983026 HHS983026:HHW983026 HRO983026:HRS983026 IBK983026:IBO983026 ILG983026:ILK983026 IVC983026:IVG983026 JEY983026:JFC983026 JOU983026:JOY983026 JYQ983026:JYU983026 KIM983026:KIQ983026 KSI983026:KSM983026 LCE983026:LCI983026 LMA983026:LME983026 LVW983026:LWA983026 MFS983026:MFW983026 MPO983026:MPS983026 MZK983026:MZO983026 NJG983026:NJK983026 NTC983026:NTG983026 OCY983026:ODC983026 OMU983026:OMY983026 OWQ983026:OWU983026 PGM983026:PGQ983026 PQI983026:PQM983026 QAE983026:QAI983026 QKA983026:QKE983026 QTW983026:QUA983026 RDS983026:RDW983026 RNO983026:RNS983026 RXK983026:RXO983026 SHG983026:SHK983026 SRC983026:SRG983026 TAY983026:TBC983026 TKU983026:TKY983026 TUQ983026:TUU983026 UEM983026:UEQ983026 UOI983026:UOM983026 UYE983026:UYI983026 VIA983026:VIE983026 VRW983026:VSA983026 WBS983026:WBW983026 WLO983026:WLS983026 WVK983026:WVO983026" xr:uid="{00000000-0002-0000-0000-000000000000}">
      <formula1>$I$21:$I$27</formula1>
      <formula2>0</formula2>
    </dataValidation>
    <dataValidation type="list" allowBlank="1" showErrorMessage="1" sqref="IY21:JC21 SU21:SY21 ACQ21:ACU21 AMM21:AMQ21 AWI21:AWM21 BGE21:BGI21 BQA21:BQE21 BZW21:CAA21 CJS21:CJW21 CTO21:CTS21 DDK21:DDO21 DNG21:DNK21 DXC21:DXG21 EGY21:EHC21 EQU21:EQY21 FAQ21:FAU21 FKM21:FKQ21 FUI21:FUM21 GEE21:GEI21 GOA21:GOE21 GXW21:GYA21 HHS21:HHW21 HRO21:HRS21 IBK21:IBO21 ILG21:ILK21 IVC21:IVG21 JEY21:JFC21 JOU21:JOY21 JYQ21:JYU21 KIM21:KIQ21 KSI21:KSM21 LCE21:LCI21 LMA21:LME21 LVW21:LWA21 MFS21:MFW21 MPO21:MPS21 MZK21:MZO21 NJG21:NJK21 NTC21:NTG21 OCY21:ODC21 OMU21:OMY21 OWQ21:OWU21 PGM21:PGQ21 PQI21:PQM21 QAE21:QAI21 QKA21:QKE21 QTW21:QUA21 RDS21:RDW21 RNO21:RNS21 RXK21:RXO21 SHG21:SHK21 SRC21:SRG21 TAY21:TBC21 TKU21:TKY21 TUQ21:TUU21 UEM21:UEQ21 UOI21:UOM21 UYE21:UYI21 VIA21:VIE21 VRW21:VSA21 WBS21:WBW21 WLO21:WLS21 WVK21:WVO21 C65527:G65527 IY65530:JC65530 SU65530:SY65530 ACQ65530:ACU65530 AMM65530:AMQ65530 AWI65530:AWM65530 BGE65530:BGI65530 BQA65530:BQE65530 BZW65530:CAA65530 CJS65530:CJW65530 CTO65530:CTS65530 DDK65530:DDO65530 DNG65530:DNK65530 DXC65530:DXG65530 EGY65530:EHC65530 EQU65530:EQY65530 FAQ65530:FAU65530 FKM65530:FKQ65530 FUI65530:FUM65530 GEE65530:GEI65530 GOA65530:GOE65530 GXW65530:GYA65530 HHS65530:HHW65530 HRO65530:HRS65530 IBK65530:IBO65530 ILG65530:ILK65530 IVC65530:IVG65530 JEY65530:JFC65530 JOU65530:JOY65530 JYQ65530:JYU65530 KIM65530:KIQ65530 KSI65530:KSM65530 LCE65530:LCI65530 LMA65530:LME65530 LVW65530:LWA65530 MFS65530:MFW65530 MPO65530:MPS65530 MZK65530:MZO65530 NJG65530:NJK65530 NTC65530:NTG65530 OCY65530:ODC65530 OMU65530:OMY65530 OWQ65530:OWU65530 PGM65530:PGQ65530 PQI65530:PQM65530 QAE65530:QAI65530 QKA65530:QKE65530 QTW65530:QUA65530 RDS65530:RDW65530 RNO65530:RNS65530 RXK65530:RXO65530 SHG65530:SHK65530 SRC65530:SRG65530 TAY65530:TBC65530 TKU65530:TKY65530 TUQ65530:TUU65530 UEM65530:UEQ65530 UOI65530:UOM65530 UYE65530:UYI65530 VIA65530:VIE65530 VRW65530:VSA65530 WBS65530:WBW65530 WLO65530:WLS65530 WVK65530:WVO65530 C131063:G131063 IY131066:JC131066 SU131066:SY131066 ACQ131066:ACU131066 AMM131066:AMQ131066 AWI131066:AWM131066 BGE131066:BGI131066 BQA131066:BQE131066 BZW131066:CAA131066 CJS131066:CJW131066 CTO131066:CTS131066 DDK131066:DDO131066 DNG131066:DNK131066 DXC131066:DXG131066 EGY131066:EHC131066 EQU131066:EQY131066 FAQ131066:FAU131066 FKM131066:FKQ131066 FUI131066:FUM131066 GEE131066:GEI131066 GOA131066:GOE131066 GXW131066:GYA131066 HHS131066:HHW131066 HRO131066:HRS131066 IBK131066:IBO131066 ILG131066:ILK131066 IVC131066:IVG131066 JEY131066:JFC131066 JOU131066:JOY131066 JYQ131066:JYU131066 KIM131066:KIQ131066 KSI131066:KSM131066 LCE131066:LCI131066 LMA131066:LME131066 LVW131066:LWA131066 MFS131066:MFW131066 MPO131066:MPS131066 MZK131066:MZO131066 NJG131066:NJK131066 NTC131066:NTG131066 OCY131066:ODC131066 OMU131066:OMY131066 OWQ131066:OWU131066 PGM131066:PGQ131066 PQI131066:PQM131066 QAE131066:QAI131066 QKA131066:QKE131066 QTW131066:QUA131066 RDS131066:RDW131066 RNO131066:RNS131066 RXK131066:RXO131066 SHG131066:SHK131066 SRC131066:SRG131066 TAY131066:TBC131066 TKU131066:TKY131066 TUQ131066:TUU131066 UEM131066:UEQ131066 UOI131066:UOM131066 UYE131066:UYI131066 VIA131066:VIE131066 VRW131066:VSA131066 WBS131066:WBW131066 WLO131066:WLS131066 WVK131066:WVO131066 C196599:G196599 IY196602:JC196602 SU196602:SY196602 ACQ196602:ACU196602 AMM196602:AMQ196602 AWI196602:AWM196602 BGE196602:BGI196602 BQA196602:BQE196602 BZW196602:CAA196602 CJS196602:CJW196602 CTO196602:CTS196602 DDK196602:DDO196602 DNG196602:DNK196602 DXC196602:DXG196602 EGY196602:EHC196602 EQU196602:EQY196602 FAQ196602:FAU196602 FKM196602:FKQ196602 FUI196602:FUM196602 GEE196602:GEI196602 GOA196602:GOE196602 GXW196602:GYA196602 HHS196602:HHW196602 HRO196602:HRS196602 IBK196602:IBO196602 ILG196602:ILK196602 IVC196602:IVG196602 JEY196602:JFC196602 JOU196602:JOY196602 JYQ196602:JYU196602 KIM196602:KIQ196602 KSI196602:KSM196602 LCE196602:LCI196602 LMA196602:LME196602 LVW196602:LWA196602 MFS196602:MFW196602 MPO196602:MPS196602 MZK196602:MZO196602 NJG196602:NJK196602 NTC196602:NTG196602 OCY196602:ODC196602 OMU196602:OMY196602 OWQ196602:OWU196602 PGM196602:PGQ196602 PQI196602:PQM196602 QAE196602:QAI196602 QKA196602:QKE196602 QTW196602:QUA196602 RDS196602:RDW196602 RNO196602:RNS196602 RXK196602:RXO196602 SHG196602:SHK196602 SRC196602:SRG196602 TAY196602:TBC196602 TKU196602:TKY196602 TUQ196602:TUU196602 UEM196602:UEQ196602 UOI196602:UOM196602 UYE196602:UYI196602 VIA196602:VIE196602 VRW196602:VSA196602 WBS196602:WBW196602 WLO196602:WLS196602 WVK196602:WVO196602 C262135:G262135 IY262138:JC262138 SU262138:SY262138 ACQ262138:ACU262138 AMM262138:AMQ262138 AWI262138:AWM262138 BGE262138:BGI262138 BQA262138:BQE262138 BZW262138:CAA262138 CJS262138:CJW262138 CTO262138:CTS262138 DDK262138:DDO262138 DNG262138:DNK262138 DXC262138:DXG262138 EGY262138:EHC262138 EQU262138:EQY262138 FAQ262138:FAU262138 FKM262138:FKQ262138 FUI262138:FUM262138 GEE262138:GEI262138 GOA262138:GOE262138 GXW262138:GYA262138 HHS262138:HHW262138 HRO262138:HRS262138 IBK262138:IBO262138 ILG262138:ILK262138 IVC262138:IVG262138 JEY262138:JFC262138 JOU262138:JOY262138 JYQ262138:JYU262138 KIM262138:KIQ262138 KSI262138:KSM262138 LCE262138:LCI262138 LMA262138:LME262138 LVW262138:LWA262138 MFS262138:MFW262138 MPO262138:MPS262138 MZK262138:MZO262138 NJG262138:NJK262138 NTC262138:NTG262138 OCY262138:ODC262138 OMU262138:OMY262138 OWQ262138:OWU262138 PGM262138:PGQ262138 PQI262138:PQM262138 QAE262138:QAI262138 QKA262138:QKE262138 QTW262138:QUA262138 RDS262138:RDW262138 RNO262138:RNS262138 RXK262138:RXO262138 SHG262138:SHK262138 SRC262138:SRG262138 TAY262138:TBC262138 TKU262138:TKY262138 TUQ262138:TUU262138 UEM262138:UEQ262138 UOI262138:UOM262138 UYE262138:UYI262138 VIA262138:VIE262138 VRW262138:VSA262138 WBS262138:WBW262138 WLO262138:WLS262138 WVK262138:WVO262138 C327671:G327671 IY327674:JC327674 SU327674:SY327674 ACQ327674:ACU327674 AMM327674:AMQ327674 AWI327674:AWM327674 BGE327674:BGI327674 BQA327674:BQE327674 BZW327674:CAA327674 CJS327674:CJW327674 CTO327674:CTS327674 DDK327674:DDO327674 DNG327674:DNK327674 DXC327674:DXG327674 EGY327674:EHC327674 EQU327674:EQY327674 FAQ327674:FAU327674 FKM327674:FKQ327674 FUI327674:FUM327674 GEE327674:GEI327674 GOA327674:GOE327674 GXW327674:GYA327674 HHS327674:HHW327674 HRO327674:HRS327674 IBK327674:IBO327674 ILG327674:ILK327674 IVC327674:IVG327674 JEY327674:JFC327674 JOU327674:JOY327674 JYQ327674:JYU327674 KIM327674:KIQ327674 KSI327674:KSM327674 LCE327674:LCI327674 LMA327674:LME327674 LVW327674:LWA327674 MFS327674:MFW327674 MPO327674:MPS327674 MZK327674:MZO327674 NJG327674:NJK327674 NTC327674:NTG327674 OCY327674:ODC327674 OMU327674:OMY327674 OWQ327674:OWU327674 PGM327674:PGQ327674 PQI327674:PQM327674 QAE327674:QAI327674 QKA327674:QKE327674 QTW327674:QUA327674 RDS327674:RDW327674 RNO327674:RNS327674 RXK327674:RXO327674 SHG327674:SHK327674 SRC327674:SRG327674 TAY327674:TBC327674 TKU327674:TKY327674 TUQ327674:TUU327674 UEM327674:UEQ327674 UOI327674:UOM327674 UYE327674:UYI327674 VIA327674:VIE327674 VRW327674:VSA327674 WBS327674:WBW327674 WLO327674:WLS327674 WVK327674:WVO327674 C393207:G393207 IY393210:JC393210 SU393210:SY393210 ACQ393210:ACU393210 AMM393210:AMQ393210 AWI393210:AWM393210 BGE393210:BGI393210 BQA393210:BQE393210 BZW393210:CAA393210 CJS393210:CJW393210 CTO393210:CTS393210 DDK393210:DDO393210 DNG393210:DNK393210 DXC393210:DXG393210 EGY393210:EHC393210 EQU393210:EQY393210 FAQ393210:FAU393210 FKM393210:FKQ393210 FUI393210:FUM393210 GEE393210:GEI393210 GOA393210:GOE393210 GXW393210:GYA393210 HHS393210:HHW393210 HRO393210:HRS393210 IBK393210:IBO393210 ILG393210:ILK393210 IVC393210:IVG393210 JEY393210:JFC393210 JOU393210:JOY393210 JYQ393210:JYU393210 KIM393210:KIQ393210 KSI393210:KSM393210 LCE393210:LCI393210 LMA393210:LME393210 LVW393210:LWA393210 MFS393210:MFW393210 MPO393210:MPS393210 MZK393210:MZO393210 NJG393210:NJK393210 NTC393210:NTG393210 OCY393210:ODC393210 OMU393210:OMY393210 OWQ393210:OWU393210 PGM393210:PGQ393210 PQI393210:PQM393210 QAE393210:QAI393210 QKA393210:QKE393210 QTW393210:QUA393210 RDS393210:RDW393210 RNO393210:RNS393210 RXK393210:RXO393210 SHG393210:SHK393210 SRC393210:SRG393210 TAY393210:TBC393210 TKU393210:TKY393210 TUQ393210:TUU393210 UEM393210:UEQ393210 UOI393210:UOM393210 UYE393210:UYI393210 VIA393210:VIE393210 VRW393210:VSA393210 WBS393210:WBW393210 WLO393210:WLS393210 WVK393210:WVO393210 C458743:G458743 IY458746:JC458746 SU458746:SY458746 ACQ458746:ACU458746 AMM458746:AMQ458746 AWI458746:AWM458746 BGE458746:BGI458746 BQA458746:BQE458746 BZW458746:CAA458746 CJS458746:CJW458746 CTO458746:CTS458746 DDK458746:DDO458746 DNG458746:DNK458746 DXC458746:DXG458746 EGY458746:EHC458746 EQU458746:EQY458746 FAQ458746:FAU458746 FKM458746:FKQ458746 FUI458746:FUM458746 GEE458746:GEI458746 GOA458746:GOE458746 GXW458746:GYA458746 HHS458746:HHW458746 HRO458746:HRS458746 IBK458746:IBO458746 ILG458746:ILK458746 IVC458746:IVG458746 JEY458746:JFC458746 JOU458746:JOY458746 JYQ458746:JYU458746 KIM458746:KIQ458746 KSI458746:KSM458746 LCE458746:LCI458746 LMA458746:LME458746 LVW458746:LWA458746 MFS458746:MFW458746 MPO458746:MPS458746 MZK458746:MZO458746 NJG458746:NJK458746 NTC458746:NTG458746 OCY458746:ODC458746 OMU458746:OMY458746 OWQ458746:OWU458746 PGM458746:PGQ458746 PQI458746:PQM458746 QAE458746:QAI458746 QKA458746:QKE458746 QTW458746:QUA458746 RDS458746:RDW458746 RNO458746:RNS458746 RXK458746:RXO458746 SHG458746:SHK458746 SRC458746:SRG458746 TAY458746:TBC458746 TKU458746:TKY458746 TUQ458746:TUU458746 UEM458746:UEQ458746 UOI458746:UOM458746 UYE458746:UYI458746 VIA458746:VIE458746 VRW458746:VSA458746 WBS458746:WBW458746 WLO458746:WLS458746 WVK458746:WVO458746 C524279:G524279 IY524282:JC524282 SU524282:SY524282 ACQ524282:ACU524282 AMM524282:AMQ524282 AWI524282:AWM524282 BGE524282:BGI524282 BQA524282:BQE524282 BZW524282:CAA524282 CJS524282:CJW524282 CTO524282:CTS524282 DDK524282:DDO524282 DNG524282:DNK524282 DXC524282:DXG524282 EGY524282:EHC524282 EQU524282:EQY524282 FAQ524282:FAU524282 FKM524282:FKQ524282 FUI524282:FUM524282 GEE524282:GEI524282 GOA524282:GOE524282 GXW524282:GYA524282 HHS524282:HHW524282 HRO524282:HRS524282 IBK524282:IBO524282 ILG524282:ILK524282 IVC524282:IVG524282 JEY524282:JFC524282 JOU524282:JOY524282 JYQ524282:JYU524282 KIM524282:KIQ524282 KSI524282:KSM524282 LCE524282:LCI524282 LMA524282:LME524282 LVW524282:LWA524282 MFS524282:MFW524282 MPO524282:MPS524282 MZK524282:MZO524282 NJG524282:NJK524282 NTC524282:NTG524282 OCY524282:ODC524282 OMU524282:OMY524282 OWQ524282:OWU524282 PGM524282:PGQ524282 PQI524282:PQM524282 QAE524282:QAI524282 QKA524282:QKE524282 QTW524282:QUA524282 RDS524282:RDW524282 RNO524282:RNS524282 RXK524282:RXO524282 SHG524282:SHK524282 SRC524282:SRG524282 TAY524282:TBC524282 TKU524282:TKY524282 TUQ524282:TUU524282 UEM524282:UEQ524282 UOI524282:UOM524282 UYE524282:UYI524282 VIA524282:VIE524282 VRW524282:VSA524282 WBS524282:WBW524282 WLO524282:WLS524282 WVK524282:WVO524282 C589815:G589815 IY589818:JC589818 SU589818:SY589818 ACQ589818:ACU589818 AMM589818:AMQ589818 AWI589818:AWM589818 BGE589818:BGI589818 BQA589818:BQE589818 BZW589818:CAA589818 CJS589818:CJW589818 CTO589818:CTS589818 DDK589818:DDO589818 DNG589818:DNK589818 DXC589818:DXG589818 EGY589818:EHC589818 EQU589818:EQY589818 FAQ589818:FAU589818 FKM589818:FKQ589818 FUI589818:FUM589818 GEE589818:GEI589818 GOA589818:GOE589818 GXW589818:GYA589818 HHS589818:HHW589818 HRO589818:HRS589818 IBK589818:IBO589818 ILG589818:ILK589818 IVC589818:IVG589818 JEY589818:JFC589818 JOU589818:JOY589818 JYQ589818:JYU589818 KIM589818:KIQ589818 KSI589818:KSM589818 LCE589818:LCI589818 LMA589818:LME589818 LVW589818:LWA589818 MFS589818:MFW589818 MPO589818:MPS589818 MZK589818:MZO589818 NJG589818:NJK589818 NTC589818:NTG589818 OCY589818:ODC589818 OMU589818:OMY589818 OWQ589818:OWU589818 PGM589818:PGQ589818 PQI589818:PQM589818 QAE589818:QAI589818 QKA589818:QKE589818 QTW589818:QUA589818 RDS589818:RDW589818 RNO589818:RNS589818 RXK589818:RXO589818 SHG589818:SHK589818 SRC589818:SRG589818 TAY589818:TBC589818 TKU589818:TKY589818 TUQ589818:TUU589818 UEM589818:UEQ589818 UOI589818:UOM589818 UYE589818:UYI589818 VIA589818:VIE589818 VRW589818:VSA589818 WBS589818:WBW589818 WLO589818:WLS589818 WVK589818:WVO589818 C655351:G655351 IY655354:JC655354 SU655354:SY655354 ACQ655354:ACU655354 AMM655354:AMQ655354 AWI655354:AWM655354 BGE655354:BGI655354 BQA655354:BQE655354 BZW655354:CAA655354 CJS655354:CJW655354 CTO655354:CTS655354 DDK655354:DDO655354 DNG655354:DNK655354 DXC655354:DXG655354 EGY655354:EHC655354 EQU655354:EQY655354 FAQ655354:FAU655354 FKM655354:FKQ655354 FUI655354:FUM655354 GEE655354:GEI655354 GOA655354:GOE655354 GXW655354:GYA655354 HHS655354:HHW655354 HRO655354:HRS655354 IBK655354:IBO655354 ILG655354:ILK655354 IVC655354:IVG655354 JEY655354:JFC655354 JOU655354:JOY655354 JYQ655354:JYU655354 KIM655354:KIQ655354 KSI655354:KSM655354 LCE655354:LCI655354 LMA655354:LME655354 LVW655354:LWA655354 MFS655354:MFW655354 MPO655354:MPS655354 MZK655354:MZO655354 NJG655354:NJK655354 NTC655354:NTG655354 OCY655354:ODC655354 OMU655354:OMY655354 OWQ655354:OWU655354 PGM655354:PGQ655354 PQI655354:PQM655354 QAE655354:QAI655354 QKA655354:QKE655354 QTW655354:QUA655354 RDS655354:RDW655354 RNO655354:RNS655354 RXK655354:RXO655354 SHG655354:SHK655354 SRC655354:SRG655354 TAY655354:TBC655354 TKU655354:TKY655354 TUQ655354:TUU655354 UEM655354:UEQ655354 UOI655354:UOM655354 UYE655354:UYI655354 VIA655354:VIE655354 VRW655354:VSA655354 WBS655354:WBW655354 WLO655354:WLS655354 WVK655354:WVO655354 C720887:G720887 IY720890:JC720890 SU720890:SY720890 ACQ720890:ACU720890 AMM720890:AMQ720890 AWI720890:AWM720890 BGE720890:BGI720890 BQA720890:BQE720890 BZW720890:CAA720890 CJS720890:CJW720890 CTO720890:CTS720890 DDK720890:DDO720890 DNG720890:DNK720890 DXC720890:DXG720890 EGY720890:EHC720890 EQU720890:EQY720890 FAQ720890:FAU720890 FKM720890:FKQ720890 FUI720890:FUM720890 GEE720890:GEI720890 GOA720890:GOE720890 GXW720890:GYA720890 HHS720890:HHW720890 HRO720890:HRS720890 IBK720890:IBO720890 ILG720890:ILK720890 IVC720890:IVG720890 JEY720890:JFC720890 JOU720890:JOY720890 JYQ720890:JYU720890 KIM720890:KIQ720890 KSI720890:KSM720890 LCE720890:LCI720890 LMA720890:LME720890 LVW720890:LWA720890 MFS720890:MFW720890 MPO720890:MPS720890 MZK720890:MZO720890 NJG720890:NJK720890 NTC720890:NTG720890 OCY720890:ODC720890 OMU720890:OMY720890 OWQ720890:OWU720890 PGM720890:PGQ720890 PQI720890:PQM720890 QAE720890:QAI720890 QKA720890:QKE720890 QTW720890:QUA720890 RDS720890:RDW720890 RNO720890:RNS720890 RXK720890:RXO720890 SHG720890:SHK720890 SRC720890:SRG720890 TAY720890:TBC720890 TKU720890:TKY720890 TUQ720890:TUU720890 UEM720890:UEQ720890 UOI720890:UOM720890 UYE720890:UYI720890 VIA720890:VIE720890 VRW720890:VSA720890 WBS720890:WBW720890 WLO720890:WLS720890 WVK720890:WVO720890 C786423:G786423 IY786426:JC786426 SU786426:SY786426 ACQ786426:ACU786426 AMM786426:AMQ786426 AWI786426:AWM786426 BGE786426:BGI786426 BQA786426:BQE786426 BZW786426:CAA786426 CJS786426:CJW786426 CTO786426:CTS786426 DDK786426:DDO786426 DNG786426:DNK786426 DXC786426:DXG786426 EGY786426:EHC786426 EQU786426:EQY786426 FAQ786426:FAU786426 FKM786426:FKQ786426 FUI786426:FUM786426 GEE786426:GEI786426 GOA786426:GOE786426 GXW786426:GYA786426 HHS786426:HHW786426 HRO786426:HRS786426 IBK786426:IBO786426 ILG786426:ILK786426 IVC786426:IVG786426 JEY786426:JFC786426 JOU786426:JOY786426 JYQ786426:JYU786426 KIM786426:KIQ786426 KSI786426:KSM786426 LCE786426:LCI786426 LMA786426:LME786426 LVW786426:LWA786426 MFS786426:MFW786426 MPO786426:MPS786426 MZK786426:MZO786426 NJG786426:NJK786426 NTC786426:NTG786426 OCY786426:ODC786426 OMU786426:OMY786426 OWQ786426:OWU786426 PGM786426:PGQ786426 PQI786426:PQM786426 QAE786426:QAI786426 QKA786426:QKE786426 QTW786426:QUA786426 RDS786426:RDW786426 RNO786426:RNS786426 RXK786426:RXO786426 SHG786426:SHK786426 SRC786426:SRG786426 TAY786426:TBC786426 TKU786426:TKY786426 TUQ786426:TUU786426 UEM786426:UEQ786426 UOI786426:UOM786426 UYE786426:UYI786426 VIA786426:VIE786426 VRW786426:VSA786426 WBS786426:WBW786426 WLO786426:WLS786426 WVK786426:WVO786426 C851959:G851959 IY851962:JC851962 SU851962:SY851962 ACQ851962:ACU851962 AMM851962:AMQ851962 AWI851962:AWM851962 BGE851962:BGI851962 BQA851962:BQE851962 BZW851962:CAA851962 CJS851962:CJW851962 CTO851962:CTS851962 DDK851962:DDO851962 DNG851962:DNK851962 DXC851962:DXG851962 EGY851962:EHC851962 EQU851962:EQY851962 FAQ851962:FAU851962 FKM851962:FKQ851962 FUI851962:FUM851962 GEE851962:GEI851962 GOA851962:GOE851962 GXW851962:GYA851962 HHS851962:HHW851962 HRO851962:HRS851962 IBK851962:IBO851962 ILG851962:ILK851962 IVC851962:IVG851962 JEY851962:JFC851962 JOU851962:JOY851962 JYQ851962:JYU851962 KIM851962:KIQ851962 KSI851962:KSM851962 LCE851962:LCI851962 LMA851962:LME851962 LVW851962:LWA851962 MFS851962:MFW851962 MPO851962:MPS851962 MZK851962:MZO851962 NJG851962:NJK851962 NTC851962:NTG851962 OCY851962:ODC851962 OMU851962:OMY851962 OWQ851962:OWU851962 PGM851962:PGQ851962 PQI851962:PQM851962 QAE851962:QAI851962 QKA851962:QKE851962 QTW851962:QUA851962 RDS851962:RDW851962 RNO851962:RNS851962 RXK851962:RXO851962 SHG851962:SHK851962 SRC851962:SRG851962 TAY851962:TBC851962 TKU851962:TKY851962 TUQ851962:TUU851962 UEM851962:UEQ851962 UOI851962:UOM851962 UYE851962:UYI851962 VIA851962:VIE851962 VRW851962:VSA851962 WBS851962:WBW851962 WLO851962:WLS851962 WVK851962:WVO851962 C917495:G917495 IY917498:JC917498 SU917498:SY917498 ACQ917498:ACU917498 AMM917498:AMQ917498 AWI917498:AWM917498 BGE917498:BGI917498 BQA917498:BQE917498 BZW917498:CAA917498 CJS917498:CJW917498 CTO917498:CTS917498 DDK917498:DDO917498 DNG917498:DNK917498 DXC917498:DXG917498 EGY917498:EHC917498 EQU917498:EQY917498 FAQ917498:FAU917498 FKM917498:FKQ917498 FUI917498:FUM917498 GEE917498:GEI917498 GOA917498:GOE917498 GXW917498:GYA917498 HHS917498:HHW917498 HRO917498:HRS917498 IBK917498:IBO917498 ILG917498:ILK917498 IVC917498:IVG917498 JEY917498:JFC917498 JOU917498:JOY917498 JYQ917498:JYU917498 KIM917498:KIQ917498 KSI917498:KSM917498 LCE917498:LCI917498 LMA917498:LME917498 LVW917498:LWA917498 MFS917498:MFW917498 MPO917498:MPS917498 MZK917498:MZO917498 NJG917498:NJK917498 NTC917498:NTG917498 OCY917498:ODC917498 OMU917498:OMY917498 OWQ917498:OWU917498 PGM917498:PGQ917498 PQI917498:PQM917498 QAE917498:QAI917498 QKA917498:QKE917498 QTW917498:QUA917498 RDS917498:RDW917498 RNO917498:RNS917498 RXK917498:RXO917498 SHG917498:SHK917498 SRC917498:SRG917498 TAY917498:TBC917498 TKU917498:TKY917498 TUQ917498:TUU917498 UEM917498:UEQ917498 UOI917498:UOM917498 UYE917498:UYI917498 VIA917498:VIE917498 VRW917498:VSA917498 WBS917498:WBW917498 WLO917498:WLS917498 WVK917498:WVO917498 C983031:G983031 IY983034:JC983034 SU983034:SY983034 ACQ983034:ACU983034 AMM983034:AMQ983034 AWI983034:AWM983034 BGE983034:BGI983034 BQA983034:BQE983034 BZW983034:CAA983034 CJS983034:CJW983034 CTO983034:CTS983034 DDK983034:DDO983034 DNG983034:DNK983034 DXC983034:DXG983034 EGY983034:EHC983034 EQU983034:EQY983034 FAQ983034:FAU983034 FKM983034:FKQ983034 FUI983034:FUM983034 GEE983034:GEI983034 GOA983034:GOE983034 GXW983034:GYA983034 HHS983034:HHW983034 HRO983034:HRS983034 IBK983034:IBO983034 ILG983034:ILK983034 IVC983034:IVG983034 JEY983034:JFC983034 JOU983034:JOY983034 JYQ983034:JYU983034 KIM983034:KIQ983034 KSI983034:KSM983034 LCE983034:LCI983034 LMA983034:LME983034 LVW983034:LWA983034 MFS983034:MFW983034 MPO983034:MPS983034 MZK983034:MZO983034 NJG983034:NJK983034 NTC983034:NTG983034 OCY983034:ODC983034 OMU983034:OMY983034 OWQ983034:OWU983034 PGM983034:PGQ983034 PQI983034:PQM983034 QAE983034:QAI983034 QKA983034:QKE983034 QTW983034:QUA983034 RDS983034:RDW983034 RNO983034:RNS983034 RXK983034:RXO983034 SHG983034:SHK983034 SRC983034:SRG983034 TAY983034:TBC983034 TKU983034:TKY983034 TUQ983034:TUU983034 UEM983034:UEQ983034 UOI983034:UOM983034 UYE983034:UYI983034 VIA983034:VIE983034 VRW983034:VSA983034 WBS983034:WBW983034 WLO983034:WLS983034 WVK983034:WVO983034" xr:uid="{00000000-0002-0000-0000-000001000000}">
      <formula1>$T$48:$T$55</formula1>
      <formula2>0</formula2>
    </dataValidation>
    <dataValidation type="list" allowBlank="1" showErrorMessage="1" sqref="WVK983040 C65533 IY65536 SU65536 ACQ65536 AMM65536 AWI65536 BGE65536 BQA65536 BZW65536 CJS65536 CTO65536 DDK65536 DNG65536 DXC65536 EGY65536 EQU65536 FAQ65536 FKM65536 FUI65536 GEE65536 GOA65536 GXW65536 HHS65536 HRO65536 IBK65536 ILG65536 IVC65536 JEY65536 JOU65536 JYQ65536 KIM65536 KSI65536 LCE65536 LMA65536 LVW65536 MFS65536 MPO65536 MZK65536 NJG65536 NTC65536 OCY65536 OMU65536 OWQ65536 PGM65536 PQI65536 QAE65536 QKA65536 QTW65536 RDS65536 RNO65536 RXK65536 SHG65536 SRC65536 TAY65536 TKU65536 TUQ65536 UEM65536 UOI65536 UYE65536 VIA65536 VRW65536 WBS65536 WLO65536 WVK65536 C131069 IY131072 SU131072 ACQ131072 AMM131072 AWI131072 BGE131072 BQA131072 BZW131072 CJS131072 CTO131072 DDK131072 DNG131072 DXC131072 EGY131072 EQU131072 FAQ131072 FKM131072 FUI131072 GEE131072 GOA131072 GXW131072 HHS131072 HRO131072 IBK131072 ILG131072 IVC131072 JEY131072 JOU131072 JYQ131072 KIM131072 KSI131072 LCE131072 LMA131072 LVW131072 MFS131072 MPO131072 MZK131072 NJG131072 NTC131072 OCY131072 OMU131072 OWQ131072 PGM131072 PQI131072 QAE131072 QKA131072 QTW131072 RDS131072 RNO131072 RXK131072 SHG131072 SRC131072 TAY131072 TKU131072 TUQ131072 UEM131072 UOI131072 UYE131072 VIA131072 VRW131072 WBS131072 WLO131072 WVK131072 C196605 IY196608 SU196608 ACQ196608 AMM196608 AWI196608 BGE196608 BQA196608 BZW196608 CJS196608 CTO196608 DDK196608 DNG196608 DXC196608 EGY196608 EQU196608 FAQ196608 FKM196608 FUI196608 GEE196608 GOA196608 GXW196608 HHS196608 HRO196608 IBK196608 ILG196608 IVC196608 JEY196608 JOU196608 JYQ196608 KIM196608 KSI196608 LCE196608 LMA196608 LVW196608 MFS196608 MPO196608 MZK196608 NJG196608 NTC196608 OCY196608 OMU196608 OWQ196608 PGM196608 PQI196608 QAE196608 QKA196608 QTW196608 RDS196608 RNO196608 RXK196608 SHG196608 SRC196608 TAY196608 TKU196608 TUQ196608 UEM196608 UOI196608 UYE196608 VIA196608 VRW196608 WBS196608 WLO196608 WVK196608 C262141 IY262144 SU262144 ACQ262144 AMM262144 AWI262144 BGE262144 BQA262144 BZW262144 CJS262144 CTO262144 DDK262144 DNG262144 DXC262144 EGY262144 EQU262144 FAQ262144 FKM262144 FUI262144 GEE262144 GOA262144 GXW262144 HHS262144 HRO262144 IBK262144 ILG262144 IVC262144 JEY262144 JOU262144 JYQ262144 KIM262144 KSI262144 LCE262144 LMA262144 LVW262144 MFS262144 MPO262144 MZK262144 NJG262144 NTC262144 OCY262144 OMU262144 OWQ262144 PGM262144 PQI262144 QAE262144 QKA262144 QTW262144 RDS262144 RNO262144 RXK262144 SHG262144 SRC262144 TAY262144 TKU262144 TUQ262144 UEM262144 UOI262144 UYE262144 VIA262144 VRW262144 WBS262144 WLO262144 WVK262144 C327677 IY327680 SU327680 ACQ327680 AMM327680 AWI327680 BGE327680 BQA327680 BZW327680 CJS327680 CTO327680 DDK327680 DNG327680 DXC327680 EGY327680 EQU327680 FAQ327680 FKM327680 FUI327680 GEE327680 GOA327680 GXW327680 HHS327680 HRO327680 IBK327680 ILG327680 IVC327680 JEY327680 JOU327680 JYQ327680 KIM327680 KSI327680 LCE327680 LMA327680 LVW327680 MFS327680 MPO327680 MZK327680 NJG327680 NTC327680 OCY327680 OMU327680 OWQ327680 PGM327680 PQI327680 QAE327680 QKA327680 QTW327680 RDS327680 RNO327680 RXK327680 SHG327680 SRC327680 TAY327680 TKU327680 TUQ327680 UEM327680 UOI327680 UYE327680 VIA327680 VRW327680 WBS327680 WLO327680 WVK327680 C393213 IY393216 SU393216 ACQ393216 AMM393216 AWI393216 BGE393216 BQA393216 BZW393216 CJS393216 CTO393216 DDK393216 DNG393216 DXC393216 EGY393216 EQU393216 FAQ393216 FKM393216 FUI393216 GEE393216 GOA393216 GXW393216 HHS393216 HRO393216 IBK393216 ILG393216 IVC393216 JEY393216 JOU393216 JYQ393216 KIM393216 KSI393216 LCE393216 LMA393216 LVW393216 MFS393216 MPO393216 MZK393216 NJG393216 NTC393216 OCY393216 OMU393216 OWQ393216 PGM393216 PQI393216 QAE393216 QKA393216 QTW393216 RDS393216 RNO393216 RXK393216 SHG393216 SRC393216 TAY393216 TKU393216 TUQ393216 UEM393216 UOI393216 UYE393216 VIA393216 VRW393216 WBS393216 WLO393216 WVK393216 C458749 IY458752 SU458752 ACQ458752 AMM458752 AWI458752 BGE458752 BQA458752 BZW458752 CJS458752 CTO458752 DDK458752 DNG458752 DXC458752 EGY458752 EQU458752 FAQ458752 FKM458752 FUI458752 GEE458752 GOA458752 GXW458752 HHS458752 HRO458752 IBK458752 ILG458752 IVC458752 JEY458752 JOU458752 JYQ458752 KIM458752 KSI458752 LCE458752 LMA458752 LVW458752 MFS458752 MPO458752 MZK458752 NJG458752 NTC458752 OCY458752 OMU458752 OWQ458752 PGM458752 PQI458752 QAE458752 QKA458752 QTW458752 RDS458752 RNO458752 RXK458752 SHG458752 SRC458752 TAY458752 TKU458752 TUQ458752 UEM458752 UOI458752 UYE458752 VIA458752 VRW458752 WBS458752 WLO458752 WVK458752 C524285 IY524288 SU524288 ACQ524288 AMM524288 AWI524288 BGE524288 BQA524288 BZW524288 CJS524288 CTO524288 DDK524288 DNG524288 DXC524288 EGY524288 EQU524288 FAQ524288 FKM524288 FUI524288 GEE524288 GOA524288 GXW524288 HHS524288 HRO524288 IBK524288 ILG524288 IVC524288 JEY524288 JOU524288 JYQ524288 KIM524288 KSI524288 LCE524288 LMA524288 LVW524288 MFS524288 MPO524288 MZK524288 NJG524288 NTC524288 OCY524288 OMU524288 OWQ524288 PGM524288 PQI524288 QAE524288 QKA524288 QTW524288 RDS524288 RNO524288 RXK524288 SHG524288 SRC524288 TAY524288 TKU524288 TUQ524288 UEM524288 UOI524288 UYE524288 VIA524288 VRW524288 WBS524288 WLO524288 WVK524288 C589821 IY589824 SU589824 ACQ589824 AMM589824 AWI589824 BGE589824 BQA589824 BZW589824 CJS589824 CTO589824 DDK589824 DNG589824 DXC589824 EGY589824 EQU589824 FAQ589824 FKM589824 FUI589824 GEE589824 GOA589824 GXW589824 HHS589824 HRO589824 IBK589824 ILG589824 IVC589824 JEY589824 JOU589824 JYQ589824 KIM589824 KSI589824 LCE589824 LMA589824 LVW589824 MFS589824 MPO589824 MZK589824 NJG589824 NTC589824 OCY589824 OMU589824 OWQ589824 PGM589824 PQI589824 QAE589824 QKA589824 QTW589824 RDS589824 RNO589824 RXK589824 SHG589824 SRC589824 TAY589824 TKU589824 TUQ589824 UEM589824 UOI589824 UYE589824 VIA589824 VRW589824 WBS589824 WLO589824 WVK589824 C655357 IY655360 SU655360 ACQ655360 AMM655360 AWI655360 BGE655360 BQA655360 BZW655360 CJS655360 CTO655360 DDK655360 DNG655360 DXC655360 EGY655360 EQU655360 FAQ655360 FKM655360 FUI655360 GEE655360 GOA655360 GXW655360 HHS655360 HRO655360 IBK655360 ILG655360 IVC655360 JEY655360 JOU655360 JYQ655360 KIM655360 KSI655360 LCE655360 LMA655360 LVW655360 MFS655360 MPO655360 MZK655360 NJG655360 NTC655360 OCY655360 OMU655360 OWQ655360 PGM655360 PQI655360 QAE655360 QKA655360 QTW655360 RDS655360 RNO655360 RXK655360 SHG655360 SRC655360 TAY655360 TKU655360 TUQ655360 UEM655360 UOI655360 UYE655360 VIA655360 VRW655360 WBS655360 WLO655360 WVK655360 C720893 IY720896 SU720896 ACQ720896 AMM720896 AWI720896 BGE720896 BQA720896 BZW720896 CJS720896 CTO720896 DDK720896 DNG720896 DXC720896 EGY720896 EQU720896 FAQ720896 FKM720896 FUI720896 GEE720896 GOA720896 GXW720896 HHS720896 HRO720896 IBK720896 ILG720896 IVC720896 JEY720896 JOU720896 JYQ720896 KIM720896 KSI720896 LCE720896 LMA720896 LVW720896 MFS720896 MPO720896 MZK720896 NJG720896 NTC720896 OCY720896 OMU720896 OWQ720896 PGM720896 PQI720896 QAE720896 QKA720896 QTW720896 RDS720896 RNO720896 RXK720896 SHG720896 SRC720896 TAY720896 TKU720896 TUQ720896 UEM720896 UOI720896 UYE720896 VIA720896 VRW720896 WBS720896 WLO720896 WVK720896 C786429 IY786432 SU786432 ACQ786432 AMM786432 AWI786432 BGE786432 BQA786432 BZW786432 CJS786432 CTO786432 DDK786432 DNG786432 DXC786432 EGY786432 EQU786432 FAQ786432 FKM786432 FUI786432 GEE786432 GOA786432 GXW786432 HHS786432 HRO786432 IBK786432 ILG786432 IVC786432 JEY786432 JOU786432 JYQ786432 KIM786432 KSI786432 LCE786432 LMA786432 LVW786432 MFS786432 MPO786432 MZK786432 NJG786432 NTC786432 OCY786432 OMU786432 OWQ786432 PGM786432 PQI786432 QAE786432 QKA786432 QTW786432 RDS786432 RNO786432 RXK786432 SHG786432 SRC786432 TAY786432 TKU786432 TUQ786432 UEM786432 UOI786432 UYE786432 VIA786432 VRW786432 WBS786432 WLO786432 WVK786432 C851965 IY851968 SU851968 ACQ851968 AMM851968 AWI851968 BGE851968 BQA851968 BZW851968 CJS851968 CTO851968 DDK851968 DNG851968 DXC851968 EGY851968 EQU851968 FAQ851968 FKM851968 FUI851968 GEE851968 GOA851968 GXW851968 HHS851968 HRO851968 IBK851968 ILG851968 IVC851968 JEY851968 JOU851968 JYQ851968 KIM851968 KSI851968 LCE851968 LMA851968 LVW851968 MFS851968 MPO851968 MZK851968 NJG851968 NTC851968 OCY851968 OMU851968 OWQ851968 PGM851968 PQI851968 QAE851968 QKA851968 QTW851968 RDS851968 RNO851968 RXK851968 SHG851968 SRC851968 TAY851968 TKU851968 TUQ851968 UEM851968 UOI851968 UYE851968 VIA851968 VRW851968 WBS851968 WLO851968 WVK851968 C917501 IY917504 SU917504 ACQ917504 AMM917504 AWI917504 BGE917504 BQA917504 BZW917504 CJS917504 CTO917504 DDK917504 DNG917504 DXC917504 EGY917504 EQU917504 FAQ917504 FKM917504 FUI917504 GEE917504 GOA917504 GXW917504 HHS917504 HRO917504 IBK917504 ILG917504 IVC917504 JEY917504 JOU917504 JYQ917504 KIM917504 KSI917504 LCE917504 LMA917504 LVW917504 MFS917504 MPO917504 MZK917504 NJG917504 NTC917504 OCY917504 OMU917504 OWQ917504 PGM917504 PQI917504 QAE917504 QKA917504 QTW917504 RDS917504 RNO917504 RXK917504 SHG917504 SRC917504 TAY917504 TKU917504 TUQ917504 UEM917504 UOI917504 UYE917504 VIA917504 VRW917504 WBS917504 WLO917504 WVK917504 C983037 IY983040 SU983040 ACQ983040 AMM983040 AWI983040 BGE983040 BQA983040 BZW983040 CJS983040 CTO983040 DDK983040 DNG983040 DXC983040 EGY983040 EQU983040 FAQ983040 FKM983040 FUI983040 GEE983040 GOA983040 GXW983040 HHS983040 HRO983040 IBK983040 ILG983040 IVC983040 JEY983040 JOU983040 JYQ983040 KIM983040 KSI983040 LCE983040 LMA983040 LVW983040 MFS983040 MPO983040 MZK983040 NJG983040 NTC983040 OCY983040 OMU983040 OWQ983040 PGM983040 PQI983040 QAE983040 QKA983040 QTW983040 RDS983040 RNO983040 RXK983040 SHG983040 SRC983040 TAY983040 TKU983040 TUQ983040 UEM983040 UOI983040 UYE983040 VIA983040 VRW983040 WBS983040 WLO983040" xr:uid="{00000000-0002-0000-0000-000002000000}">
      <formula1>"OPD,GOM,Engenharia"</formula1>
      <formula2>0</formula2>
    </dataValidation>
    <dataValidation type="decimal" allowBlank="1" showErrorMessage="1" sqref="IY28 SU28 ACQ28 AMM28 AWI28 BGE28 BQA28 BZW28 CJS28 CTO28 DDK28 DNG28 DXC28 EGY28 EQU28 FAQ28 FKM28 FUI28 GEE28 GOA28 GXW28 HHS28 HRO28 IBK28 ILG28 IVC28 JEY28 JOU28 JYQ28 KIM28 KSI28 LCE28 LMA28 LVW28 MFS28 MPO28 MZK28 NJG28 NTC28 OCY28 OMU28 OWQ28 PGM28 PQI28 QAE28 QKA28 QTW28 RDS28 RNO28 RXK28 SHG28 SRC28 TAY28 TKU28 TUQ28 UEM28 UOI28 UYE28 VIA28 VRW28 WBS28 WLO28 WVK28 C65536 IY65539 SU65539 ACQ65539 AMM65539 AWI65539 BGE65539 BQA65539 BZW65539 CJS65539 CTO65539 DDK65539 DNG65539 DXC65539 EGY65539 EQU65539 FAQ65539 FKM65539 FUI65539 GEE65539 GOA65539 GXW65539 HHS65539 HRO65539 IBK65539 ILG65539 IVC65539 JEY65539 JOU65539 JYQ65539 KIM65539 KSI65539 LCE65539 LMA65539 LVW65539 MFS65539 MPO65539 MZK65539 NJG65539 NTC65539 OCY65539 OMU65539 OWQ65539 PGM65539 PQI65539 QAE65539 QKA65539 QTW65539 RDS65539 RNO65539 RXK65539 SHG65539 SRC65539 TAY65539 TKU65539 TUQ65539 UEM65539 UOI65539 UYE65539 VIA65539 VRW65539 WBS65539 WLO65539 WVK65539 C131072 IY131075 SU131075 ACQ131075 AMM131075 AWI131075 BGE131075 BQA131075 BZW131075 CJS131075 CTO131075 DDK131075 DNG131075 DXC131075 EGY131075 EQU131075 FAQ131075 FKM131075 FUI131075 GEE131075 GOA131075 GXW131075 HHS131075 HRO131075 IBK131075 ILG131075 IVC131075 JEY131075 JOU131075 JYQ131075 KIM131075 KSI131075 LCE131075 LMA131075 LVW131075 MFS131075 MPO131075 MZK131075 NJG131075 NTC131075 OCY131075 OMU131075 OWQ131075 PGM131075 PQI131075 QAE131075 QKA131075 QTW131075 RDS131075 RNO131075 RXK131075 SHG131075 SRC131075 TAY131075 TKU131075 TUQ131075 UEM131075 UOI131075 UYE131075 VIA131075 VRW131075 WBS131075 WLO131075 WVK131075 C196608 IY196611 SU196611 ACQ196611 AMM196611 AWI196611 BGE196611 BQA196611 BZW196611 CJS196611 CTO196611 DDK196611 DNG196611 DXC196611 EGY196611 EQU196611 FAQ196611 FKM196611 FUI196611 GEE196611 GOA196611 GXW196611 HHS196611 HRO196611 IBK196611 ILG196611 IVC196611 JEY196611 JOU196611 JYQ196611 KIM196611 KSI196611 LCE196611 LMA196611 LVW196611 MFS196611 MPO196611 MZK196611 NJG196611 NTC196611 OCY196611 OMU196611 OWQ196611 PGM196611 PQI196611 QAE196611 QKA196611 QTW196611 RDS196611 RNO196611 RXK196611 SHG196611 SRC196611 TAY196611 TKU196611 TUQ196611 UEM196611 UOI196611 UYE196611 VIA196611 VRW196611 WBS196611 WLO196611 WVK196611 C262144 IY262147 SU262147 ACQ262147 AMM262147 AWI262147 BGE262147 BQA262147 BZW262147 CJS262147 CTO262147 DDK262147 DNG262147 DXC262147 EGY262147 EQU262147 FAQ262147 FKM262147 FUI262147 GEE262147 GOA262147 GXW262147 HHS262147 HRO262147 IBK262147 ILG262147 IVC262147 JEY262147 JOU262147 JYQ262147 KIM262147 KSI262147 LCE262147 LMA262147 LVW262147 MFS262147 MPO262147 MZK262147 NJG262147 NTC262147 OCY262147 OMU262147 OWQ262147 PGM262147 PQI262147 QAE262147 QKA262147 QTW262147 RDS262147 RNO262147 RXK262147 SHG262147 SRC262147 TAY262147 TKU262147 TUQ262147 UEM262147 UOI262147 UYE262147 VIA262147 VRW262147 WBS262147 WLO262147 WVK262147 C327680 IY327683 SU327683 ACQ327683 AMM327683 AWI327683 BGE327683 BQA327683 BZW327683 CJS327683 CTO327683 DDK327683 DNG327683 DXC327683 EGY327683 EQU327683 FAQ327683 FKM327683 FUI327683 GEE327683 GOA327683 GXW327683 HHS327683 HRO327683 IBK327683 ILG327683 IVC327683 JEY327683 JOU327683 JYQ327683 KIM327683 KSI327683 LCE327683 LMA327683 LVW327683 MFS327683 MPO327683 MZK327683 NJG327683 NTC327683 OCY327683 OMU327683 OWQ327683 PGM327683 PQI327683 QAE327683 QKA327683 QTW327683 RDS327683 RNO327683 RXK327683 SHG327683 SRC327683 TAY327683 TKU327683 TUQ327683 UEM327683 UOI327683 UYE327683 VIA327683 VRW327683 WBS327683 WLO327683 WVK327683 C393216 IY393219 SU393219 ACQ393219 AMM393219 AWI393219 BGE393219 BQA393219 BZW393219 CJS393219 CTO393219 DDK393219 DNG393219 DXC393219 EGY393219 EQU393219 FAQ393219 FKM393219 FUI393219 GEE393219 GOA393219 GXW393219 HHS393219 HRO393219 IBK393219 ILG393219 IVC393219 JEY393219 JOU393219 JYQ393219 KIM393219 KSI393219 LCE393219 LMA393219 LVW393219 MFS393219 MPO393219 MZK393219 NJG393219 NTC393219 OCY393219 OMU393219 OWQ393219 PGM393219 PQI393219 QAE393219 QKA393219 QTW393219 RDS393219 RNO393219 RXK393219 SHG393219 SRC393219 TAY393219 TKU393219 TUQ393219 UEM393219 UOI393219 UYE393219 VIA393219 VRW393219 WBS393219 WLO393219 WVK393219 C458752 IY458755 SU458755 ACQ458755 AMM458755 AWI458755 BGE458755 BQA458755 BZW458755 CJS458755 CTO458755 DDK458755 DNG458755 DXC458755 EGY458755 EQU458755 FAQ458755 FKM458755 FUI458755 GEE458755 GOA458755 GXW458755 HHS458755 HRO458755 IBK458755 ILG458755 IVC458755 JEY458755 JOU458755 JYQ458755 KIM458755 KSI458755 LCE458755 LMA458755 LVW458755 MFS458755 MPO458755 MZK458755 NJG458755 NTC458755 OCY458755 OMU458755 OWQ458755 PGM458755 PQI458755 QAE458755 QKA458755 QTW458755 RDS458755 RNO458755 RXK458755 SHG458755 SRC458755 TAY458755 TKU458755 TUQ458755 UEM458755 UOI458755 UYE458755 VIA458755 VRW458755 WBS458755 WLO458755 WVK458755 C524288 IY524291 SU524291 ACQ524291 AMM524291 AWI524291 BGE524291 BQA524291 BZW524291 CJS524291 CTO524291 DDK524291 DNG524291 DXC524291 EGY524291 EQU524291 FAQ524291 FKM524291 FUI524291 GEE524291 GOA524291 GXW524291 HHS524291 HRO524291 IBK524291 ILG524291 IVC524291 JEY524291 JOU524291 JYQ524291 KIM524291 KSI524291 LCE524291 LMA524291 LVW524291 MFS524291 MPO524291 MZK524291 NJG524291 NTC524291 OCY524291 OMU524291 OWQ524291 PGM524291 PQI524291 QAE524291 QKA524291 QTW524291 RDS524291 RNO524291 RXK524291 SHG524291 SRC524291 TAY524291 TKU524291 TUQ524291 UEM524291 UOI524291 UYE524291 VIA524291 VRW524291 WBS524291 WLO524291 WVK524291 C589824 IY589827 SU589827 ACQ589827 AMM589827 AWI589827 BGE589827 BQA589827 BZW589827 CJS589827 CTO589827 DDK589827 DNG589827 DXC589827 EGY589827 EQU589827 FAQ589827 FKM589827 FUI589827 GEE589827 GOA589827 GXW589827 HHS589827 HRO589827 IBK589827 ILG589827 IVC589827 JEY589827 JOU589827 JYQ589827 KIM589827 KSI589827 LCE589827 LMA589827 LVW589827 MFS589827 MPO589827 MZK589827 NJG589827 NTC589827 OCY589827 OMU589827 OWQ589827 PGM589827 PQI589827 QAE589827 QKA589827 QTW589827 RDS589827 RNO589827 RXK589827 SHG589827 SRC589827 TAY589827 TKU589827 TUQ589827 UEM589827 UOI589827 UYE589827 VIA589827 VRW589827 WBS589827 WLO589827 WVK589827 C655360 IY655363 SU655363 ACQ655363 AMM655363 AWI655363 BGE655363 BQA655363 BZW655363 CJS655363 CTO655363 DDK655363 DNG655363 DXC655363 EGY655363 EQU655363 FAQ655363 FKM655363 FUI655363 GEE655363 GOA655363 GXW655363 HHS655363 HRO655363 IBK655363 ILG655363 IVC655363 JEY655363 JOU655363 JYQ655363 KIM655363 KSI655363 LCE655363 LMA655363 LVW655363 MFS655363 MPO655363 MZK655363 NJG655363 NTC655363 OCY655363 OMU655363 OWQ655363 PGM655363 PQI655363 QAE655363 QKA655363 QTW655363 RDS655363 RNO655363 RXK655363 SHG655363 SRC655363 TAY655363 TKU655363 TUQ655363 UEM655363 UOI655363 UYE655363 VIA655363 VRW655363 WBS655363 WLO655363 WVK655363 C720896 IY720899 SU720899 ACQ720899 AMM720899 AWI720899 BGE720899 BQA720899 BZW720899 CJS720899 CTO720899 DDK720899 DNG720899 DXC720899 EGY720899 EQU720899 FAQ720899 FKM720899 FUI720899 GEE720899 GOA720899 GXW720899 HHS720899 HRO720899 IBK720899 ILG720899 IVC720899 JEY720899 JOU720899 JYQ720899 KIM720899 KSI720899 LCE720899 LMA720899 LVW720899 MFS720899 MPO720899 MZK720899 NJG720899 NTC720899 OCY720899 OMU720899 OWQ720899 PGM720899 PQI720899 QAE720899 QKA720899 QTW720899 RDS720899 RNO720899 RXK720899 SHG720899 SRC720899 TAY720899 TKU720899 TUQ720899 UEM720899 UOI720899 UYE720899 VIA720899 VRW720899 WBS720899 WLO720899 WVK720899 C786432 IY786435 SU786435 ACQ786435 AMM786435 AWI786435 BGE786435 BQA786435 BZW786435 CJS786435 CTO786435 DDK786435 DNG786435 DXC786435 EGY786435 EQU786435 FAQ786435 FKM786435 FUI786435 GEE786435 GOA786435 GXW786435 HHS786435 HRO786435 IBK786435 ILG786435 IVC786435 JEY786435 JOU786435 JYQ786435 KIM786435 KSI786435 LCE786435 LMA786435 LVW786435 MFS786435 MPO786435 MZK786435 NJG786435 NTC786435 OCY786435 OMU786435 OWQ786435 PGM786435 PQI786435 QAE786435 QKA786435 QTW786435 RDS786435 RNO786435 RXK786435 SHG786435 SRC786435 TAY786435 TKU786435 TUQ786435 UEM786435 UOI786435 UYE786435 VIA786435 VRW786435 WBS786435 WLO786435 WVK786435 C851968 IY851971 SU851971 ACQ851971 AMM851971 AWI851971 BGE851971 BQA851971 BZW851971 CJS851971 CTO851971 DDK851971 DNG851971 DXC851971 EGY851971 EQU851971 FAQ851971 FKM851971 FUI851971 GEE851971 GOA851971 GXW851971 HHS851971 HRO851971 IBK851971 ILG851971 IVC851971 JEY851971 JOU851971 JYQ851971 KIM851971 KSI851971 LCE851971 LMA851971 LVW851971 MFS851971 MPO851971 MZK851971 NJG851971 NTC851971 OCY851971 OMU851971 OWQ851971 PGM851971 PQI851971 QAE851971 QKA851971 QTW851971 RDS851971 RNO851971 RXK851971 SHG851971 SRC851971 TAY851971 TKU851971 TUQ851971 UEM851971 UOI851971 UYE851971 VIA851971 VRW851971 WBS851971 WLO851971 WVK851971 C917504 IY917507 SU917507 ACQ917507 AMM917507 AWI917507 BGE917507 BQA917507 BZW917507 CJS917507 CTO917507 DDK917507 DNG917507 DXC917507 EGY917507 EQU917507 FAQ917507 FKM917507 FUI917507 GEE917507 GOA917507 GXW917507 HHS917507 HRO917507 IBK917507 ILG917507 IVC917507 JEY917507 JOU917507 JYQ917507 KIM917507 KSI917507 LCE917507 LMA917507 LVW917507 MFS917507 MPO917507 MZK917507 NJG917507 NTC917507 OCY917507 OMU917507 OWQ917507 PGM917507 PQI917507 QAE917507 QKA917507 QTW917507 RDS917507 RNO917507 RXK917507 SHG917507 SRC917507 TAY917507 TKU917507 TUQ917507 UEM917507 UOI917507 UYE917507 VIA917507 VRW917507 WBS917507 WLO917507 WVK917507 C983040 IY983043 SU983043 ACQ983043 AMM983043 AWI983043 BGE983043 BQA983043 BZW983043 CJS983043 CTO983043 DDK983043 DNG983043 DXC983043 EGY983043 EQU983043 FAQ983043 FKM983043 FUI983043 GEE983043 GOA983043 GXW983043 HHS983043 HRO983043 IBK983043 ILG983043 IVC983043 JEY983043 JOU983043 JYQ983043 KIM983043 KSI983043 LCE983043 LMA983043 LVW983043 MFS983043 MPO983043 MZK983043 NJG983043 NTC983043 OCY983043 OMU983043 OWQ983043 PGM983043 PQI983043 QAE983043 QKA983043 QTW983043 RDS983043 RNO983043 RXK983043 SHG983043 SRC983043 TAY983043 TKU983043 TUQ983043 UEM983043 UOI983043 UYE983043 VIA983043 VRW983043 WBS983043 WLO983043 WVK983043 C65541:C65547 IY65544:IY65550 SU65544:SU65550 ACQ65544:ACQ65550 AMM65544:AMM65550 AWI65544:AWI65550 BGE65544:BGE65550 BQA65544:BQA65550 BZW65544:BZW65550 CJS65544:CJS65550 CTO65544:CTO65550 DDK65544:DDK65550 DNG65544:DNG65550 DXC65544:DXC65550 EGY65544:EGY65550 EQU65544:EQU65550 FAQ65544:FAQ65550 FKM65544:FKM65550 FUI65544:FUI65550 GEE65544:GEE65550 GOA65544:GOA65550 GXW65544:GXW65550 HHS65544:HHS65550 HRO65544:HRO65550 IBK65544:IBK65550 ILG65544:ILG65550 IVC65544:IVC65550 JEY65544:JEY65550 JOU65544:JOU65550 JYQ65544:JYQ65550 KIM65544:KIM65550 KSI65544:KSI65550 LCE65544:LCE65550 LMA65544:LMA65550 LVW65544:LVW65550 MFS65544:MFS65550 MPO65544:MPO65550 MZK65544:MZK65550 NJG65544:NJG65550 NTC65544:NTC65550 OCY65544:OCY65550 OMU65544:OMU65550 OWQ65544:OWQ65550 PGM65544:PGM65550 PQI65544:PQI65550 QAE65544:QAE65550 QKA65544:QKA65550 QTW65544:QTW65550 RDS65544:RDS65550 RNO65544:RNO65550 RXK65544:RXK65550 SHG65544:SHG65550 SRC65544:SRC65550 TAY65544:TAY65550 TKU65544:TKU65550 TUQ65544:TUQ65550 UEM65544:UEM65550 UOI65544:UOI65550 UYE65544:UYE65550 VIA65544:VIA65550 VRW65544:VRW65550 WBS65544:WBS65550 WLO65544:WLO65550 WVK65544:WVK65550 C131077:C131083 IY131080:IY131086 SU131080:SU131086 ACQ131080:ACQ131086 AMM131080:AMM131086 AWI131080:AWI131086 BGE131080:BGE131086 BQA131080:BQA131086 BZW131080:BZW131086 CJS131080:CJS131086 CTO131080:CTO131086 DDK131080:DDK131086 DNG131080:DNG131086 DXC131080:DXC131086 EGY131080:EGY131086 EQU131080:EQU131086 FAQ131080:FAQ131086 FKM131080:FKM131086 FUI131080:FUI131086 GEE131080:GEE131086 GOA131080:GOA131086 GXW131080:GXW131086 HHS131080:HHS131086 HRO131080:HRO131086 IBK131080:IBK131086 ILG131080:ILG131086 IVC131080:IVC131086 JEY131080:JEY131086 JOU131080:JOU131086 JYQ131080:JYQ131086 KIM131080:KIM131086 KSI131080:KSI131086 LCE131080:LCE131086 LMA131080:LMA131086 LVW131080:LVW131086 MFS131080:MFS131086 MPO131080:MPO131086 MZK131080:MZK131086 NJG131080:NJG131086 NTC131080:NTC131086 OCY131080:OCY131086 OMU131080:OMU131086 OWQ131080:OWQ131086 PGM131080:PGM131086 PQI131080:PQI131086 QAE131080:QAE131086 QKA131080:QKA131086 QTW131080:QTW131086 RDS131080:RDS131086 RNO131080:RNO131086 RXK131080:RXK131086 SHG131080:SHG131086 SRC131080:SRC131086 TAY131080:TAY131086 TKU131080:TKU131086 TUQ131080:TUQ131086 UEM131080:UEM131086 UOI131080:UOI131086 UYE131080:UYE131086 VIA131080:VIA131086 VRW131080:VRW131086 WBS131080:WBS131086 WLO131080:WLO131086 WVK131080:WVK131086 C196613:C196619 IY196616:IY196622 SU196616:SU196622 ACQ196616:ACQ196622 AMM196616:AMM196622 AWI196616:AWI196622 BGE196616:BGE196622 BQA196616:BQA196622 BZW196616:BZW196622 CJS196616:CJS196622 CTO196616:CTO196622 DDK196616:DDK196622 DNG196616:DNG196622 DXC196616:DXC196622 EGY196616:EGY196622 EQU196616:EQU196622 FAQ196616:FAQ196622 FKM196616:FKM196622 FUI196616:FUI196622 GEE196616:GEE196622 GOA196616:GOA196622 GXW196616:GXW196622 HHS196616:HHS196622 HRO196616:HRO196622 IBK196616:IBK196622 ILG196616:ILG196622 IVC196616:IVC196622 JEY196616:JEY196622 JOU196616:JOU196622 JYQ196616:JYQ196622 KIM196616:KIM196622 KSI196616:KSI196622 LCE196616:LCE196622 LMA196616:LMA196622 LVW196616:LVW196622 MFS196616:MFS196622 MPO196616:MPO196622 MZK196616:MZK196622 NJG196616:NJG196622 NTC196616:NTC196622 OCY196616:OCY196622 OMU196616:OMU196622 OWQ196616:OWQ196622 PGM196616:PGM196622 PQI196616:PQI196622 QAE196616:QAE196622 QKA196616:QKA196622 QTW196616:QTW196622 RDS196616:RDS196622 RNO196616:RNO196622 RXK196616:RXK196622 SHG196616:SHG196622 SRC196616:SRC196622 TAY196616:TAY196622 TKU196616:TKU196622 TUQ196616:TUQ196622 UEM196616:UEM196622 UOI196616:UOI196622 UYE196616:UYE196622 VIA196616:VIA196622 VRW196616:VRW196622 WBS196616:WBS196622 WLO196616:WLO196622 WVK196616:WVK196622 C262149:C262155 IY262152:IY262158 SU262152:SU262158 ACQ262152:ACQ262158 AMM262152:AMM262158 AWI262152:AWI262158 BGE262152:BGE262158 BQA262152:BQA262158 BZW262152:BZW262158 CJS262152:CJS262158 CTO262152:CTO262158 DDK262152:DDK262158 DNG262152:DNG262158 DXC262152:DXC262158 EGY262152:EGY262158 EQU262152:EQU262158 FAQ262152:FAQ262158 FKM262152:FKM262158 FUI262152:FUI262158 GEE262152:GEE262158 GOA262152:GOA262158 GXW262152:GXW262158 HHS262152:HHS262158 HRO262152:HRO262158 IBK262152:IBK262158 ILG262152:ILG262158 IVC262152:IVC262158 JEY262152:JEY262158 JOU262152:JOU262158 JYQ262152:JYQ262158 KIM262152:KIM262158 KSI262152:KSI262158 LCE262152:LCE262158 LMA262152:LMA262158 LVW262152:LVW262158 MFS262152:MFS262158 MPO262152:MPO262158 MZK262152:MZK262158 NJG262152:NJG262158 NTC262152:NTC262158 OCY262152:OCY262158 OMU262152:OMU262158 OWQ262152:OWQ262158 PGM262152:PGM262158 PQI262152:PQI262158 QAE262152:QAE262158 QKA262152:QKA262158 QTW262152:QTW262158 RDS262152:RDS262158 RNO262152:RNO262158 RXK262152:RXK262158 SHG262152:SHG262158 SRC262152:SRC262158 TAY262152:TAY262158 TKU262152:TKU262158 TUQ262152:TUQ262158 UEM262152:UEM262158 UOI262152:UOI262158 UYE262152:UYE262158 VIA262152:VIA262158 VRW262152:VRW262158 WBS262152:WBS262158 WLO262152:WLO262158 WVK262152:WVK262158 C327685:C327691 IY327688:IY327694 SU327688:SU327694 ACQ327688:ACQ327694 AMM327688:AMM327694 AWI327688:AWI327694 BGE327688:BGE327694 BQA327688:BQA327694 BZW327688:BZW327694 CJS327688:CJS327694 CTO327688:CTO327694 DDK327688:DDK327694 DNG327688:DNG327694 DXC327688:DXC327694 EGY327688:EGY327694 EQU327688:EQU327694 FAQ327688:FAQ327694 FKM327688:FKM327694 FUI327688:FUI327694 GEE327688:GEE327694 GOA327688:GOA327694 GXW327688:GXW327694 HHS327688:HHS327694 HRO327688:HRO327694 IBK327688:IBK327694 ILG327688:ILG327694 IVC327688:IVC327694 JEY327688:JEY327694 JOU327688:JOU327694 JYQ327688:JYQ327694 KIM327688:KIM327694 KSI327688:KSI327694 LCE327688:LCE327694 LMA327688:LMA327694 LVW327688:LVW327694 MFS327688:MFS327694 MPO327688:MPO327694 MZK327688:MZK327694 NJG327688:NJG327694 NTC327688:NTC327694 OCY327688:OCY327694 OMU327688:OMU327694 OWQ327688:OWQ327694 PGM327688:PGM327694 PQI327688:PQI327694 QAE327688:QAE327694 QKA327688:QKA327694 QTW327688:QTW327694 RDS327688:RDS327694 RNO327688:RNO327694 RXK327688:RXK327694 SHG327688:SHG327694 SRC327688:SRC327694 TAY327688:TAY327694 TKU327688:TKU327694 TUQ327688:TUQ327694 UEM327688:UEM327694 UOI327688:UOI327694 UYE327688:UYE327694 VIA327688:VIA327694 VRW327688:VRW327694 WBS327688:WBS327694 WLO327688:WLO327694 WVK327688:WVK327694 C393221:C393227 IY393224:IY393230 SU393224:SU393230 ACQ393224:ACQ393230 AMM393224:AMM393230 AWI393224:AWI393230 BGE393224:BGE393230 BQA393224:BQA393230 BZW393224:BZW393230 CJS393224:CJS393230 CTO393224:CTO393230 DDK393224:DDK393230 DNG393224:DNG393230 DXC393224:DXC393230 EGY393224:EGY393230 EQU393224:EQU393230 FAQ393224:FAQ393230 FKM393224:FKM393230 FUI393224:FUI393230 GEE393224:GEE393230 GOA393224:GOA393230 GXW393224:GXW393230 HHS393224:HHS393230 HRO393224:HRO393230 IBK393224:IBK393230 ILG393224:ILG393230 IVC393224:IVC393230 JEY393224:JEY393230 JOU393224:JOU393230 JYQ393224:JYQ393230 KIM393224:KIM393230 KSI393224:KSI393230 LCE393224:LCE393230 LMA393224:LMA393230 LVW393224:LVW393230 MFS393224:MFS393230 MPO393224:MPO393230 MZK393224:MZK393230 NJG393224:NJG393230 NTC393224:NTC393230 OCY393224:OCY393230 OMU393224:OMU393230 OWQ393224:OWQ393230 PGM393224:PGM393230 PQI393224:PQI393230 QAE393224:QAE393230 QKA393224:QKA393230 QTW393224:QTW393230 RDS393224:RDS393230 RNO393224:RNO393230 RXK393224:RXK393230 SHG393224:SHG393230 SRC393224:SRC393230 TAY393224:TAY393230 TKU393224:TKU393230 TUQ393224:TUQ393230 UEM393224:UEM393230 UOI393224:UOI393230 UYE393224:UYE393230 VIA393224:VIA393230 VRW393224:VRW393230 WBS393224:WBS393230 WLO393224:WLO393230 WVK393224:WVK393230 C458757:C458763 IY458760:IY458766 SU458760:SU458766 ACQ458760:ACQ458766 AMM458760:AMM458766 AWI458760:AWI458766 BGE458760:BGE458766 BQA458760:BQA458766 BZW458760:BZW458766 CJS458760:CJS458766 CTO458760:CTO458766 DDK458760:DDK458766 DNG458760:DNG458766 DXC458760:DXC458766 EGY458760:EGY458766 EQU458760:EQU458766 FAQ458760:FAQ458766 FKM458760:FKM458766 FUI458760:FUI458766 GEE458760:GEE458766 GOA458760:GOA458766 GXW458760:GXW458766 HHS458760:HHS458766 HRO458760:HRO458766 IBK458760:IBK458766 ILG458760:ILG458766 IVC458760:IVC458766 JEY458760:JEY458766 JOU458760:JOU458766 JYQ458760:JYQ458766 KIM458760:KIM458766 KSI458760:KSI458766 LCE458760:LCE458766 LMA458760:LMA458766 LVW458760:LVW458766 MFS458760:MFS458766 MPO458760:MPO458766 MZK458760:MZK458766 NJG458760:NJG458766 NTC458760:NTC458766 OCY458760:OCY458766 OMU458760:OMU458766 OWQ458760:OWQ458766 PGM458760:PGM458766 PQI458760:PQI458766 QAE458760:QAE458766 QKA458760:QKA458766 QTW458760:QTW458766 RDS458760:RDS458766 RNO458760:RNO458766 RXK458760:RXK458766 SHG458760:SHG458766 SRC458760:SRC458766 TAY458760:TAY458766 TKU458760:TKU458766 TUQ458760:TUQ458766 UEM458760:UEM458766 UOI458760:UOI458766 UYE458760:UYE458766 VIA458760:VIA458766 VRW458760:VRW458766 WBS458760:WBS458766 WLO458760:WLO458766 WVK458760:WVK458766 C524293:C524299 IY524296:IY524302 SU524296:SU524302 ACQ524296:ACQ524302 AMM524296:AMM524302 AWI524296:AWI524302 BGE524296:BGE524302 BQA524296:BQA524302 BZW524296:BZW524302 CJS524296:CJS524302 CTO524296:CTO524302 DDK524296:DDK524302 DNG524296:DNG524302 DXC524296:DXC524302 EGY524296:EGY524302 EQU524296:EQU524302 FAQ524296:FAQ524302 FKM524296:FKM524302 FUI524296:FUI524302 GEE524296:GEE524302 GOA524296:GOA524302 GXW524296:GXW524302 HHS524296:HHS524302 HRO524296:HRO524302 IBK524296:IBK524302 ILG524296:ILG524302 IVC524296:IVC524302 JEY524296:JEY524302 JOU524296:JOU524302 JYQ524296:JYQ524302 KIM524296:KIM524302 KSI524296:KSI524302 LCE524296:LCE524302 LMA524296:LMA524302 LVW524296:LVW524302 MFS524296:MFS524302 MPO524296:MPO524302 MZK524296:MZK524302 NJG524296:NJG524302 NTC524296:NTC524302 OCY524296:OCY524302 OMU524296:OMU524302 OWQ524296:OWQ524302 PGM524296:PGM524302 PQI524296:PQI524302 QAE524296:QAE524302 QKA524296:QKA524302 QTW524296:QTW524302 RDS524296:RDS524302 RNO524296:RNO524302 RXK524296:RXK524302 SHG524296:SHG524302 SRC524296:SRC524302 TAY524296:TAY524302 TKU524296:TKU524302 TUQ524296:TUQ524302 UEM524296:UEM524302 UOI524296:UOI524302 UYE524296:UYE524302 VIA524296:VIA524302 VRW524296:VRW524302 WBS524296:WBS524302 WLO524296:WLO524302 WVK524296:WVK524302 C589829:C589835 IY589832:IY589838 SU589832:SU589838 ACQ589832:ACQ589838 AMM589832:AMM589838 AWI589832:AWI589838 BGE589832:BGE589838 BQA589832:BQA589838 BZW589832:BZW589838 CJS589832:CJS589838 CTO589832:CTO589838 DDK589832:DDK589838 DNG589832:DNG589838 DXC589832:DXC589838 EGY589832:EGY589838 EQU589832:EQU589838 FAQ589832:FAQ589838 FKM589832:FKM589838 FUI589832:FUI589838 GEE589832:GEE589838 GOA589832:GOA589838 GXW589832:GXW589838 HHS589832:HHS589838 HRO589832:HRO589838 IBK589832:IBK589838 ILG589832:ILG589838 IVC589832:IVC589838 JEY589832:JEY589838 JOU589832:JOU589838 JYQ589832:JYQ589838 KIM589832:KIM589838 KSI589832:KSI589838 LCE589832:LCE589838 LMA589832:LMA589838 LVW589832:LVW589838 MFS589832:MFS589838 MPO589832:MPO589838 MZK589832:MZK589838 NJG589832:NJG589838 NTC589832:NTC589838 OCY589832:OCY589838 OMU589832:OMU589838 OWQ589832:OWQ589838 PGM589832:PGM589838 PQI589832:PQI589838 QAE589832:QAE589838 QKA589832:QKA589838 QTW589832:QTW589838 RDS589832:RDS589838 RNO589832:RNO589838 RXK589832:RXK589838 SHG589832:SHG589838 SRC589832:SRC589838 TAY589832:TAY589838 TKU589832:TKU589838 TUQ589832:TUQ589838 UEM589832:UEM589838 UOI589832:UOI589838 UYE589832:UYE589838 VIA589832:VIA589838 VRW589832:VRW589838 WBS589832:WBS589838 WLO589832:WLO589838 WVK589832:WVK589838 C655365:C655371 IY655368:IY655374 SU655368:SU655374 ACQ655368:ACQ655374 AMM655368:AMM655374 AWI655368:AWI655374 BGE655368:BGE655374 BQA655368:BQA655374 BZW655368:BZW655374 CJS655368:CJS655374 CTO655368:CTO655374 DDK655368:DDK655374 DNG655368:DNG655374 DXC655368:DXC655374 EGY655368:EGY655374 EQU655368:EQU655374 FAQ655368:FAQ655374 FKM655368:FKM655374 FUI655368:FUI655374 GEE655368:GEE655374 GOA655368:GOA655374 GXW655368:GXW655374 HHS655368:HHS655374 HRO655368:HRO655374 IBK655368:IBK655374 ILG655368:ILG655374 IVC655368:IVC655374 JEY655368:JEY655374 JOU655368:JOU655374 JYQ655368:JYQ655374 KIM655368:KIM655374 KSI655368:KSI655374 LCE655368:LCE655374 LMA655368:LMA655374 LVW655368:LVW655374 MFS655368:MFS655374 MPO655368:MPO655374 MZK655368:MZK655374 NJG655368:NJG655374 NTC655368:NTC655374 OCY655368:OCY655374 OMU655368:OMU655374 OWQ655368:OWQ655374 PGM655368:PGM655374 PQI655368:PQI655374 QAE655368:QAE655374 QKA655368:QKA655374 QTW655368:QTW655374 RDS655368:RDS655374 RNO655368:RNO655374 RXK655368:RXK655374 SHG655368:SHG655374 SRC655368:SRC655374 TAY655368:TAY655374 TKU655368:TKU655374 TUQ655368:TUQ655374 UEM655368:UEM655374 UOI655368:UOI655374 UYE655368:UYE655374 VIA655368:VIA655374 VRW655368:VRW655374 WBS655368:WBS655374 WLO655368:WLO655374 WVK655368:WVK655374 C720901:C720907 IY720904:IY720910 SU720904:SU720910 ACQ720904:ACQ720910 AMM720904:AMM720910 AWI720904:AWI720910 BGE720904:BGE720910 BQA720904:BQA720910 BZW720904:BZW720910 CJS720904:CJS720910 CTO720904:CTO720910 DDK720904:DDK720910 DNG720904:DNG720910 DXC720904:DXC720910 EGY720904:EGY720910 EQU720904:EQU720910 FAQ720904:FAQ720910 FKM720904:FKM720910 FUI720904:FUI720910 GEE720904:GEE720910 GOA720904:GOA720910 GXW720904:GXW720910 HHS720904:HHS720910 HRO720904:HRO720910 IBK720904:IBK720910 ILG720904:ILG720910 IVC720904:IVC720910 JEY720904:JEY720910 JOU720904:JOU720910 JYQ720904:JYQ720910 KIM720904:KIM720910 KSI720904:KSI720910 LCE720904:LCE720910 LMA720904:LMA720910 LVW720904:LVW720910 MFS720904:MFS720910 MPO720904:MPO720910 MZK720904:MZK720910 NJG720904:NJG720910 NTC720904:NTC720910 OCY720904:OCY720910 OMU720904:OMU720910 OWQ720904:OWQ720910 PGM720904:PGM720910 PQI720904:PQI720910 QAE720904:QAE720910 QKA720904:QKA720910 QTW720904:QTW720910 RDS720904:RDS720910 RNO720904:RNO720910 RXK720904:RXK720910 SHG720904:SHG720910 SRC720904:SRC720910 TAY720904:TAY720910 TKU720904:TKU720910 TUQ720904:TUQ720910 UEM720904:UEM720910 UOI720904:UOI720910 UYE720904:UYE720910 VIA720904:VIA720910 VRW720904:VRW720910 WBS720904:WBS720910 WLO720904:WLO720910 WVK720904:WVK720910 C786437:C786443 IY786440:IY786446 SU786440:SU786446 ACQ786440:ACQ786446 AMM786440:AMM786446 AWI786440:AWI786446 BGE786440:BGE786446 BQA786440:BQA786446 BZW786440:BZW786446 CJS786440:CJS786446 CTO786440:CTO786446 DDK786440:DDK786446 DNG786440:DNG786446 DXC786440:DXC786446 EGY786440:EGY786446 EQU786440:EQU786446 FAQ786440:FAQ786446 FKM786440:FKM786446 FUI786440:FUI786446 GEE786440:GEE786446 GOA786440:GOA786446 GXW786440:GXW786446 HHS786440:HHS786446 HRO786440:HRO786446 IBK786440:IBK786446 ILG786440:ILG786446 IVC786440:IVC786446 JEY786440:JEY786446 JOU786440:JOU786446 JYQ786440:JYQ786446 KIM786440:KIM786446 KSI786440:KSI786446 LCE786440:LCE786446 LMA786440:LMA786446 LVW786440:LVW786446 MFS786440:MFS786446 MPO786440:MPO786446 MZK786440:MZK786446 NJG786440:NJG786446 NTC786440:NTC786446 OCY786440:OCY786446 OMU786440:OMU786446 OWQ786440:OWQ786446 PGM786440:PGM786446 PQI786440:PQI786446 QAE786440:QAE786446 QKA786440:QKA786446 QTW786440:QTW786446 RDS786440:RDS786446 RNO786440:RNO786446 RXK786440:RXK786446 SHG786440:SHG786446 SRC786440:SRC786446 TAY786440:TAY786446 TKU786440:TKU786446 TUQ786440:TUQ786446 UEM786440:UEM786446 UOI786440:UOI786446 UYE786440:UYE786446 VIA786440:VIA786446 VRW786440:VRW786446 WBS786440:WBS786446 WLO786440:WLO786446 WVK786440:WVK786446 C851973:C851979 IY851976:IY851982 SU851976:SU851982 ACQ851976:ACQ851982 AMM851976:AMM851982 AWI851976:AWI851982 BGE851976:BGE851982 BQA851976:BQA851982 BZW851976:BZW851982 CJS851976:CJS851982 CTO851976:CTO851982 DDK851976:DDK851982 DNG851976:DNG851982 DXC851976:DXC851982 EGY851976:EGY851982 EQU851976:EQU851982 FAQ851976:FAQ851982 FKM851976:FKM851982 FUI851976:FUI851982 GEE851976:GEE851982 GOA851976:GOA851982 GXW851976:GXW851982 HHS851976:HHS851982 HRO851976:HRO851982 IBK851976:IBK851982 ILG851976:ILG851982 IVC851976:IVC851982 JEY851976:JEY851982 JOU851976:JOU851982 JYQ851976:JYQ851982 KIM851976:KIM851982 KSI851976:KSI851982 LCE851976:LCE851982 LMA851976:LMA851982 LVW851976:LVW851982 MFS851976:MFS851982 MPO851976:MPO851982 MZK851976:MZK851982 NJG851976:NJG851982 NTC851976:NTC851982 OCY851976:OCY851982 OMU851976:OMU851982 OWQ851976:OWQ851982 PGM851976:PGM851982 PQI851976:PQI851982 QAE851976:QAE851982 QKA851976:QKA851982 QTW851976:QTW851982 RDS851976:RDS851982 RNO851976:RNO851982 RXK851976:RXK851982 SHG851976:SHG851982 SRC851976:SRC851982 TAY851976:TAY851982 TKU851976:TKU851982 TUQ851976:TUQ851982 UEM851976:UEM851982 UOI851976:UOI851982 UYE851976:UYE851982 VIA851976:VIA851982 VRW851976:VRW851982 WBS851976:WBS851982 WLO851976:WLO851982 WVK851976:WVK851982 C917509:C917515 IY917512:IY917518 SU917512:SU917518 ACQ917512:ACQ917518 AMM917512:AMM917518 AWI917512:AWI917518 BGE917512:BGE917518 BQA917512:BQA917518 BZW917512:BZW917518 CJS917512:CJS917518 CTO917512:CTO917518 DDK917512:DDK917518 DNG917512:DNG917518 DXC917512:DXC917518 EGY917512:EGY917518 EQU917512:EQU917518 FAQ917512:FAQ917518 FKM917512:FKM917518 FUI917512:FUI917518 GEE917512:GEE917518 GOA917512:GOA917518 GXW917512:GXW917518 HHS917512:HHS917518 HRO917512:HRO917518 IBK917512:IBK917518 ILG917512:ILG917518 IVC917512:IVC917518 JEY917512:JEY917518 JOU917512:JOU917518 JYQ917512:JYQ917518 KIM917512:KIM917518 KSI917512:KSI917518 LCE917512:LCE917518 LMA917512:LMA917518 LVW917512:LVW917518 MFS917512:MFS917518 MPO917512:MPO917518 MZK917512:MZK917518 NJG917512:NJG917518 NTC917512:NTC917518 OCY917512:OCY917518 OMU917512:OMU917518 OWQ917512:OWQ917518 PGM917512:PGM917518 PQI917512:PQI917518 QAE917512:QAE917518 QKA917512:QKA917518 QTW917512:QTW917518 RDS917512:RDS917518 RNO917512:RNO917518 RXK917512:RXK917518 SHG917512:SHG917518 SRC917512:SRC917518 TAY917512:TAY917518 TKU917512:TKU917518 TUQ917512:TUQ917518 UEM917512:UEM917518 UOI917512:UOI917518 UYE917512:UYE917518 VIA917512:VIA917518 VRW917512:VRW917518 WBS917512:WBS917518 WLO917512:WLO917518 WVK917512:WVK917518 C983045:C983051 IY983048:IY983054 SU983048:SU983054 ACQ983048:ACQ983054 AMM983048:AMM983054 AWI983048:AWI983054 BGE983048:BGE983054 BQA983048:BQA983054 BZW983048:BZW983054 CJS983048:CJS983054 CTO983048:CTO983054 DDK983048:DDK983054 DNG983048:DNG983054 DXC983048:DXC983054 EGY983048:EGY983054 EQU983048:EQU983054 FAQ983048:FAQ983054 FKM983048:FKM983054 FUI983048:FUI983054 GEE983048:GEE983054 GOA983048:GOA983054 GXW983048:GXW983054 HHS983048:HHS983054 HRO983048:HRO983054 IBK983048:IBK983054 ILG983048:ILG983054 IVC983048:IVC983054 JEY983048:JEY983054 JOU983048:JOU983054 JYQ983048:JYQ983054 KIM983048:KIM983054 KSI983048:KSI983054 LCE983048:LCE983054 LMA983048:LMA983054 LVW983048:LVW983054 MFS983048:MFS983054 MPO983048:MPO983054 MZK983048:MZK983054 NJG983048:NJG983054 NTC983048:NTC983054 OCY983048:OCY983054 OMU983048:OMU983054 OWQ983048:OWQ983054 PGM983048:PGM983054 PQI983048:PQI983054 QAE983048:QAE983054 QKA983048:QKA983054 QTW983048:QTW983054 RDS983048:RDS983054 RNO983048:RNO983054 RXK983048:RXK983054 SHG983048:SHG983054 SRC983048:SRC983054 TAY983048:TAY983054 TKU983048:TKU983054 TUQ983048:TUQ983054 UEM983048:UEM983054 UOI983048:UOI983054 UYE983048:UYE983054 VIA983048:VIA983054 VRW983048:VRW983054 WBS983048:WBS983054 WLO983048:WLO983054 WVK983048:WVK983054 G65541:G65549 JC65544:JC65552 SY65544:SY65552 ACU65544:ACU65552 AMQ65544:AMQ65552 AWM65544:AWM65552 BGI65544:BGI65552 BQE65544:BQE65552 CAA65544:CAA65552 CJW65544:CJW65552 CTS65544:CTS65552 DDO65544:DDO65552 DNK65544:DNK65552 DXG65544:DXG65552 EHC65544:EHC65552 EQY65544:EQY65552 FAU65544:FAU65552 FKQ65544:FKQ65552 FUM65544:FUM65552 GEI65544:GEI65552 GOE65544:GOE65552 GYA65544:GYA65552 HHW65544:HHW65552 HRS65544:HRS65552 IBO65544:IBO65552 ILK65544:ILK65552 IVG65544:IVG65552 JFC65544:JFC65552 JOY65544:JOY65552 JYU65544:JYU65552 KIQ65544:KIQ65552 KSM65544:KSM65552 LCI65544:LCI65552 LME65544:LME65552 LWA65544:LWA65552 MFW65544:MFW65552 MPS65544:MPS65552 MZO65544:MZO65552 NJK65544:NJK65552 NTG65544:NTG65552 ODC65544:ODC65552 OMY65544:OMY65552 OWU65544:OWU65552 PGQ65544:PGQ65552 PQM65544:PQM65552 QAI65544:QAI65552 QKE65544:QKE65552 QUA65544:QUA65552 RDW65544:RDW65552 RNS65544:RNS65552 RXO65544:RXO65552 SHK65544:SHK65552 SRG65544:SRG65552 TBC65544:TBC65552 TKY65544:TKY65552 TUU65544:TUU65552 UEQ65544:UEQ65552 UOM65544:UOM65552 UYI65544:UYI65552 VIE65544:VIE65552 VSA65544:VSA65552 WBW65544:WBW65552 WLS65544:WLS65552 WVO65544:WVO65552 G131077:G131085 JC131080:JC131088 SY131080:SY131088 ACU131080:ACU131088 AMQ131080:AMQ131088 AWM131080:AWM131088 BGI131080:BGI131088 BQE131080:BQE131088 CAA131080:CAA131088 CJW131080:CJW131088 CTS131080:CTS131088 DDO131080:DDO131088 DNK131080:DNK131088 DXG131080:DXG131088 EHC131080:EHC131088 EQY131080:EQY131088 FAU131080:FAU131088 FKQ131080:FKQ131088 FUM131080:FUM131088 GEI131080:GEI131088 GOE131080:GOE131088 GYA131080:GYA131088 HHW131080:HHW131088 HRS131080:HRS131088 IBO131080:IBO131088 ILK131080:ILK131088 IVG131080:IVG131088 JFC131080:JFC131088 JOY131080:JOY131088 JYU131080:JYU131088 KIQ131080:KIQ131088 KSM131080:KSM131088 LCI131080:LCI131088 LME131080:LME131088 LWA131080:LWA131088 MFW131080:MFW131088 MPS131080:MPS131088 MZO131080:MZO131088 NJK131080:NJK131088 NTG131080:NTG131088 ODC131080:ODC131088 OMY131080:OMY131088 OWU131080:OWU131088 PGQ131080:PGQ131088 PQM131080:PQM131088 QAI131080:QAI131088 QKE131080:QKE131088 QUA131080:QUA131088 RDW131080:RDW131088 RNS131080:RNS131088 RXO131080:RXO131088 SHK131080:SHK131088 SRG131080:SRG131088 TBC131080:TBC131088 TKY131080:TKY131088 TUU131080:TUU131088 UEQ131080:UEQ131088 UOM131080:UOM131088 UYI131080:UYI131088 VIE131080:VIE131088 VSA131080:VSA131088 WBW131080:WBW131088 WLS131080:WLS131088 WVO131080:WVO131088 G196613:G196621 JC196616:JC196624 SY196616:SY196624 ACU196616:ACU196624 AMQ196616:AMQ196624 AWM196616:AWM196624 BGI196616:BGI196624 BQE196616:BQE196624 CAA196616:CAA196624 CJW196616:CJW196624 CTS196616:CTS196624 DDO196616:DDO196624 DNK196616:DNK196624 DXG196616:DXG196624 EHC196616:EHC196624 EQY196616:EQY196624 FAU196616:FAU196624 FKQ196616:FKQ196624 FUM196616:FUM196624 GEI196616:GEI196624 GOE196616:GOE196624 GYA196616:GYA196624 HHW196616:HHW196624 HRS196616:HRS196624 IBO196616:IBO196624 ILK196616:ILK196624 IVG196616:IVG196624 JFC196616:JFC196624 JOY196616:JOY196624 JYU196616:JYU196624 KIQ196616:KIQ196624 KSM196616:KSM196624 LCI196616:LCI196624 LME196616:LME196624 LWA196616:LWA196624 MFW196616:MFW196624 MPS196616:MPS196624 MZO196616:MZO196624 NJK196616:NJK196624 NTG196616:NTG196624 ODC196616:ODC196624 OMY196616:OMY196624 OWU196616:OWU196624 PGQ196616:PGQ196624 PQM196616:PQM196624 QAI196616:QAI196624 QKE196616:QKE196624 QUA196616:QUA196624 RDW196616:RDW196624 RNS196616:RNS196624 RXO196616:RXO196624 SHK196616:SHK196624 SRG196616:SRG196624 TBC196616:TBC196624 TKY196616:TKY196624 TUU196616:TUU196624 UEQ196616:UEQ196624 UOM196616:UOM196624 UYI196616:UYI196624 VIE196616:VIE196624 VSA196616:VSA196624 WBW196616:WBW196624 WLS196616:WLS196624 WVO196616:WVO196624 G262149:G262157 JC262152:JC262160 SY262152:SY262160 ACU262152:ACU262160 AMQ262152:AMQ262160 AWM262152:AWM262160 BGI262152:BGI262160 BQE262152:BQE262160 CAA262152:CAA262160 CJW262152:CJW262160 CTS262152:CTS262160 DDO262152:DDO262160 DNK262152:DNK262160 DXG262152:DXG262160 EHC262152:EHC262160 EQY262152:EQY262160 FAU262152:FAU262160 FKQ262152:FKQ262160 FUM262152:FUM262160 GEI262152:GEI262160 GOE262152:GOE262160 GYA262152:GYA262160 HHW262152:HHW262160 HRS262152:HRS262160 IBO262152:IBO262160 ILK262152:ILK262160 IVG262152:IVG262160 JFC262152:JFC262160 JOY262152:JOY262160 JYU262152:JYU262160 KIQ262152:KIQ262160 KSM262152:KSM262160 LCI262152:LCI262160 LME262152:LME262160 LWA262152:LWA262160 MFW262152:MFW262160 MPS262152:MPS262160 MZO262152:MZO262160 NJK262152:NJK262160 NTG262152:NTG262160 ODC262152:ODC262160 OMY262152:OMY262160 OWU262152:OWU262160 PGQ262152:PGQ262160 PQM262152:PQM262160 QAI262152:QAI262160 QKE262152:QKE262160 QUA262152:QUA262160 RDW262152:RDW262160 RNS262152:RNS262160 RXO262152:RXO262160 SHK262152:SHK262160 SRG262152:SRG262160 TBC262152:TBC262160 TKY262152:TKY262160 TUU262152:TUU262160 UEQ262152:UEQ262160 UOM262152:UOM262160 UYI262152:UYI262160 VIE262152:VIE262160 VSA262152:VSA262160 WBW262152:WBW262160 WLS262152:WLS262160 WVO262152:WVO262160 G327685:G327693 JC327688:JC327696 SY327688:SY327696 ACU327688:ACU327696 AMQ327688:AMQ327696 AWM327688:AWM327696 BGI327688:BGI327696 BQE327688:BQE327696 CAA327688:CAA327696 CJW327688:CJW327696 CTS327688:CTS327696 DDO327688:DDO327696 DNK327688:DNK327696 DXG327688:DXG327696 EHC327688:EHC327696 EQY327688:EQY327696 FAU327688:FAU327696 FKQ327688:FKQ327696 FUM327688:FUM327696 GEI327688:GEI327696 GOE327688:GOE327696 GYA327688:GYA327696 HHW327688:HHW327696 HRS327688:HRS327696 IBO327688:IBO327696 ILK327688:ILK327696 IVG327688:IVG327696 JFC327688:JFC327696 JOY327688:JOY327696 JYU327688:JYU327696 KIQ327688:KIQ327696 KSM327688:KSM327696 LCI327688:LCI327696 LME327688:LME327696 LWA327688:LWA327696 MFW327688:MFW327696 MPS327688:MPS327696 MZO327688:MZO327696 NJK327688:NJK327696 NTG327688:NTG327696 ODC327688:ODC327696 OMY327688:OMY327696 OWU327688:OWU327696 PGQ327688:PGQ327696 PQM327688:PQM327696 QAI327688:QAI327696 QKE327688:QKE327696 QUA327688:QUA327696 RDW327688:RDW327696 RNS327688:RNS327696 RXO327688:RXO327696 SHK327688:SHK327696 SRG327688:SRG327696 TBC327688:TBC327696 TKY327688:TKY327696 TUU327688:TUU327696 UEQ327688:UEQ327696 UOM327688:UOM327696 UYI327688:UYI327696 VIE327688:VIE327696 VSA327688:VSA327696 WBW327688:WBW327696 WLS327688:WLS327696 WVO327688:WVO327696 G393221:G393229 JC393224:JC393232 SY393224:SY393232 ACU393224:ACU393232 AMQ393224:AMQ393232 AWM393224:AWM393232 BGI393224:BGI393232 BQE393224:BQE393232 CAA393224:CAA393232 CJW393224:CJW393232 CTS393224:CTS393232 DDO393224:DDO393232 DNK393224:DNK393232 DXG393224:DXG393232 EHC393224:EHC393232 EQY393224:EQY393232 FAU393224:FAU393232 FKQ393224:FKQ393232 FUM393224:FUM393232 GEI393224:GEI393232 GOE393224:GOE393232 GYA393224:GYA393232 HHW393224:HHW393232 HRS393224:HRS393232 IBO393224:IBO393232 ILK393224:ILK393232 IVG393224:IVG393232 JFC393224:JFC393232 JOY393224:JOY393232 JYU393224:JYU393232 KIQ393224:KIQ393232 KSM393224:KSM393232 LCI393224:LCI393232 LME393224:LME393232 LWA393224:LWA393232 MFW393224:MFW393232 MPS393224:MPS393232 MZO393224:MZO393232 NJK393224:NJK393232 NTG393224:NTG393232 ODC393224:ODC393232 OMY393224:OMY393232 OWU393224:OWU393232 PGQ393224:PGQ393232 PQM393224:PQM393232 QAI393224:QAI393232 QKE393224:QKE393232 QUA393224:QUA393232 RDW393224:RDW393232 RNS393224:RNS393232 RXO393224:RXO393232 SHK393224:SHK393232 SRG393224:SRG393232 TBC393224:TBC393232 TKY393224:TKY393232 TUU393224:TUU393232 UEQ393224:UEQ393232 UOM393224:UOM393232 UYI393224:UYI393232 VIE393224:VIE393232 VSA393224:VSA393232 WBW393224:WBW393232 WLS393224:WLS393232 WVO393224:WVO393232 G458757:G458765 JC458760:JC458768 SY458760:SY458768 ACU458760:ACU458768 AMQ458760:AMQ458768 AWM458760:AWM458768 BGI458760:BGI458768 BQE458760:BQE458768 CAA458760:CAA458768 CJW458760:CJW458768 CTS458760:CTS458768 DDO458760:DDO458768 DNK458760:DNK458768 DXG458760:DXG458768 EHC458760:EHC458768 EQY458760:EQY458768 FAU458760:FAU458768 FKQ458760:FKQ458768 FUM458760:FUM458768 GEI458760:GEI458768 GOE458760:GOE458768 GYA458760:GYA458768 HHW458760:HHW458768 HRS458760:HRS458768 IBO458760:IBO458768 ILK458760:ILK458768 IVG458760:IVG458768 JFC458760:JFC458768 JOY458760:JOY458768 JYU458760:JYU458768 KIQ458760:KIQ458768 KSM458760:KSM458768 LCI458760:LCI458768 LME458760:LME458768 LWA458760:LWA458768 MFW458760:MFW458768 MPS458760:MPS458768 MZO458760:MZO458768 NJK458760:NJK458768 NTG458760:NTG458768 ODC458760:ODC458768 OMY458760:OMY458768 OWU458760:OWU458768 PGQ458760:PGQ458768 PQM458760:PQM458768 QAI458760:QAI458768 QKE458760:QKE458768 QUA458760:QUA458768 RDW458760:RDW458768 RNS458760:RNS458768 RXO458760:RXO458768 SHK458760:SHK458768 SRG458760:SRG458768 TBC458760:TBC458768 TKY458760:TKY458768 TUU458760:TUU458768 UEQ458760:UEQ458768 UOM458760:UOM458768 UYI458760:UYI458768 VIE458760:VIE458768 VSA458760:VSA458768 WBW458760:WBW458768 WLS458760:WLS458768 WVO458760:WVO458768 G524293:G524301 JC524296:JC524304 SY524296:SY524304 ACU524296:ACU524304 AMQ524296:AMQ524304 AWM524296:AWM524304 BGI524296:BGI524304 BQE524296:BQE524304 CAA524296:CAA524304 CJW524296:CJW524304 CTS524296:CTS524304 DDO524296:DDO524304 DNK524296:DNK524304 DXG524296:DXG524304 EHC524296:EHC524304 EQY524296:EQY524304 FAU524296:FAU524304 FKQ524296:FKQ524304 FUM524296:FUM524304 GEI524296:GEI524304 GOE524296:GOE524304 GYA524296:GYA524304 HHW524296:HHW524304 HRS524296:HRS524304 IBO524296:IBO524304 ILK524296:ILK524304 IVG524296:IVG524304 JFC524296:JFC524304 JOY524296:JOY524304 JYU524296:JYU524304 KIQ524296:KIQ524304 KSM524296:KSM524304 LCI524296:LCI524304 LME524296:LME524304 LWA524296:LWA524304 MFW524296:MFW524304 MPS524296:MPS524304 MZO524296:MZO524304 NJK524296:NJK524304 NTG524296:NTG524304 ODC524296:ODC524304 OMY524296:OMY524304 OWU524296:OWU524304 PGQ524296:PGQ524304 PQM524296:PQM524304 QAI524296:QAI524304 QKE524296:QKE524304 QUA524296:QUA524304 RDW524296:RDW524304 RNS524296:RNS524304 RXO524296:RXO524304 SHK524296:SHK524304 SRG524296:SRG524304 TBC524296:TBC524304 TKY524296:TKY524304 TUU524296:TUU524304 UEQ524296:UEQ524304 UOM524296:UOM524304 UYI524296:UYI524304 VIE524296:VIE524304 VSA524296:VSA524304 WBW524296:WBW524304 WLS524296:WLS524304 WVO524296:WVO524304 G589829:G589837 JC589832:JC589840 SY589832:SY589840 ACU589832:ACU589840 AMQ589832:AMQ589840 AWM589832:AWM589840 BGI589832:BGI589840 BQE589832:BQE589840 CAA589832:CAA589840 CJW589832:CJW589840 CTS589832:CTS589840 DDO589832:DDO589840 DNK589832:DNK589840 DXG589832:DXG589840 EHC589832:EHC589840 EQY589832:EQY589840 FAU589832:FAU589840 FKQ589832:FKQ589840 FUM589832:FUM589840 GEI589832:GEI589840 GOE589832:GOE589840 GYA589832:GYA589840 HHW589832:HHW589840 HRS589832:HRS589840 IBO589832:IBO589840 ILK589832:ILK589840 IVG589832:IVG589840 JFC589832:JFC589840 JOY589832:JOY589840 JYU589832:JYU589840 KIQ589832:KIQ589840 KSM589832:KSM589840 LCI589832:LCI589840 LME589832:LME589840 LWA589832:LWA589840 MFW589832:MFW589840 MPS589832:MPS589840 MZO589832:MZO589840 NJK589832:NJK589840 NTG589832:NTG589840 ODC589832:ODC589840 OMY589832:OMY589840 OWU589832:OWU589840 PGQ589832:PGQ589840 PQM589832:PQM589840 QAI589832:QAI589840 QKE589832:QKE589840 QUA589832:QUA589840 RDW589832:RDW589840 RNS589832:RNS589840 RXO589832:RXO589840 SHK589832:SHK589840 SRG589832:SRG589840 TBC589832:TBC589840 TKY589832:TKY589840 TUU589832:TUU589840 UEQ589832:UEQ589840 UOM589832:UOM589840 UYI589832:UYI589840 VIE589832:VIE589840 VSA589832:VSA589840 WBW589832:WBW589840 WLS589832:WLS589840 WVO589832:WVO589840 G655365:G655373 JC655368:JC655376 SY655368:SY655376 ACU655368:ACU655376 AMQ655368:AMQ655376 AWM655368:AWM655376 BGI655368:BGI655376 BQE655368:BQE655376 CAA655368:CAA655376 CJW655368:CJW655376 CTS655368:CTS655376 DDO655368:DDO655376 DNK655368:DNK655376 DXG655368:DXG655376 EHC655368:EHC655376 EQY655368:EQY655376 FAU655368:FAU655376 FKQ655368:FKQ655376 FUM655368:FUM655376 GEI655368:GEI655376 GOE655368:GOE655376 GYA655368:GYA655376 HHW655368:HHW655376 HRS655368:HRS655376 IBO655368:IBO655376 ILK655368:ILK655376 IVG655368:IVG655376 JFC655368:JFC655376 JOY655368:JOY655376 JYU655368:JYU655376 KIQ655368:KIQ655376 KSM655368:KSM655376 LCI655368:LCI655376 LME655368:LME655376 LWA655368:LWA655376 MFW655368:MFW655376 MPS655368:MPS655376 MZO655368:MZO655376 NJK655368:NJK655376 NTG655368:NTG655376 ODC655368:ODC655376 OMY655368:OMY655376 OWU655368:OWU655376 PGQ655368:PGQ655376 PQM655368:PQM655376 QAI655368:QAI655376 QKE655368:QKE655376 QUA655368:QUA655376 RDW655368:RDW655376 RNS655368:RNS655376 RXO655368:RXO655376 SHK655368:SHK655376 SRG655368:SRG655376 TBC655368:TBC655376 TKY655368:TKY655376 TUU655368:TUU655376 UEQ655368:UEQ655376 UOM655368:UOM655376 UYI655368:UYI655376 VIE655368:VIE655376 VSA655368:VSA655376 WBW655368:WBW655376 WLS655368:WLS655376 WVO655368:WVO655376 G720901:G720909 JC720904:JC720912 SY720904:SY720912 ACU720904:ACU720912 AMQ720904:AMQ720912 AWM720904:AWM720912 BGI720904:BGI720912 BQE720904:BQE720912 CAA720904:CAA720912 CJW720904:CJW720912 CTS720904:CTS720912 DDO720904:DDO720912 DNK720904:DNK720912 DXG720904:DXG720912 EHC720904:EHC720912 EQY720904:EQY720912 FAU720904:FAU720912 FKQ720904:FKQ720912 FUM720904:FUM720912 GEI720904:GEI720912 GOE720904:GOE720912 GYA720904:GYA720912 HHW720904:HHW720912 HRS720904:HRS720912 IBO720904:IBO720912 ILK720904:ILK720912 IVG720904:IVG720912 JFC720904:JFC720912 JOY720904:JOY720912 JYU720904:JYU720912 KIQ720904:KIQ720912 KSM720904:KSM720912 LCI720904:LCI720912 LME720904:LME720912 LWA720904:LWA720912 MFW720904:MFW720912 MPS720904:MPS720912 MZO720904:MZO720912 NJK720904:NJK720912 NTG720904:NTG720912 ODC720904:ODC720912 OMY720904:OMY720912 OWU720904:OWU720912 PGQ720904:PGQ720912 PQM720904:PQM720912 QAI720904:QAI720912 QKE720904:QKE720912 QUA720904:QUA720912 RDW720904:RDW720912 RNS720904:RNS720912 RXO720904:RXO720912 SHK720904:SHK720912 SRG720904:SRG720912 TBC720904:TBC720912 TKY720904:TKY720912 TUU720904:TUU720912 UEQ720904:UEQ720912 UOM720904:UOM720912 UYI720904:UYI720912 VIE720904:VIE720912 VSA720904:VSA720912 WBW720904:WBW720912 WLS720904:WLS720912 WVO720904:WVO720912 G786437:G786445 JC786440:JC786448 SY786440:SY786448 ACU786440:ACU786448 AMQ786440:AMQ786448 AWM786440:AWM786448 BGI786440:BGI786448 BQE786440:BQE786448 CAA786440:CAA786448 CJW786440:CJW786448 CTS786440:CTS786448 DDO786440:DDO786448 DNK786440:DNK786448 DXG786440:DXG786448 EHC786440:EHC786448 EQY786440:EQY786448 FAU786440:FAU786448 FKQ786440:FKQ786448 FUM786440:FUM786448 GEI786440:GEI786448 GOE786440:GOE786448 GYA786440:GYA786448 HHW786440:HHW786448 HRS786440:HRS786448 IBO786440:IBO786448 ILK786440:ILK786448 IVG786440:IVG786448 JFC786440:JFC786448 JOY786440:JOY786448 JYU786440:JYU786448 KIQ786440:KIQ786448 KSM786440:KSM786448 LCI786440:LCI786448 LME786440:LME786448 LWA786440:LWA786448 MFW786440:MFW786448 MPS786440:MPS786448 MZO786440:MZO786448 NJK786440:NJK786448 NTG786440:NTG786448 ODC786440:ODC786448 OMY786440:OMY786448 OWU786440:OWU786448 PGQ786440:PGQ786448 PQM786440:PQM786448 QAI786440:QAI786448 QKE786440:QKE786448 QUA786440:QUA786448 RDW786440:RDW786448 RNS786440:RNS786448 RXO786440:RXO786448 SHK786440:SHK786448 SRG786440:SRG786448 TBC786440:TBC786448 TKY786440:TKY786448 TUU786440:TUU786448 UEQ786440:UEQ786448 UOM786440:UOM786448 UYI786440:UYI786448 VIE786440:VIE786448 VSA786440:VSA786448 WBW786440:WBW786448 WLS786440:WLS786448 WVO786440:WVO786448 G851973:G851981 JC851976:JC851984 SY851976:SY851984 ACU851976:ACU851984 AMQ851976:AMQ851984 AWM851976:AWM851984 BGI851976:BGI851984 BQE851976:BQE851984 CAA851976:CAA851984 CJW851976:CJW851984 CTS851976:CTS851984 DDO851976:DDO851984 DNK851976:DNK851984 DXG851976:DXG851984 EHC851976:EHC851984 EQY851976:EQY851984 FAU851976:FAU851984 FKQ851976:FKQ851984 FUM851976:FUM851984 GEI851976:GEI851984 GOE851976:GOE851984 GYA851976:GYA851984 HHW851976:HHW851984 HRS851976:HRS851984 IBO851976:IBO851984 ILK851976:ILK851984 IVG851976:IVG851984 JFC851976:JFC851984 JOY851976:JOY851984 JYU851976:JYU851984 KIQ851976:KIQ851984 KSM851976:KSM851984 LCI851976:LCI851984 LME851976:LME851984 LWA851976:LWA851984 MFW851976:MFW851984 MPS851976:MPS851984 MZO851976:MZO851984 NJK851976:NJK851984 NTG851976:NTG851984 ODC851976:ODC851984 OMY851976:OMY851984 OWU851976:OWU851984 PGQ851976:PGQ851984 PQM851976:PQM851984 QAI851976:QAI851984 QKE851976:QKE851984 QUA851976:QUA851984 RDW851976:RDW851984 RNS851976:RNS851984 RXO851976:RXO851984 SHK851976:SHK851984 SRG851976:SRG851984 TBC851976:TBC851984 TKY851976:TKY851984 TUU851976:TUU851984 UEQ851976:UEQ851984 UOM851976:UOM851984 UYI851976:UYI851984 VIE851976:VIE851984 VSA851976:VSA851984 WBW851976:WBW851984 WLS851976:WLS851984 WVO851976:WVO851984 G917509:G917517 JC917512:JC917520 SY917512:SY917520 ACU917512:ACU917520 AMQ917512:AMQ917520 AWM917512:AWM917520 BGI917512:BGI917520 BQE917512:BQE917520 CAA917512:CAA917520 CJW917512:CJW917520 CTS917512:CTS917520 DDO917512:DDO917520 DNK917512:DNK917520 DXG917512:DXG917520 EHC917512:EHC917520 EQY917512:EQY917520 FAU917512:FAU917520 FKQ917512:FKQ917520 FUM917512:FUM917520 GEI917512:GEI917520 GOE917512:GOE917520 GYA917512:GYA917520 HHW917512:HHW917520 HRS917512:HRS917520 IBO917512:IBO917520 ILK917512:ILK917520 IVG917512:IVG917520 JFC917512:JFC917520 JOY917512:JOY917520 JYU917512:JYU917520 KIQ917512:KIQ917520 KSM917512:KSM917520 LCI917512:LCI917520 LME917512:LME917520 LWA917512:LWA917520 MFW917512:MFW917520 MPS917512:MPS917520 MZO917512:MZO917520 NJK917512:NJK917520 NTG917512:NTG917520 ODC917512:ODC917520 OMY917512:OMY917520 OWU917512:OWU917520 PGQ917512:PGQ917520 PQM917512:PQM917520 QAI917512:QAI917520 QKE917512:QKE917520 QUA917512:QUA917520 RDW917512:RDW917520 RNS917512:RNS917520 RXO917512:RXO917520 SHK917512:SHK917520 SRG917512:SRG917520 TBC917512:TBC917520 TKY917512:TKY917520 TUU917512:TUU917520 UEQ917512:UEQ917520 UOM917512:UOM917520 UYI917512:UYI917520 VIE917512:VIE917520 VSA917512:VSA917520 WBW917512:WBW917520 WLS917512:WLS917520 WVO917512:WVO917520 G983045:G983053 JC983048:JC983056 SY983048:SY983056 ACU983048:ACU983056 AMQ983048:AMQ983056 AWM983048:AWM983056 BGI983048:BGI983056 BQE983048:BQE983056 CAA983048:CAA983056 CJW983048:CJW983056 CTS983048:CTS983056 DDO983048:DDO983056 DNK983048:DNK983056 DXG983048:DXG983056 EHC983048:EHC983056 EQY983048:EQY983056 FAU983048:FAU983056 FKQ983048:FKQ983056 FUM983048:FUM983056 GEI983048:GEI983056 GOE983048:GOE983056 GYA983048:GYA983056 HHW983048:HHW983056 HRS983048:HRS983056 IBO983048:IBO983056 ILK983048:ILK983056 IVG983048:IVG983056 JFC983048:JFC983056 JOY983048:JOY983056 JYU983048:JYU983056 KIQ983048:KIQ983056 KSM983048:KSM983056 LCI983048:LCI983056 LME983048:LME983056 LWA983048:LWA983056 MFW983048:MFW983056 MPS983048:MPS983056 MZO983048:MZO983056 NJK983048:NJK983056 NTG983048:NTG983056 ODC983048:ODC983056 OMY983048:OMY983056 OWU983048:OWU983056 PGQ983048:PGQ983056 PQM983048:PQM983056 QAI983048:QAI983056 QKE983048:QKE983056 QUA983048:QUA983056 RDW983048:RDW983056 RNS983048:RNS983056 RXO983048:RXO983056 SHK983048:SHK983056 SRG983048:SRG983056 TBC983048:TBC983056 TKY983048:TKY983056 TUU983048:TUU983056 UEQ983048:UEQ983056 UOM983048:UOM983056 UYI983048:UYI983056 VIE983048:VIE983056 VSA983048:VSA983056 WBW983048:WBW983056 WLS983048:WLS983056 WVO983048:WVO983056 C30:C31 WVO31:WVO32 IY31:IY32 SU31:SU32 ACQ31:ACQ32 AMM31:AMM32 AWI31:AWI32 BGE31:BGE32 BQA31:BQA32 BZW31:BZW32 CJS31:CJS32 CTO31:CTO32 DDK31:DDK32 DNG31:DNG32 DXC31:DXC32 EGY31:EGY32 EQU31:EQU32 FAQ31:FAQ32 FKM31:FKM32 FUI31:FUI32 GEE31:GEE32 GOA31:GOA32 GXW31:GXW32 HHS31:HHS32 HRO31:HRO32 IBK31:IBK32 ILG31:ILG32 IVC31:IVC32 JEY31:JEY32 JOU31:JOU32 JYQ31:JYQ32 KIM31:KIM32 KSI31:KSI32 LCE31:LCE32 LMA31:LMA32 LVW31:LVW32 MFS31:MFS32 MPO31:MPO32 MZK31:MZK32 NJG31:NJG32 NTC31:NTC32 OCY31:OCY32 OMU31:OMU32 OWQ31:OWQ32 PGM31:PGM32 PQI31:PQI32 QAE31:QAE32 QKA31:QKA32 QTW31:QTW32 RDS31:RDS32 RNO31:RNO32 RXK31:RXK32 SHG31:SHG32 SRC31:SRC32 TAY31:TAY32 TKU31:TKU32 TUQ31:TUQ32 UEM31:UEM32 UOI31:UOI32 UYE31:UYE32 VIA31:VIA32 VRW31:VRW32 WBS31:WBS32 WLO31:WLO32 WVK31:WVK32 JC31:JC32 SY31:SY32 ACU31:ACU32 AMQ31:AMQ32 AWM31:AWM32 BGI31:BGI32 BQE31:BQE32 CAA31:CAA32 CJW31:CJW32 CTS31:CTS32 DDO31:DDO32 DNK31:DNK32 DXG31:DXG32 EHC31:EHC32 EQY31:EQY32 FAU31:FAU32 FKQ31:FKQ32 FUM31:FUM32 GEI31:GEI32 GOE31:GOE32 GYA31:GYA32 HHW31:HHW32 HRS31:HRS32 IBO31:IBO32 ILK31:ILK32 IVG31:IVG32 JFC31:JFC32 JOY31:JOY32 JYU31:JYU32 KIQ31:KIQ32 KSM31:KSM32 LCI31:LCI32 LME31:LME32 LWA31:LWA32 MFW31:MFW32 MPS31:MPS32 MZO31:MZO32 NJK31:NJK32 NTG31:NTG32 ODC31:ODC32 OMY31:OMY32 OWU31:OWU32 PGQ31:PGQ32 PQM31:PQM32 QAI31:QAI32 QKE31:QKE32 QUA31:QUA32 RDW31:RDW32 RNS31:RNS32 RXO31:RXO32 SHK31:SHK32 SRG31:SRG32 TBC31:TBC32 TKY31:TKY32 TUU31:TUU32 UEQ31:UEQ32 UOM31:UOM32 UYI31:UYI32 VIE31:VIE32 VSA31:VSA32 WBW31:WBW32 WLS31:WLS32 F30:F31" xr:uid="{00000000-0002-0000-0000-000003000000}">
      <formula1>0</formula1>
      <formula2>9.99999999999999E+33</formula2>
    </dataValidation>
    <dataValidation allowBlank="1" showErrorMessage="1" sqref="C45:G45 C43" xr:uid="{00000000-0002-0000-0000-000004000000}"/>
    <dataValidation type="list" allowBlank="1" showErrorMessage="1" sqref="C24:C25" xr:uid="{00000000-0002-0000-0000-000005000000}">
      <formula1>"GOM"</formula1>
    </dataValidation>
    <dataValidation type="list" allowBlank="1" showErrorMessage="1" sqref="WVK983028:WVO983028 WLO983028:WLS983028 WBS983028:WBW983028 VRW983028:VSA983028 VIA983028:VIE983028 UYE983028:UYI983028 UOI983028:UOM983028 UEM983028:UEQ983028 TUQ983028:TUU983028 TKU983028:TKY983028 TAY983028:TBC983028 SRC983028:SRG983028 SHG983028:SHK983028 RXK983028:RXO983028 RNO983028:RNS983028 RDS983028:RDW983028 QTW983028:QUA983028 QKA983028:QKE983028 QAE983028:QAI983028 PQI983028:PQM983028 PGM983028:PGQ983028 OWQ983028:OWU983028 OMU983028:OMY983028 OCY983028:ODC983028 NTC983028:NTG983028 NJG983028:NJK983028 MZK983028:MZO983028 MPO983028:MPS983028 MFS983028:MFW983028 LVW983028:LWA983028 LMA983028:LME983028 LCE983028:LCI983028 KSI983028:KSM983028 KIM983028:KIQ983028 JYQ983028:JYU983028 JOU983028:JOY983028 JEY983028:JFC983028 IVC983028:IVG983028 ILG983028:ILK983028 IBK983028:IBO983028 HRO983028:HRS983028 HHS983028:HHW983028 GXW983028:GYA983028 GOA983028:GOE983028 GEE983028:GEI983028 FUI983028:FUM983028 FKM983028:FKQ983028 FAQ983028:FAU983028 EQU983028:EQY983028 EGY983028:EHC983028 DXC983028:DXG983028 DNG983028:DNK983028 DDK983028:DDO983028 CTO983028:CTS983028 CJS983028:CJW983028 BZW983028:CAA983028 BQA983028:BQE983028 BGE983028:BGI983028 AWI983028:AWM983028 AMM983028:AMQ983028 ACQ983028:ACU983028 SU983028:SY983028 IY983028:JC983028 C983025:G983025 WVK917492:WVO917492 WLO917492:WLS917492 WBS917492:WBW917492 VRW917492:VSA917492 VIA917492:VIE917492 UYE917492:UYI917492 UOI917492:UOM917492 UEM917492:UEQ917492 TUQ917492:TUU917492 TKU917492:TKY917492 TAY917492:TBC917492 SRC917492:SRG917492 SHG917492:SHK917492 RXK917492:RXO917492 RNO917492:RNS917492 RDS917492:RDW917492 QTW917492:QUA917492 QKA917492:QKE917492 QAE917492:QAI917492 PQI917492:PQM917492 PGM917492:PGQ917492 OWQ917492:OWU917492 OMU917492:OMY917492 OCY917492:ODC917492 NTC917492:NTG917492 NJG917492:NJK917492 MZK917492:MZO917492 MPO917492:MPS917492 MFS917492:MFW917492 LVW917492:LWA917492 LMA917492:LME917492 LCE917492:LCI917492 KSI917492:KSM917492 KIM917492:KIQ917492 JYQ917492:JYU917492 JOU917492:JOY917492 JEY917492:JFC917492 IVC917492:IVG917492 ILG917492:ILK917492 IBK917492:IBO917492 HRO917492:HRS917492 HHS917492:HHW917492 GXW917492:GYA917492 GOA917492:GOE917492 GEE917492:GEI917492 FUI917492:FUM917492 FKM917492:FKQ917492 FAQ917492:FAU917492 EQU917492:EQY917492 EGY917492:EHC917492 DXC917492:DXG917492 DNG917492:DNK917492 DDK917492:DDO917492 CTO917492:CTS917492 CJS917492:CJW917492 BZW917492:CAA917492 BQA917492:BQE917492 BGE917492:BGI917492 AWI917492:AWM917492 AMM917492:AMQ917492 ACQ917492:ACU917492 SU917492:SY917492 IY917492:JC917492 C917489:G917489 WVK851956:WVO851956 WLO851956:WLS851956 WBS851956:WBW851956 VRW851956:VSA851956 VIA851956:VIE851956 UYE851956:UYI851956 UOI851956:UOM851956 UEM851956:UEQ851956 TUQ851956:TUU851956 TKU851956:TKY851956 TAY851956:TBC851956 SRC851956:SRG851956 SHG851956:SHK851956 RXK851956:RXO851956 RNO851956:RNS851956 RDS851956:RDW851956 QTW851956:QUA851956 QKA851956:QKE851956 QAE851956:QAI851956 PQI851956:PQM851956 PGM851956:PGQ851956 OWQ851956:OWU851956 OMU851956:OMY851956 OCY851956:ODC851956 NTC851956:NTG851956 NJG851956:NJK851956 MZK851956:MZO851956 MPO851956:MPS851956 MFS851956:MFW851956 LVW851956:LWA851956 LMA851956:LME851956 LCE851956:LCI851956 KSI851956:KSM851956 KIM851956:KIQ851956 JYQ851956:JYU851956 JOU851956:JOY851956 JEY851956:JFC851956 IVC851956:IVG851956 ILG851956:ILK851956 IBK851956:IBO851956 HRO851956:HRS851956 HHS851956:HHW851956 GXW851956:GYA851956 GOA851956:GOE851956 GEE851956:GEI851956 FUI851956:FUM851956 FKM851956:FKQ851956 FAQ851956:FAU851956 EQU851956:EQY851956 EGY851956:EHC851956 DXC851956:DXG851956 DNG851956:DNK851956 DDK851956:DDO851956 CTO851956:CTS851956 CJS851956:CJW851956 BZW851956:CAA851956 BQA851956:BQE851956 BGE851956:BGI851956 AWI851956:AWM851956 AMM851956:AMQ851956 ACQ851956:ACU851956 SU851956:SY851956 IY851956:JC851956 C851953:G851953 WVK786420:WVO786420 WLO786420:WLS786420 WBS786420:WBW786420 VRW786420:VSA786420 VIA786420:VIE786420 UYE786420:UYI786420 UOI786420:UOM786420 UEM786420:UEQ786420 TUQ786420:TUU786420 TKU786420:TKY786420 TAY786420:TBC786420 SRC786420:SRG786420 SHG786420:SHK786420 RXK786420:RXO786420 RNO786420:RNS786420 RDS786420:RDW786420 QTW786420:QUA786420 QKA786420:QKE786420 QAE786420:QAI786420 PQI786420:PQM786420 PGM786420:PGQ786420 OWQ786420:OWU786420 OMU786420:OMY786420 OCY786420:ODC786420 NTC786420:NTG786420 NJG786420:NJK786420 MZK786420:MZO786420 MPO786420:MPS786420 MFS786420:MFW786420 LVW786420:LWA786420 LMA786420:LME786420 LCE786420:LCI786420 KSI786420:KSM786420 KIM786420:KIQ786420 JYQ786420:JYU786420 JOU786420:JOY786420 JEY786420:JFC786420 IVC786420:IVG786420 ILG786420:ILK786420 IBK786420:IBO786420 HRO786420:HRS786420 HHS786420:HHW786420 GXW786420:GYA786420 GOA786420:GOE786420 GEE786420:GEI786420 FUI786420:FUM786420 FKM786420:FKQ786420 FAQ786420:FAU786420 EQU786420:EQY786420 EGY786420:EHC786420 DXC786420:DXG786420 DNG786420:DNK786420 DDK786420:DDO786420 CTO786420:CTS786420 CJS786420:CJW786420 BZW786420:CAA786420 BQA786420:BQE786420 BGE786420:BGI786420 AWI786420:AWM786420 AMM786420:AMQ786420 ACQ786420:ACU786420 SU786420:SY786420 IY786420:JC786420 C786417:G786417 WVK720884:WVO720884 WLO720884:WLS720884 WBS720884:WBW720884 VRW720884:VSA720884 VIA720884:VIE720884 UYE720884:UYI720884 UOI720884:UOM720884 UEM720884:UEQ720884 TUQ720884:TUU720884 TKU720884:TKY720884 TAY720884:TBC720884 SRC720884:SRG720884 SHG720884:SHK720884 RXK720884:RXO720884 RNO720884:RNS720884 RDS720884:RDW720884 QTW720884:QUA720884 QKA720884:QKE720884 QAE720884:QAI720884 PQI720884:PQM720884 PGM720884:PGQ720884 OWQ720884:OWU720884 OMU720884:OMY720884 OCY720884:ODC720884 NTC720884:NTG720884 NJG720884:NJK720884 MZK720884:MZO720884 MPO720884:MPS720884 MFS720884:MFW720884 LVW720884:LWA720884 LMA720884:LME720884 LCE720884:LCI720884 KSI720884:KSM720884 KIM720884:KIQ720884 JYQ720884:JYU720884 JOU720884:JOY720884 JEY720884:JFC720884 IVC720884:IVG720884 ILG720884:ILK720884 IBK720884:IBO720884 HRO720884:HRS720884 HHS720884:HHW720884 GXW720884:GYA720884 GOA720884:GOE720884 GEE720884:GEI720884 FUI720884:FUM720884 FKM720884:FKQ720884 FAQ720884:FAU720884 EQU720884:EQY720884 EGY720884:EHC720884 DXC720884:DXG720884 DNG720884:DNK720884 DDK720884:DDO720884 CTO720884:CTS720884 CJS720884:CJW720884 BZW720884:CAA720884 BQA720884:BQE720884 BGE720884:BGI720884 AWI720884:AWM720884 AMM720884:AMQ720884 ACQ720884:ACU720884 SU720884:SY720884 IY720884:JC720884 C720881:G720881 WVK655348:WVO655348 WLO655348:WLS655348 WBS655348:WBW655348 VRW655348:VSA655348 VIA655348:VIE655348 UYE655348:UYI655348 UOI655348:UOM655348 UEM655348:UEQ655348 TUQ655348:TUU655348 TKU655348:TKY655348 TAY655348:TBC655348 SRC655348:SRG655348 SHG655348:SHK655348 RXK655348:RXO655348 RNO655348:RNS655348 RDS655348:RDW655348 QTW655348:QUA655348 QKA655348:QKE655348 QAE655348:QAI655348 PQI655348:PQM655348 PGM655348:PGQ655348 OWQ655348:OWU655348 OMU655348:OMY655348 OCY655348:ODC655348 NTC655348:NTG655348 NJG655348:NJK655348 MZK655348:MZO655348 MPO655348:MPS655348 MFS655348:MFW655348 LVW655348:LWA655348 LMA655348:LME655348 LCE655348:LCI655348 KSI655348:KSM655348 KIM655348:KIQ655348 JYQ655348:JYU655348 JOU655348:JOY655348 JEY655348:JFC655348 IVC655348:IVG655348 ILG655348:ILK655348 IBK655348:IBO655348 HRO655348:HRS655348 HHS655348:HHW655348 GXW655348:GYA655348 GOA655348:GOE655348 GEE655348:GEI655348 FUI655348:FUM655348 FKM655348:FKQ655348 FAQ655348:FAU655348 EQU655348:EQY655348 EGY655348:EHC655348 DXC655348:DXG655348 DNG655348:DNK655348 DDK655348:DDO655348 CTO655348:CTS655348 CJS655348:CJW655348 BZW655348:CAA655348 BQA655348:BQE655348 BGE655348:BGI655348 AWI655348:AWM655348 AMM655348:AMQ655348 ACQ655348:ACU655348 SU655348:SY655348 IY655348:JC655348 C655345:G655345 WVK589812:WVO589812 WLO589812:WLS589812 WBS589812:WBW589812 VRW589812:VSA589812 VIA589812:VIE589812 UYE589812:UYI589812 UOI589812:UOM589812 UEM589812:UEQ589812 TUQ589812:TUU589812 TKU589812:TKY589812 TAY589812:TBC589812 SRC589812:SRG589812 SHG589812:SHK589812 RXK589812:RXO589812 RNO589812:RNS589812 RDS589812:RDW589812 QTW589812:QUA589812 QKA589812:QKE589812 QAE589812:QAI589812 PQI589812:PQM589812 PGM589812:PGQ589812 OWQ589812:OWU589812 OMU589812:OMY589812 OCY589812:ODC589812 NTC589812:NTG589812 NJG589812:NJK589812 MZK589812:MZO589812 MPO589812:MPS589812 MFS589812:MFW589812 LVW589812:LWA589812 LMA589812:LME589812 LCE589812:LCI589812 KSI589812:KSM589812 KIM589812:KIQ589812 JYQ589812:JYU589812 JOU589812:JOY589812 JEY589812:JFC589812 IVC589812:IVG589812 ILG589812:ILK589812 IBK589812:IBO589812 HRO589812:HRS589812 HHS589812:HHW589812 GXW589812:GYA589812 GOA589812:GOE589812 GEE589812:GEI589812 FUI589812:FUM589812 FKM589812:FKQ589812 FAQ589812:FAU589812 EQU589812:EQY589812 EGY589812:EHC589812 DXC589812:DXG589812 DNG589812:DNK589812 DDK589812:DDO589812 CTO589812:CTS589812 CJS589812:CJW589812 BZW589812:CAA589812 BQA589812:BQE589812 BGE589812:BGI589812 AWI589812:AWM589812 AMM589812:AMQ589812 ACQ589812:ACU589812 SU589812:SY589812 IY589812:JC589812 C589809:G589809 WVK524276:WVO524276 WLO524276:WLS524276 WBS524276:WBW524276 VRW524276:VSA524276 VIA524276:VIE524276 UYE524276:UYI524276 UOI524276:UOM524276 UEM524276:UEQ524276 TUQ524276:TUU524276 TKU524276:TKY524276 TAY524276:TBC524276 SRC524276:SRG524276 SHG524276:SHK524276 RXK524276:RXO524276 RNO524276:RNS524276 RDS524276:RDW524276 QTW524276:QUA524276 QKA524276:QKE524276 QAE524276:QAI524276 PQI524276:PQM524276 PGM524276:PGQ524276 OWQ524276:OWU524276 OMU524276:OMY524276 OCY524276:ODC524276 NTC524276:NTG524276 NJG524276:NJK524276 MZK524276:MZO524276 MPO524276:MPS524276 MFS524276:MFW524276 LVW524276:LWA524276 LMA524276:LME524276 LCE524276:LCI524276 KSI524276:KSM524276 KIM524276:KIQ524276 JYQ524276:JYU524276 JOU524276:JOY524276 JEY524276:JFC524276 IVC524276:IVG524276 ILG524276:ILK524276 IBK524276:IBO524276 HRO524276:HRS524276 HHS524276:HHW524276 GXW524276:GYA524276 GOA524276:GOE524276 GEE524276:GEI524276 FUI524276:FUM524276 FKM524276:FKQ524276 FAQ524276:FAU524276 EQU524276:EQY524276 EGY524276:EHC524276 DXC524276:DXG524276 DNG524276:DNK524276 DDK524276:DDO524276 CTO524276:CTS524276 CJS524276:CJW524276 BZW524276:CAA524276 BQA524276:BQE524276 BGE524276:BGI524276 AWI524276:AWM524276 AMM524276:AMQ524276 ACQ524276:ACU524276 SU524276:SY524276 IY524276:JC524276 C524273:G524273 WVK458740:WVO458740 WLO458740:WLS458740 WBS458740:WBW458740 VRW458740:VSA458740 VIA458740:VIE458740 UYE458740:UYI458740 UOI458740:UOM458740 UEM458740:UEQ458740 TUQ458740:TUU458740 TKU458740:TKY458740 TAY458740:TBC458740 SRC458740:SRG458740 SHG458740:SHK458740 RXK458740:RXO458740 RNO458740:RNS458740 RDS458740:RDW458740 QTW458740:QUA458740 QKA458740:QKE458740 QAE458740:QAI458740 PQI458740:PQM458740 PGM458740:PGQ458740 OWQ458740:OWU458740 OMU458740:OMY458740 OCY458740:ODC458740 NTC458740:NTG458740 NJG458740:NJK458740 MZK458740:MZO458740 MPO458740:MPS458740 MFS458740:MFW458740 LVW458740:LWA458740 LMA458740:LME458740 LCE458740:LCI458740 KSI458740:KSM458740 KIM458740:KIQ458740 JYQ458740:JYU458740 JOU458740:JOY458740 JEY458740:JFC458740 IVC458740:IVG458740 ILG458740:ILK458740 IBK458740:IBO458740 HRO458740:HRS458740 HHS458740:HHW458740 GXW458740:GYA458740 GOA458740:GOE458740 GEE458740:GEI458740 FUI458740:FUM458740 FKM458740:FKQ458740 FAQ458740:FAU458740 EQU458740:EQY458740 EGY458740:EHC458740 DXC458740:DXG458740 DNG458740:DNK458740 DDK458740:DDO458740 CTO458740:CTS458740 CJS458740:CJW458740 BZW458740:CAA458740 BQA458740:BQE458740 BGE458740:BGI458740 AWI458740:AWM458740 AMM458740:AMQ458740 ACQ458740:ACU458740 SU458740:SY458740 IY458740:JC458740 C458737:G458737 WVK393204:WVO393204 WLO393204:WLS393204 WBS393204:WBW393204 VRW393204:VSA393204 VIA393204:VIE393204 UYE393204:UYI393204 UOI393204:UOM393204 UEM393204:UEQ393204 TUQ393204:TUU393204 TKU393204:TKY393204 TAY393204:TBC393204 SRC393204:SRG393204 SHG393204:SHK393204 RXK393204:RXO393204 RNO393204:RNS393204 RDS393204:RDW393204 QTW393204:QUA393204 QKA393204:QKE393204 QAE393204:QAI393204 PQI393204:PQM393204 PGM393204:PGQ393204 OWQ393204:OWU393204 OMU393204:OMY393204 OCY393204:ODC393204 NTC393204:NTG393204 NJG393204:NJK393204 MZK393204:MZO393204 MPO393204:MPS393204 MFS393204:MFW393204 LVW393204:LWA393204 LMA393204:LME393204 LCE393204:LCI393204 KSI393204:KSM393204 KIM393204:KIQ393204 JYQ393204:JYU393204 JOU393204:JOY393204 JEY393204:JFC393204 IVC393204:IVG393204 ILG393204:ILK393204 IBK393204:IBO393204 HRO393204:HRS393204 HHS393204:HHW393204 GXW393204:GYA393204 GOA393204:GOE393204 GEE393204:GEI393204 FUI393204:FUM393204 FKM393204:FKQ393204 FAQ393204:FAU393204 EQU393204:EQY393204 EGY393204:EHC393204 DXC393204:DXG393204 DNG393204:DNK393204 DDK393204:DDO393204 CTO393204:CTS393204 CJS393204:CJW393204 BZW393204:CAA393204 BQA393204:BQE393204 BGE393204:BGI393204 AWI393204:AWM393204 AMM393204:AMQ393204 ACQ393204:ACU393204 SU393204:SY393204 IY393204:JC393204 C393201:G393201 WVK327668:WVO327668 WLO327668:WLS327668 WBS327668:WBW327668 VRW327668:VSA327668 VIA327668:VIE327668 UYE327668:UYI327668 UOI327668:UOM327668 UEM327668:UEQ327668 TUQ327668:TUU327668 TKU327668:TKY327668 TAY327668:TBC327668 SRC327668:SRG327668 SHG327668:SHK327668 RXK327668:RXO327668 RNO327668:RNS327668 RDS327668:RDW327668 QTW327668:QUA327668 QKA327668:QKE327668 QAE327668:QAI327668 PQI327668:PQM327668 PGM327668:PGQ327668 OWQ327668:OWU327668 OMU327668:OMY327668 OCY327668:ODC327668 NTC327668:NTG327668 NJG327668:NJK327668 MZK327668:MZO327668 MPO327668:MPS327668 MFS327668:MFW327668 LVW327668:LWA327668 LMA327668:LME327668 LCE327668:LCI327668 KSI327668:KSM327668 KIM327668:KIQ327668 JYQ327668:JYU327668 JOU327668:JOY327668 JEY327668:JFC327668 IVC327668:IVG327668 ILG327668:ILK327668 IBK327668:IBO327668 HRO327668:HRS327668 HHS327668:HHW327668 GXW327668:GYA327668 GOA327668:GOE327668 GEE327668:GEI327668 FUI327668:FUM327668 FKM327668:FKQ327668 FAQ327668:FAU327668 EQU327668:EQY327668 EGY327668:EHC327668 DXC327668:DXG327668 DNG327668:DNK327668 DDK327668:DDO327668 CTO327668:CTS327668 CJS327668:CJW327668 BZW327668:CAA327668 BQA327668:BQE327668 BGE327668:BGI327668 AWI327668:AWM327668 AMM327668:AMQ327668 ACQ327668:ACU327668 SU327668:SY327668 IY327668:JC327668 C327665:G327665 WVK262132:WVO262132 WLO262132:WLS262132 WBS262132:WBW262132 VRW262132:VSA262132 VIA262132:VIE262132 UYE262132:UYI262132 UOI262132:UOM262132 UEM262132:UEQ262132 TUQ262132:TUU262132 TKU262132:TKY262132 TAY262132:TBC262132 SRC262132:SRG262132 SHG262132:SHK262132 RXK262132:RXO262132 RNO262132:RNS262132 RDS262132:RDW262132 QTW262132:QUA262132 QKA262132:QKE262132 QAE262132:QAI262132 PQI262132:PQM262132 PGM262132:PGQ262132 OWQ262132:OWU262132 OMU262132:OMY262132 OCY262132:ODC262132 NTC262132:NTG262132 NJG262132:NJK262132 MZK262132:MZO262132 MPO262132:MPS262132 MFS262132:MFW262132 LVW262132:LWA262132 LMA262132:LME262132 LCE262132:LCI262132 KSI262132:KSM262132 KIM262132:KIQ262132 JYQ262132:JYU262132 JOU262132:JOY262132 JEY262132:JFC262132 IVC262132:IVG262132 ILG262132:ILK262132 IBK262132:IBO262132 HRO262132:HRS262132 HHS262132:HHW262132 GXW262132:GYA262132 GOA262132:GOE262132 GEE262132:GEI262132 FUI262132:FUM262132 FKM262132:FKQ262132 FAQ262132:FAU262132 EQU262132:EQY262132 EGY262132:EHC262132 DXC262132:DXG262132 DNG262132:DNK262132 DDK262132:DDO262132 CTO262132:CTS262132 CJS262132:CJW262132 BZW262132:CAA262132 BQA262132:BQE262132 BGE262132:BGI262132 AWI262132:AWM262132 AMM262132:AMQ262132 ACQ262132:ACU262132 SU262132:SY262132 IY262132:JC262132 C262129:G262129 WVK196596:WVO196596 WLO196596:WLS196596 WBS196596:WBW196596 VRW196596:VSA196596 VIA196596:VIE196596 UYE196596:UYI196596 UOI196596:UOM196596 UEM196596:UEQ196596 TUQ196596:TUU196596 TKU196596:TKY196596 TAY196596:TBC196596 SRC196596:SRG196596 SHG196596:SHK196596 RXK196596:RXO196596 RNO196596:RNS196596 RDS196596:RDW196596 QTW196596:QUA196596 QKA196596:QKE196596 QAE196596:QAI196596 PQI196596:PQM196596 PGM196596:PGQ196596 OWQ196596:OWU196596 OMU196596:OMY196596 OCY196596:ODC196596 NTC196596:NTG196596 NJG196596:NJK196596 MZK196596:MZO196596 MPO196596:MPS196596 MFS196596:MFW196596 LVW196596:LWA196596 LMA196596:LME196596 LCE196596:LCI196596 KSI196596:KSM196596 KIM196596:KIQ196596 JYQ196596:JYU196596 JOU196596:JOY196596 JEY196596:JFC196596 IVC196596:IVG196596 ILG196596:ILK196596 IBK196596:IBO196596 HRO196596:HRS196596 HHS196596:HHW196596 GXW196596:GYA196596 GOA196596:GOE196596 GEE196596:GEI196596 FUI196596:FUM196596 FKM196596:FKQ196596 FAQ196596:FAU196596 EQU196596:EQY196596 EGY196596:EHC196596 DXC196596:DXG196596 DNG196596:DNK196596 DDK196596:DDO196596 CTO196596:CTS196596 CJS196596:CJW196596 BZW196596:CAA196596 BQA196596:BQE196596 BGE196596:BGI196596 AWI196596:AWM196596 AMM196596:AMQ196596 ACQ196596:ACU196596 SU196596:SY196596 IY196596:JC196596 C196593:G196593 WVK131060:WVO131060 WLO131060:WLS131060 WBS131060:WBW131060 VRW131060:VSA131060 VIA131060:VIE131060 UYE131060:UYI131060 UOI131060:UOM131060 UEM131060:UEQ131060 TUQ131060:TUU131060 TKU131060:TKY131060 TAY131060:TBC131060 SRC131060:SRG131060 SHG131060:SHK131060 RXK131060:RXO131060 RNO131060:RNS131060 RDS131060:RDW131060 QTW131060:QUA131060 QKA131060:QKE131060 QAE131060:QAI131060 PQI131060:PQM131060 PGM131060:PGQ131060 OWQ131060:OWU131060 OMU131060:OMY131060 OCY131060:ODC131060 NTC131060:NTG131060 NJG131060:NJK131060 MZK131060:MZO131060 MPO131060:MPS131060 MFS131060:MFW131060 LVW131060:LWA131060 LMA131060:LME131060 LCE131060:LCI131060 KSI131060:KSM131060 KIM131060:KIQ131060 JYQ131060:JYU131060 JOU131060:JOY131060 JEY131060:JFC131060 IVC131060:IVG131060 ILG131060:ILK131060 IBK131060:IBO131060 HRO131060:HRS131060 HHS131060:HHW131060 GXW131060:GYA131060 GOA131060:GOE131060 GEE131060:GEI131060 FUI131060:FUM131060 FKM131060:FKQ131060 FAQ131060:FAU131060 EQU131060:EQY131060 EGY131060:EHC131060 DXC131060:DXG131060 DNG131060:DNK131060 DDK131060:DDO131060 CTO131060:CTS131060 CJS131060:CJW131060 BZW131060:CAA131060 BQA131060:BQE131060 BGE131060:BGI131060 AWI131060:AWM131060 AMM131060:AMQ131060 ACQ131060:ACU131060 SU131060:SY131060 IY131060:JC131060 C131057:G131057 WVK65524:WVO65524 WLO65524:WLS65524 WBS65524:WBW65524 VRW65524:VSA65524 VIA65524:VIE65524 UYE65524:UYI65524 UOI65524:UOM65524 UEM65524:UEQ65524 TUQ65524:TUU65524 TKU65524:TKY65524 TAY65524:TBC65524 SRC65524:SRG65524 SHG65524:SHK65524 RXK65524:RXO65524 RNO65524:RNS65524 RDS65524:RDW65524 QTW65524:QUA65524 QKA65524:QKE65524 QAE65524:QAI65524 PQI65524:PQM65524 PGM65524:PGQ65524 OWQ65524:OWU65524 OMU65524:OMY65524 OCY65524:ODC65524 NTC65524:NTG65524 NJG65524:NJK65524 MZK65524:MZO65524 MPO65524:MPS65524 MFS65524:MFW65524 LVW65524:LWA65524 LMA65524:LME65524 LCE65524:LCI65524 KSI65524:KSM65524 KIM65524:KIQ65524 JYQ65524:JYU65524 JOU65524:JOY65524 JEY65524:JFC65524 IVC65524:IVG65524 ILG65524:ILK65524 IBK65524:IBO65524 HRO65524:HRS65524 HHS65524:HHW65524 GXW65524:GYA65524 GOA65524:GOE65524 GEE65524:GEI65524 FUI65524:FUM65524 FKM65524:FKQ65524 FAQ65524:FAU65524 EQU65524:EQY65524 EGY65524:EHC65524 DXC65524:DXG65524 DNG65524:DNK65524 DDK65524:DDO65524 CTO65524:CTS65524 CJS65524:CJW65524 BZW65524:CAA65524 BQA65524:BQE65524 BGE65524:BGI65524 AWI65524:AWM65524 AMM65524:AMQ65524 ACQ65524:ACU65524 SU65524:SY65524 IY65524:JC65524 C65521:G65521 WVK15:WVO15 WLO15:WLS15 WBS15:WBW15 VRW15:VSA15 VIA15:VIE15 UYE15:UYI15 UOI15:UOM15 UEM15:UEQ15 TUQ15:TUU15 TKU15:TKY15 TAY15:TBC15 SRC15:SRG15 SHG15:SHK15 RXK15:RXO15 RNO15:RNS15 RDS15:RDW15 QTW15:QUA15 QKA15:QKE15 QAE15:QAI15 PQI15:PQM15 PGM15:PGQ15 OWQ15:OWU15 OMU15:OMY15 OCY15:ODC15 NTC15:NTG15 NJG15:NJK15 MZK15:MZO15 MPO15:MPS15 MFS15:MFW15 LVW15:LWA15 LMA15:LME15 LCE15:LCI15 KSI15:KSM15 KIM15:KIQ15 JYQ15:JYU15 JOU15:JOY15 JEY15:JFC15 IVC15:IVG15 ILG15:ILK15 IBK15:IBO15 HRO15:HRS15 HHS15:HHW15 GXW15:GYA15 GOA15:GOE15 GEE15:GEI15 FUI15:FUM15 FKM15:FKQ15 FAQ15:FAU15 EQU15:EQY15 EGY15:EHC15 DXC15:DXG15 DNG15:DNK15 DDK15:DDO15 CTO15:CTS15 CJS15:CJW15 BZW15:CAA15 BQA15:BQE15 BGE15:BGI15 AWI15:AWM15 AMM15:AMQ15 ACQ15:ACU15 SU15:SY15 IY15:JC15" xr:uid="{00000000-0002-0000-0000-000006000000}">
      <formula1>$I$5:$I$18</formula1>
      <formula2>0</formula2>
    </dataValidation>
    <dataValidation type="list" allowBlank="1" showErrorMessage="1" sqref="C15:G15" xr:uid="{00000000-0002-0000-0000-000007000000}">
      <formula1>$I$11:$I$29</formula1>
    </dataValidation>
  </dataValidations>
  <printOptions horizontalCentered="1"/>
  <pageMargins left="0" right="0" top="0.51180555555555562" bottom="0" header="0.51180555555555562" footer="0.51181102362204722"/>
  <pageSetup paperSize="9" scale="57" firstPageNumber="0" orientation="portrait" horizontalDpi="300" verticalDpi="300" r:id="rId1"/>
  <headerFooter alignWithMargins="0">
    <oddHeader>&amp;C&amp;"Arial"&amp;8&amp;K000000 INTERNAL&amp;1#_x000D_</oddHeader>
    <oddFooter>&amp;L_x000D_&amp;1#&amp;"Trebuchet MS"&amp;9&amp;K737373 PÚBLICA</oddFooter>
  </headerFooter>
  <colBreaks count="1" manualBreakCount="1">
    <brk id="7" min="4" max="65539" man="1"/>
  </colBreaks>
  <drawing r:id="rId2"/>
</worksheet>
</file>

<file path=docMetadata/LabelInfo.xml><?xml version="1.0" encoding="utf-8"?>
<clbl:labelList xmlns:clbl="http://schemas.microsoft.com/office/2020/mipLabelMetadata">
  <clbl:label id="{140b9f7d-8e3a-482f-9702-4b7ffc40985a}" enabled="1" method="Privileged" siteId="{5b6f6241-9a57-4be4-8e50-1dfa72e79a57}" removed="0"/>
  <clbl:label id="{3048dc87-43f0-4100-9acb-ae1971c79395}" enabled="0" method="" siteId="{3048dc87-43f0-4100-9acb-ae1971c79395}" removed="1"/>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Planilhas</vt:lpstr>
      </vt:variant>
      <vt:variant>
        <vt:i4>1</vt:i4>
      </vt:variant>
      <vt:variant>
        <vt:lpstr>Intervalos Nomeados</vt:lpstr>
      </vt:variant>
      <vt:variant>
        <vt:i4>2</vt:i4>
      </vt:variant>
    </vt:vector>
  </HeadingPairs>
  <TitlesOfParts>
    <vt:vector size="3" baseType="lpstr">
      <vt:lpstr>BASE PFC MODELO</vt:lpstr>
      <vt:lpstr>'BASE PFC MODELO'!Area_de_impressao</vt:lpstr>
      <vt:lpstr>'BASE PFC MODELO'!Excel_BuiltIn_Print_Area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Rafael Lins Fontes</dc:creator>
  <cp:lastModifiedBy>Jonatas da Rocha Lampa</cp:lastModifiedBy>
  <cp:lastPrinted>2026-04-06T14:56:23Z</cp:lastPrinted>
  <dcterms:created xsi:type="dcterms:W3CDTF">2023-06-28T12:13:51Z</dcterms:created>
  <dcterms:modified xsi:type="dcterms:W3CDTF">2026-09-09T19:59:10Z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97ad33d-ed35-43c0-b526-22bc83c17deb_Enabled">
    <vt:lpwstr>true</vt:lpwstr>
  </property>
  <property fmtid="{D5CDD505-2E9C-101B-9397-08002B2CF9AE}" pid="3" name="MSIP_Label_797ad33d-ed35-43c0-b526-22bc83c17deb_SetDate">
    <vt:lpwstr>2024-05-14T19:53:12Z</vt:lpwstr>
  </property>
  <property fmtid="{D5CDD505-2E9C-101B-9397-08002B2CF9AE}" pid="4" name="MSIP_Label_797ad33d-ed35-43c0-b526-22bc83c17deb_Method">
    <vt:lpwstr>Standard</vt:lpwstr>
  </property>
  <property fmtid="{D5CDD505-2E9C-101B-9397-08002B2CF9AE}" pid="5" name="MSIP_Label_797ad33d-ed35-43c0-b526-22bc83c17deb_Name">
    <vt:lpwstr>797ad33d-ed35-43c0-b526-22bc83c17deb</vt:lpwstr>
  </property>
  <property fmtid="{D5CDD505-2E9C-101B-9397-08002B2CF9AE}" pid="6" name="MSIP_Label_797ad33d-ed35-43c0-b526-22bc83c17deb_SiteId">
    <vt:lpwstr>d539d4bf-5610-471a-afc2-1c76685cfefa</vt:lpwstr>
  </property>
  <property fmtid="{D5CDD505-2E9C-101B-9397-08002B2CF9AE}" pid="7" name="MSIP_Label_797ad33d-ed35-43c0-b526-22bc83c17deb_ActionId">
    <vt:lpwstr>a093317e-7d4e-43b1-964c-a88d5fd28e69</vt:lpwstr>
  </property>
  <property fmtid="{D5CDD505-2E9C-101B-9397-08002B2CF9AE}" pid="8" name="MSIP_Label_797ad33d-ed35-43c0-b526-22bc83c17deb_ContentBits">
    <vt:lpwstr>1</vt:lpwstr>
  </property>
</Properties>
</file>